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bel\Documents\materials\portfolio practice\archive (1)\"/>
    </mc:Choice>
  </mc:AlternateContent>
  <xr:revisionPtr revIDLastSave="0" documentId="13_ncr:1_{FB69F1F1-8F35-4E3D-B3C8-6FB68335CB85}" xr6:coauthVersionLast="47" xr6:coauthVersionMax="47" xr10:uidLastSave="{00000000-0000-0000-0000-000000000000}"/>
  <bookViews>
    <workbookView xWindow="-120" yWindow="-120" windowWidth="20730" windowHeight="11760" xr2:uid="{6AA65945-784D-4A76-BA05-00F64E3E238F}"/>
  </bookViews>
  <sheets>
    <sheet name="Messy IMDB_Movie_Insights" sheetId="1" r:id="rId1"/>
    <sheet name="Analysis&gt;&gt;&gt;&gt;&gt;" sheetId="9" r:id="rId2"/>
    <sheet name="Cleaned &amp; Transformed IMDB Movi" sheetId="3" r:id="rId3"/>
    <sheet name="Correlation Analysis" sheetId="10" r:id="rId4"/>
    <sheet name="Pivot Tables" sheetId="8" r:id="rId5"/>
    <sheet name="Highest Grossing Movies" sheetId="6" r:id="rId6"/>
  </sheets>
  <definedNames>
    <definedName name="ExternalData_1" localSheetId="2" hidden="1">'Cleaned &amp; Transformed IMDB Movi'!$A$3:$H$1957</definedName>
    <definedName name="ExternalData_1" localSheetId="5" hidden="1">'Highest Grossing Movies'!$A$3:$C$9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B4" i="10"/>
  <c r="A4" i="10"/>
  <c r="B12" i="6"/>
  <c r="A12" i="6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 s="1"/>
  <c r="F346" i="3" a="1"/>
  <c r="F346" i="3" s="1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383" i="3" a="1"/>
  <c r="F383" i="3" s="1"/>
  <c r="F384" i="3" a="1"/>
  <c r="F384" i="3" s="1"/>
  <c r="F385" i="3" a="1"/>
  <c r="F385" i="3" s="1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 s="1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540" i="3" a="1"/>
  <c r="F540" i="3" s="1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 s="1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 s="1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 s="1"/>
  <c r="F716" i="3" a="1"/>
  <c r="F716" i="3" s="1"/>
  <c r="F717" i="3" a="1"/>
  <c r="F717" i="3" s="1"/>
  <c r="F718" i="3" a="1"/>
  <c r="F718" i="3" s="1"/>
  <c r="F719" i="3" a="1"/>
  <c r="F719" i="3" s="1"/>
  <c r="F720" i="3" a="1"/>
  <c r="F720" i="3" s="1"/>
  <c r="F721" i="3" a="1"/>
  <c r="F721" i="3" s="1"/>
  <c r="F722" i="3" a="1"/>
  <c r="F722" i="3" s="1"/>
  <c r="F723" i="3" a="1"/>
  <c r="F723" i="3" s="1"/>
  <c r="F724" i="3" a="1"/>
  <c r="F724" i="3" s="1"/>
  <c r="F725" i="3" a="1"/>
  <c r="F725" i="3" s="1"/>
  <c r="F726" i="3" a="1"/>
  <c r="F726" i="3" s="1"/>
  <c r="F727" i="3" a="1"/>
  <c r="F727" i="3" s="1"/>
  <c r="F728" i="3" a="1"/>
  <c r="F728" i="3" s="1"/>
  <c r="F729" i="3" a="1"/>
  <c r="F729" i="3" s="1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 s="1"/>
  <c r="F738" i="3" a="1"/>
  <c r="F738" i="3" s="1"/>
  <c r="F739" i="3" a="1"/>
  <c r="F739" i="3" s="1"/>
  <c r="F740" i="3" a="1"/>
  <c r="F740" i="3" s="1"/>
  <c r="F741" i="3" a="1"/>
  <c r="F741" i="3" s="1"/>
  <c r="F742" i="3" a="1"/>
  <c r="F742" i="3" s="1"/>
  <c r="F743" i="3" a="1"/>
  <c r="F743" i="3" s="1"/>
  <c r="F744" i="3" a="1"/>
  <c r="F744" i="3" s="1"/>
  <c r="F745" i="3" a="1"/>
  <c r="F745" i="3" s="1"/>
  <c r="F746" i="3" a="1"/>
  <c r="F746" i="3" s="1"/>
  <c r="F747" i="3" a="1"/>
  <c r="F747" i="3" s="1"/>
  <c r="F748" i="3" a="1"/>
  <c r="F748" i="3" s="1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 s="1"/>
  <c r="F755" i="3" a="1"/>
  <c r="F755" i="3" s="1"/>
  <c r="F756" i="3" a="1"/>
  <c r="F756" i="3" s="1"/>
  <c r="F757" i="3" a="1"/>
  <c r="F757" i="3" s="1"/>
  <c r="F758" i="3" a="1"/>
  <c r="F758" i="3" s="1"/>
  <c r="F759" i="3" a="1"/>
  <c r="F759" i="3" s="1"/>
  <c r="F760" i="3" a="1"/>
  <c r="F760" i="3" s="1"/>
  <c r="F761" i="3" a="1"/>
  <c r="F761" i="3" s="1"/>
  <c r="F762" i="3" a="1"/>
  <c r="F762" i="3" s="1"/>
  <c r="F763" i="3" a="1"/>
  <c r="F763" i="3" s="1"/>
  <c r="F764" i="3" a="1"/>
  <c r="F764" i="3" s="1"/>
  <c r="F765" i="3" a="1"/>
  <c r="F765" i="3" s="1"/>
  <c r="F766" i="3" a="1"/>
  <c r="F766" i="3" s="1"/>
  <c r="F767" i="3" a="1"/>
  <c r="F767" i="3" s="1"/>
  <c r="F768" i="3" a="1"/>
  <c r="F768" i="3" s="1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 s="1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 s="1"/>
  <c r="F788" i="3" a="1"/>
  <c r="F788" i="3" s="1"/>
  <c r="F789" i="3" a="1"/>
  <c r="F789" i="3" s="1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 s="1"/>
  <c r="F798" i="3" a="1"/>
  <c r="F798" i="3" s="1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 s="1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818" i="3" a="1"/>
  <c r="F818" i="3" s="1"/>
  <c r="F819" i="3" a="1"/>
  <c r="F819" i="3" s="1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 s="1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 s="1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 s="1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 s="1"/>
  <c r="F852" i="3" a="1"/>
  <c r="F852" i="3" s="1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 s="1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 s="1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 s="1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 s="1"/>
  <c r="F897" i="3" a="1"/>
  <c r="F897" i="3" s="1"/>
  <c r="F898" i="3" a="1"/>
  <c r="F898" i="3" s="1"/>
  <c r="F899" i="3" a="1"/>
  <c r="F899" i="3" s="1"/>
  <c r="F900" i="3" a="1"/>
  <c r="F900" i="3" s="1"/>
  <c r="F901" i="3" a="1"/>
  <c r="F901" i="3" s="1"/>
  <c r="F902" i="3" a="1"/>
  <c r="F902" i="3" s="1"/>
  <c r="F903" i="3" a="1"/>
  <c r="F903" i="3" s="1"/>
  <c r="F904" i="3" a="1"/>
  <c r="F904" i="3" s="1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 s="1"/>
  <c r="F911" i="3" a="1"/>
  <c r="F911" i="3" s="1"/>
  <c r="F912" i="3" a="1"/>
  <c r="F912" i="3" s="1"/>
  <c r="F913" i="3" a="1"/>
  <c r="F913" i="3" s="1"/>
  <c r="F914" i="3" a="1"/>
  <c r="F914" i="3" s="1"/>
  <c r="F915" i="3" a="1"/>
  <c r="F915" i="3" s="1"/>
  <c r="F916" i="3" a="1"/>
  <c r="F916" i="3" s="1"/>
  <c r="F917" i="3" a="1"/>
  <c r="F917" i="3" s="1"/>
  <c r="F918" i="3" a="1"/>
  <c r="F918" i="3" s="1"/>
  <c r="F919" i="3" a="1"/>
  <c r="F919" i="3" s="1"/>
  <c r="F920" i="3" a="1"/>
  <c r="F920" i="3" s="1"/>
  <c r="F921" i="3" a="1"/>
  <c r="F921" i="3" s="1"/>
  <c r="F922" i="3" a="1"/>
  <c r="F922" i="3" s="1"/>
  <c r="F923" i="3" a="1"/>
  <c r="F923" i="3" s="1"/>
  <c r="F924" i="3" a="1"/>
  <c r="F924" i="3" s="1"/>
  <c r="F925" i="3" a="1"/>
  <c r="F925" i="3" s="1"/>
  <c r="F926" i="3" a="1"/>
  <c r="F926" i="3" s="1"/>
  <c r="F927" i="3" a="1"/>
  <c r="F927" i="3" s="1"/>
  <c r="F928" i="3" a="1"/>
  <c r="F928" i="3" s="1"/>
  <c r="F929" i="3" a="1"/>
  <c r="F929" i="3" s="1"/>
  <c r="F930" i="3" a="1"/>
  <c r="F930" i="3" s="1"/>
  <c r="F931" i="3" a="1"/>
  <c r="F931" i="3" s="1"/>
  <c r="F932" i="3" a="1"/>
  <c r="F932" i="3" s="1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 s="1"/>
  <c r="F939" i="3" a="1"/>
  <c r="F939" i="3" s="1"/>
  <c r="F940" i="3" a="1"/>
  <c r="F940" i="3" s="1"/>
  <c r="F941" i="3" a="1"/>
  <c r="F941" i="3" s="1"/>
  <c r="F942" i="3" a="1"/>
  <c r="F942" i="3" s="1"/>
  <c r="F943" i="3" a="1"/>
  <c r="F943" i="3" s="1"/>
  <c r="F944" i="3" a="1"/>
  <c r="F944" i="3" s="1"/>
  <c r="F945" i="3" a="1"/>
  <c r="F945" i="3" s="1"/>
  <c r="F946" i="3" a="1"/>
  <c r="F946" i="3" s="1"/>
  <c r="F947" i="3" a="1"/>
  <c r="F947" i="3" s="1"/>
  <c r="F948" i="3" a="1"/>
  <c r="F948" i="3" s="1"/>
  <c r="F949" i="3" a="1"/>
  <c r="F949" i="3" s="1"/>
  <c r="F950" i="3" a="1"/>
  <c r="F950" i="3" s="1"/>
  <c r="F951" i="3" a="1"/>
  <c r="F951" i="3" s="1"/>
  <c r="F952" i="3" a="1"/>
  <c r="F952" i="3" s="1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 s="1"/>
  <c r="F959" i="3" a="1"/>
  <c r="F959" i="3" s="1"/>
  <c r="F960" i="3" a="1"/>
  <c r="F960" i="3" s="1"/>
  <c r="F961" i="3" a="1"/>
  <c r="F961" i="3" s="1"/>
  <c r="F962" i="3" a="1"/>
  <c r="F962" i="3" s="1"/>
  <c r="F963" i="3" a="1"/>
  <c r="F963" i="3" s="1"/>
  <c r="F964" i="3" a="1"/>
  <c r="F964" i="3" s="1"/>
  <c r="F965" i="3" a="1"/>
  <c r="F965" i="3" s="1"/>
  <c r="F966" i="3" a="1"/>
  <c r="F966" i="3" s="1"/>
  <c r="F967" i="3" a="1"/>
  <c r="F967" i="3" s="1"/>
  <c r="F968" i="3" a="1"/>
  <c r="F968" i="3" s="1"/>
  <c r="F969" i="3" a="1"/>
  <c r="F969" i="3" s="1"/>
  <c r="F970" i="3" a="1"/>
  <c r="F970" i="3" s="1"/>
  <c r="F971" i="3" a="1"/>
  <c r="F971" i="3" s="1"/>
  <c r="F972" i="3" a="1"/>
  <c r="F972" i="3" s="1"/>
  <c r="F973" i="3" a="1"/>
  <c r="F973" i="3" s="1"/>
  <c r="F974" i="3" a="1"/>
  <c r="F974" i="3" s="1"/>
  <c r="F975" i="3" a="1"/>
  <c r="F975" i="3" s="1"/>
  <c r="F976" i="3" a="1"/>
  <c r="F976" i="3" s="1"/>
  <c r="F977" i="3" a="1"/>
  <c r="F977" i="3" s="1"/>
  <c r="F978" i="3" a="1"/>
  <c r="F978" i="3" s="1"/>
  <c r="F979" i="3" a="1"/>
  <c r="F979" i="3" s="1"/>
  <c r="F980" i="3" a="1"/>
  <c r="F980" i="3" s="1"/>
  <c r="F981" i="3" a="1"/>
  <c r="F981" i="3" s="1"/>
  <c r="F982" i="3" a="1"/>
  <c r="F982" i="3" s="1"/>
  <c r="F983" i="3" a="1"/>
  <c r="F983" i="3" s="1"/>
  <c r="F984" i="3" a="1"/>
  <c r="F984" i="3" s="1"/>
  <c r="F985" i="3" a="1"/>
  <c r="F985" i="3" s="1"/>
  <c r="F986" i="3" a="1"/>
  <c r="F986" i="3" s="1"/>
  <c r="F987" i="3" a="1"/>
  <c r="F987" i="3" s="1"/>
  <c r="F988" i="3" a="1"/>
  <c r="F988" i="3" s="1"/>
  <c r="F989" i="3" a="1"/>
  <c r="F989" i="3" s="1"/>
  <c r="F990" i="3" a="1"/>
  <c r="F990" i="3" s="1"/>
  <c r="F991" i="3" a="1"/>
  <c r="F991" i="3" s="1"/>
  <c r="F992" i="3" a="1"/>
  <c r="F992" i="3" s="1"/>
  <c r="F993" i="3" a="1"/>
  <c r="F993" i="3" s="1"/>
  <c r="F994" i="3" a="1"/>
  <c r="F994" i="3" s="1"/>
  <c r="F995" i="3" a="1"/>
  <c r="F995" i="3" s="1"/>
  <c r="F996" i="3" a="1"/>
  <c r="F996" i="3" s="1"/>
  <c r="F997" i="3" a="1"/>
  <c r="F997" i="3" s="1"/>
  <c r="F998" i="3" a="1"/>
  <c r="F998" i="3" s="1"/>
  <c r="F999" i="3" a="1"/>
  <c r="F999" i="3" s="1"/>
  <c r="F1000" i="3" a="1"/>
  <c r="F1000" i="3" s="1"/>
  <c r="F1001" i="3" a="1"/>
  <c r="F1001" i="3" s="1"/>
  <c r="F1002" i="3" a="1"/>
  <c r="F1002" i="3" s="1"/>
  <c r="F1003" i="3" a="1"/>
  <c r="F1003" i="3" s="1"/>
  <c r="F1004" i="3" a="1"/>
  <c r="F1004" i="3" s="1"/>
  <c r="F1005" i="3" a="1"/>
  <c r="F1005" i="3" s="1"/>
  <c r="F1006" i="3" a="1"/>
  <c r="F1006" i="3" s="1"/>
  <c r="F1007" i="3" a="1"/>
  <c r="F1007" i="3" s="1"/>
  <c r="F1008" i="3" a="1"/>
  <c r="F1008" i="3" s="1"/>
  <c r="F1009" i="3" a="1"/>
  <c r="F1009" i="3" s="1"/>
  <c r="F1010" i="3" a="1"/>
  <c r="F1010" i="3" s="1"/>
  <c r="F1011" i="3" a="1"/>
  <c r="F1011" i="3" s="1"/>
  <c r="F1012" i="3" a="1"/>
  <c r="F1012" i="3" s="1"/>
  <c r="F1013" i="3" a="1"/>
  <c r="F1013" i="3" s="1"/>
  <c r="F1014" i="3" a="1"/>
  <c r="F1014" i="3" s="1"/>
  <c r="F1015" i="3" a="1"/>
  <c r="F1015" i="3" s="1"/>
  <c r="F1016" i="3" a="1"/>
  <c r="F1016" i="3" s="1"/>
  <c r="F1017" i="3" a="1"/>
  <c r="F1017" i="3" s="1"/>
  <c r="F1018" i="3" a="1"/>
  <c r="F1018" i="3" s="1"/>
  <c r="F1019" i="3" a="1"/>
  <c r="F1019" i="3" s="1"/>
  <c r="F1020" i="3" a="1"/>
  <c r="F1020" i="3" s="1"/>
  <c r="F1021" i="3" a="1"/>
  <c r="F1021" i="3" s="1"/>
  <c r="F1022" i="3" a="1"/>
  <c r="F1022" i="3" s="1"/>
  <c r="F1023" i="3" a="1"/>
  <c r="F1023" i="3" s="1"/>
  <c r="F1024" i="3" a="1"/>
  <c r="F1024" i="3" s="1"/>
  <c r="F1025" i="3" a="1"/>
  <c r="F1025" i="3" s="1"/>
  <c r="F1026" i="3" a="1"/>
  <c r="F1026" i="3" s="1"/>
  <c r="F1027" i="3" a="1"/>
  <c r="F1027" i="3" s="1"/>
  <c r="F1028" i="3" a="1"/>
  <c r="F1028" i="3" s="1"/>
  <c r="F1029" i="3" a="1"/>
  <c r="F1029" i="3" s="1"/>
  <c r="F1030" i="3" a="1"/>
  <c r="F1030" i="3" s="1"/>
  <c r="F1031" i="3" a="1"/>
  <c r="F1031" i="3" s="1"/>
  <c r="F1032" i="3" a="1"/>
  <c r="F1032" i="3" s="1"/>
  <c r="F1033" i="3" a="1"/>
  <c r="F1033" i="3" s="1"/>
  <c r="F1034" i="3" a="1"/>
  <c r="F1034" i="3" s="1"/>
  <c r="F1035" i="3" a="1"/>
  <c r="F1035" i="3" s="1"/>
  <c r="F1036" i="3" a="1"/>
  <c r="F1036" i="3" s="1"/>
  <c r="F1037" i="3" a="1"/>
  <c r="F1037" i="3" s="1"/>
  <c r="F1038" i="3" a="1"/>
  <c r="F1038" i="3" s="1"/>
  <c r="F1039" i="3" a="1"/>
  <c r="F1039" i="3" s="1"/>
  <c r="F1040" i="3" a="1"/>
  <c r="F1040" i="3" s="1"/>
  <c r="F1041" i="3" a="1"/>
  <c r="F1041" i="3" s="1"/>
  <c r="F1042" i="3" a="1"/>
  <c r="F1042" i="3" s="1"/>
  <c r="F1043" i="3" a="1"/>
  <c r="F1043" i="3" s="1"/>
  <c r="F1044" i="3" a="1"/>
  <c r="F1044" i="3" s="1"/>
  <c r="F1045" i="3" a="1"/>
  <c r="F1045" i="3" s="1"/>
  <c r="F1046" i="3" a="1"/>
  <c r="F1046" i="3" s="1"/>
  <c r="F1047" i="3" a="1"/>
  <c r="F1047" i="3" s="1"/>
  <c r="F1048" i="3" a="1"/>
  <c r="F1048" i="3" s="1"/>
  <c r="F1049" i="3" a="1"/>
  <c r="F1049" i="3" s="1"/>
  <c r="F1050" i="3" a="1"/>
  <c r="F1050" i="3" s="1"/>
  <c r="F1051" i="3" a="1"/>
  <c r="F1051" i="3" s="1"/>
  <c r="F1052" i="3" a="1"/>
  <c r="F1052" i="3" s="1"/>
  <c r="F1053" i="3" a="1"/>
  <c r="F1053" i="3" s="1"/>
  <c r="F1054" i="3" a="1"/>
  <c r="F1054" i="3" s="1"/>
  <c r="F1055" i="3" a="1"/>
  <c r="F1055" i="3" s="1"/>
  <c r="F1056" i="3" a="1"/>
  <c r="F1056" i="3" s="1"/>
  <c r="F1057" i="3" a="1"/>
  <c r="F1057" i="3" s="1"/>
  <c r="F1058" i="3" a="1"/>
  <c r="F1058" i="3" s="1"/>
  <c r="F1059" i="3" a="1"/>
  <c r="F1059" i="3" s="1"/>
  <c r="F1060" i="3" a="1"/>
  <c r="F1060" i="3" s="1"/>
  <c r="F1061" i="3" a="1"/>
  <c r="F1061" i="3" s="1"/>
  <c r="F1062" i="3" a="1"/>
  <c r="F1062" i="3" s="1"/>
  <c r="F1063" i="3" a="1"/>
  <c r="F1063" i="3" s="1"/>
  <c r="F1064" i="3" a="1"/>
  <c r="F1064" i="3" s="1"/>
  <c r="F1065" i="3" a="1"/>
  <c r="F1065" i="3" s="1"/>
  <c r="F1066" i="3" a="1"/>
  <c r="F1066" i="3" s="1"/>
  <c r="F1067" i="3" a="1"/>
  <c r="F1067" i="3" s="1"/>
  <c r="F1068" i="3" a="1"/>
  <c r="F1068" i="3" s="1"/>
  <c r="F1069" i="3" a="1"/>
  <c r="F1069" i="3" s="1"/>
  <c r="F1070" i="3" a="1"/>
  <c r="F1070" i="3" s="1"/>
  <c r="F1071" i="3" a="1"/>
  <c r="F1071" i="3" s="1"/>
  <c r="F1072" i="3" a="1"/>
  <c r="F1072" i="3" s="1"/>
  <c r="F1073" i="3" a="1"/>
  <c r="F1073" i="3" s="1"/>
  <c r="F1074" i="3" a="1"/>
  <c r="F1074" i="3" s="1"/>
  <c r="F1075" i="3" a="1"/>
  <c r="F1075" i="3" s="1"/>
  <c r="F1076" i="3" a="1"/>
  <c r="F1076" i="3" s="1"/>
  <c r="F1077" i="3" a="1"/>
  <c r="F1077" i="3" s="1"/>
  <c r="F1078" i="3" a="1"/>
  <c r="F1078" i="3" s="1"/>
  <c r="F1079" i="3" a="1"/>
  <c r="F1079" i="3" s="1"/>
  <c r="F1080" i="3" a="1"/>
  <c r="F1080" i="3" s="1"/>
  <c r="F1081" i="3" a="1"/>
  <c r="F1081" i="3" s="1"/>
  <c r="F1082" i="3" a="1"/>
  <c r="F1082" i="3" s="1"/>
  <c r="F1083" i="3" a="1"/>
  <c r="F1083" i="3" s="1"/>
  <c r="F1084" i="3" a="1"/>
  <c r="F1084" i="3" s="1"/>
  <c r="F1085" i="3" a="1"/>
  <c r="F1085" i="3" s="1"/>
  <c r="F1086" i="3" a="1"/>
  <c r="F1086" i="3" s="1"/>
  <c r="F1087" i="3" a="1"/>
  <c r="F1087" i="3" s="1"/>
  <c r="F1088" i="3" a="1"/>
  <c r="F1088" i="3" s="1"/>
  <c r="F1089" i="3" a="1"/>
  <c r="F1089" i="3" s="1"/>
  <c r="F1090" i="3" a="1"/>
  <c r="F1090" i="3" s="1"/>
  <c r="F1091" i="3" a="1"/>
  <c r="F1091" i="3" s="1"/>
  <c r="F1092" i="3" a="1"/>
  <c r="F1092" i="3" s="1"/>
  <c r="F1093" i="3" a="1"/>
  <c r="F1093" i="3" s="1"/>
  <c r="F1094" i="3" a="1"/>
  <c r="F1094" i="3" s="1"/>
  <c r="F1095" i="3" a="1"/>
  <c r="F1095" i="3" s="1"/>
  <c r="F1096" i="3" a="1"/>
  <c r="F1096" i="3" s="1"/>
  <c r="F1097" i="3" a="1"/>
  <c r="F1097" i="3" s="1"/>
  <c r="F1098" i="3" a="1"/>
  <c r="F1098" i="3" s="1"/>
  <c r="F1099" i="3" a="1"/>
  <c r="F1099" i="3" s="1"/>
  <c r="F1100" i="3" a="1"/>
  <c r="F1100" i="3" s="1"/>
  <c r="F1101" i="3" a="1"/>
  <c r="F1101" i="3" s="1"/>
  <c r="F1102" i="3" a="1"/>
  <c r="F1102" i="3" s="1"/>
  <c r="F1103" i="3" a="1"/>
  <c r="F1103" i="3" s="1"/>
  <c r="F1104" i="3" a="1"/>
  <c r="F1104" i="3" s="1"/>
  <c r="F1105" i="3" a="1"/>
  <c r="F1105" i="3" s="1"/>
  <c r="F1106" i="3" a="1"/>
  <c r="F1106" i="3" s="1"/>
  <c r="F1107" i="3" a="1"/>
  <c r="F1107" i="3" s="1"/>
  <c r="F1108" i="3" a="1"/>
  <c r="F1108" i="3" s="1"/>
  <c r="F1109" i="3" a="1"/>
  <c r="F1109" i="3" s="1"/>
  <c r="F1110" i="3" a="1"/>
  <c r="F1110" i="3" s="1"/>
  <c r="F1111" i="3" a="1"/>
  <c r="F1111" i="3" s="1"/>
  <c r="F1112" i="3" a="1"/>
  <c r="F1112" i="3" s="1"/>
  <c r="F1113" i="3" a="1"/>
  <c r="F1113" i="3" s="1"/>
  <c r="F1114" i="3" a="1"/>
  <c r="F1114" i="3" s="1"/>
  <c r="F1115" i="3" a="1"/>
  <c r="F1115" i="3" s="1"/>
  <c r="F1116" i="3" a="1"/>
  <c r="F1116" i="3" s="1"/>
  <c r="F1117" i="3" a="1"/>
  <c r="F1117" i="3" s="1"/>
  <c r="F1118" i="3" a="1"/>
  <c r="F1118" i="3" s="1"/>
  <c r="F1119" i="3" a="1"/>
  <c r="F1119" i="3" s="1"/>
  <c r="F1120" i="3" a="1"/>
  <c r="F1120" i="3" s="1"/>
  <c r="F1121" i="3" a="1"/>
  <c r="F1121" i="3" s="1"/>
  <c r="F1122" i="3" a="1"/>
  <c r="F1122" i="3" s="1"/>
  <c r="F1123" i="3" a="1"/>
  <c r="F1123" i="3" s="1"/>
  <c r="F1124" i="3" a="1"/>
  <c r="F1124" i="3" s="1"/>
  <c r="F1125" i="3" a="1"/>
  <c r="F1125" i="3" s="1"/>
  <c r="F1126" i="3" a="1"/>
  <c r="F1126" i="3" s="1"/>
  <c r="F1127" i="3" a="1"/>
  <c r="F1127" i="3" s="1"/>
  <c r="F1128" i="3" a="1"/>
  <c r="F1128" i="3" s="1"/>
  <c r="F1129" i="3" a="1"/>
  <c r="F1129" i="3" s="1"/>
  <c r="F1130" i="3" a="1"/>
  <c r="F1130" i="3" s="1"/>
  <c r="F1131" i="3" a="1"/>
  <c r="F1131" i="3" s="1"/>
  <c r="F1132" i="3" a="1"/>
  <c r="F1132" i="3" s="1"/>
  <c r="F1133" i="3" a="1"/>
  <c r="F1133" i="3" s="1"/>
  <c r="F1134" i="3" a="1"/>
  <c r="F1134" i="3" s="1"/>
  <c r="F1135" i="3" a="1"/>
  <c r="F1135" i="3" s="1"/>
  <c r="F1136" i="3" a="1"/>
  <c r="F1136" i="3" s="1"/>
  <c r="F1137" i="3" a="1"/>
  <c r="F1137" i="3" s="1"/>
  <c r="F1138" i="3" a="1"/>
  <c r="F1138" i="3" s="1"/>
  <c r="F1139" i="3" a="1"/>
  <c r="F1139" i="3" s="1"/>
  <c r="F1140" i="3" a="1"/>
  <c r="F1140" i="3" s="1"/>
  <c r="F1141" i="3" a="1"/>
  <c r="F1141" i="3" s="1"/>
  <c r="F1142" i="3" a="1"/>
  <c r="F1142" i="3" s="1"/>
  <c r="F1143" i="3" a="1"/>
  <c r="F1143" i="3" s="1"/>
  <c r="F1144" i="3" a="1"/>
  <c r="F1144" i="3" s="1"/>
  <c r="F1145" i="3" a="1"/>
  <c r="F1145" i="3" s="1"/>
  <c r="F1146" i="3" a="1"/>
  <c r="F1146" i="3" s="1"/>
  <c r="F1147" i="3" a="1"/>
  <c r="F1147" i="3" s="1"/>
  <c r="F1148" i="3" a="1"/>
  <c r="F1148" i="3" s="1"/>
  <c r="F1149" i="3" a="1"/>
  <c r="F1149" i="3" s="1"/>
  <c r="F1150" i="3" a="1"/>
  <c r="F1150" i="3" s="1"/>
  <c r="F1151" i="3" a="1"/>
  <c r="F1151" i="3" s="1"/>
  <c r="F1152" i="3" a="1"/>
  <c r="F1152" i="3" s="1"/>
  <c r="F1153" i="3" a="1"/>
  <c r="F1153" i="3" s="1"/>
  <c r="F1154" i="3" a="1"/>
  <c r="F1154" i="3" s="1"/>
  <c r="F1155" i="3" a="1"/>
  <c r="F1155" i="3" s="1"/>
  <c r="F1156" i="3" a="1"/>
  <c r="F1156" i="3" s="1"/>
  <c r="F1157" i="3" a="1"/>
  <c r="F1157" i="3" s="1"/>
  <c r="F1158" i="3" a="1"/>
  <c r="F1158" i="3" s="1"/>
  <c r="F1159" i="3" a="1"/>
  <c r="F1159" i="3" s="1"/>
  <c r="F1160" i="3" a="1"/>
  <c r="F1160" i="3" s="1"/>
  <c r="F1161" i="3" a="1"/>
  <c r="F1161" i="3" s="1"/>
  <c r="F1162" i="3" a="1"/>
  <c r="F1162" i="3" s="1"/>
  <c r="F1163" i="3" a="1"/>
  <c r="F1163" i="3" s="1"/>
  <c r="F1164" i="3" a="1"/>
  <c r="F1164" i="3" s="1"/>
  <c r="F1165" i="3" a="1"/>
  <c r="F1165" i="3" s="1"/>
  <c r="F1166" i="3" a="1"/>
  <c r="F1166" i="3" s="1"/>
  <c r="F1167" i="3" a="1"/>
  <c r="F1167" i="3" s="1"/>
  <c r="F1168" i="3" a="1"/>
  <c r="F1168" i="3" s="1"/>
  <c r="F1169" i="3" a="1"/>
  <c r="F1169" i="3" s="1"/>
  <c r="F1170" i="3" a="1"/>
  <c r="F1170" i="3" s="1"/>
  <c r="F1171" i="3" a="1"/>
  <c r="F1171" i="3" s="1"/>
  <c r="F1172" i="3" a="1"/>
  <c r="F1172" i="3" s="1"/>
  <c r="F1173" i="3" a="1"/>
  <c r="F1173" i="3" s="1"/>
  <c r="F1174" i="3" a="1"/>
  <c r="F1174" i="3" s="1"/>
  <c r="F1175" i="3" a="1"/>
  <c r="F1175" i="3" s="1"/>
  <c r="F1176" i="3" a="1"/>
  <c r="F1176" i="3" s="1"/>
  <c r="F1177" i="3" a="1"/>
  <c r="F1177" i="3" s="1"/>
  <c r="F1178" i="3" a="1"/>
  <c r="F1178" i="3" s="1"/>
  <c r="F1179" i="3" a="1"/>
  <c r="F1179" i="3" s="1"/>
  <c r="F1180" i="3" a="1"/>
  <c r="F1180" i="3" s="1"/>
  <c r="F1181" i="3" a="1"/>
  <c r="F1181" i="3" s="1"/>
  <c r="F1182" i="3" a="1"/>
  <c r="F1182" i="3" s="1"/>
  <c r="F1183" i="3" a="1"/>
  <c r="F1183" i="3" s="1"/>
  <c r="F1184" i="3" a="1"/>
  <c r="F1184" i="3" s="1"/>
  <c r="F1185" i="3" a="1"/>
  <c r="F1185" i="3" s="1"/>
  <c r="F1186" i="3" a="1"/>
  <c r="F1186" i="3" s="1"/>
  <c r="F1187" i="3" a="1"/>
  <c r="F1187" i="3" s="1"/>
  <c r="F1188" i="3" a="1"/>
  <c r="F1188" i="3" s="1"/>
  <c r="F1189" i="3" a="1"/>
  <c r="F1189" i="3" s="1"/>
  <c r="F1190" i="3" a="1"/>
  <c r="F1190" i="3" s="1"/>
  <c r="F1191" i="3" a="1"/>
  <c r="F1191" i="3" s="1"/>
  <c r="F1192" i="3" a="1"/>
  <c r="F1192" i="3" s="1"/>
  <c r="F1193" i="3" a="1"/>
  <c r="F1193" i="3" s="1"/>
  <c r="F1194" i="3" a="1"/>
  <c r="F1194" i="3" s="1"/>
  <c r="F1195" i="3" a="1"/>
  <c r="F1195" i="3" s="1"/>
  <c r="F1196" i="3" a="1"/>
  <c r="F1196" i="3" s="1"/>
  <c r="F1197" i="3" a="1"/>
  <c r="F1197" i="3" s="1"/>
  <c r="F1198" i="3" a="1"/>
  <c r="F1198" i="3" s="1"/>
  <c r="F1199" i="3" a="1"/>
  <c r="F1199" i="3" s="1"/>
  <c r="F1200" i="3" a="1"/>
  <c r="F1200" i="3" s="1"/>
  <c r="F1201" i="3" a="1"/>
  <c r="F1201" i="3" s="1"/>
  <c r="F1202" i="3" a="1"/>
  <c r="F1202" i="3" s="1"/>
  <c r="F1203" i="3" a="1"/>
  <c r="F1203" i="3" s="1"/>
  <c r="F1204" i="3" a="1"/>
  <c r="F1204" i="3" s="1"/>
  <c r="F1205" i="3" a="1"/>
  <c r="F1205" i="3" s="1"/>
  <c r="F1206" i="3" a="1"/>
  <c r="F1206" i="3" s="1"/>
  <c r="F1207" i="3" a="1"/>
  <c r="F1207" i="3" s="1"/>
  <c r="F1208" i="3" a="1"/>
  <c r="F1208" i="3" s="1"/>
  <c r="F1209" i="3" a="1"/>
  <c r="F1209" i="3" s="1"/>
  <c r="F1210" i="3" a="1"/>
  <c r="F1210" i="3" s="1"/>
  <c r="F1211" i="3" a="1"/>
  <c r="F1211" i="3" s="1"/>
  <c r="F1212" i="3" a="1"/>
  <c r="F1212" i="3" s="1"/>
  <c r="F1213" i="3" a="1"/>
  <c r="F1213" i="3" s="1"/>
  <c r="F1214" i="3" a="1"/>
  <c r="F1214" i="3" s="1"/>
  <c r="F1215" i="3" a="1"/>
  <c r="F1215" i="3" s="1"/>
  <c r="F1216" i="3" a="1"/>
  <c r="F1216" i="3" s="1"/>
  <c r="F1217" i="3" a="1"/>
  <c r="F1217" i="3" s="1"/>
  <c r="F1218" i="3" a="1"/>
  <c r="F1218" i="3" s="1"/>
  <c r="F1219" i="3" a="1"/>
  <c r="F1219" i="3" s="1"/>
  <c r="F1220" i="3" a="1"/>
  <c r="F1220" i="3" s="1"/>
  <c r="F1221" i="3" a="1"/>
  <c r="F1221" i="3" s="1"/>
  <c r="F1222" i="3" a="1"/>
  <c r="F1222" i="3" s="1"/>
  <c r="F1223" i="3" a="1"/>
  <c r="F1223" i="3" s="1"/>
  <c r="F1224" i="3" a="1"/>
  <c r="F1224" i="3" s="1"/>
  <c r="F1225" i="3" a="1"/>
  <c r="F1225" i="3" s="1"/>
  <c r="F1226" i="3" a="1"/>
  <c r="F1226" i="3" s="1"/>
  <c r="F1227" i="3" a="1"/>
  <c r="F1227" i="3" s="1"/>
  <c r="F1228" i="3" a="1"/>
  <c r="F1228" i="3" s="1"/>
  <c r="F1229" i="3" a="1"/>
  <c r="F1229" i="3" s="1"/>
  <c r="F1230" i="3" a="1"/>
  <c r="F1230" i="3" s="1"/>
  <c r="F1231" i="3" a="1"/>
  <c r="F1231" i="3" s="1"/>
  <c r="F1232" i="3" a="1"/>
  <c r="F1232" i="3" s="1"/>
  <c r="F1233" i="3" a="1"/>
  <c r="F1233" i="3" s="1"/>
  <c r="F1234" i="3" a="1"/>
  <c r="F1234" i="3" s="1"/>
  <c r="F1235" i="3" a="1"/>
  <c r="F1235" i="3" s="1"/>
  <c r="F1236" i="3" a="1"/>
  <c r="F1236" i="3" s="1"/>
  <c r="F1237" i="3" a="1"/>
  <c r="F1237" i="3" s="1"/>
  <c r="F1238" i="3" a="1"/>
  <c r="F1238" i="3" s="1"/>
  <c r="F1239" i="3" a="1"/>
  <c r="F1239" i="3" s="1"/>
  <c r="F1240" i="3" a="1"/>
  <c r="F1240" i="3" s="1"/>
  <c r="F1241" i="3" a="1"/>
  <c r="F1241" i="3" s="1"/>
  <c r="F1242" i="3" a="1"/>
  <c r="F1242" i="3" s="1"/>
  <c r="F1243" i="3" a="1"/>
  <c r="F1243" i="3" s="1"/>
  <c r="F1244" i="3" a="1"/>
  <c r="F1244" i="3" s="1"/>
  <c r="F1245" i="3" a="1"/>
  <c r="F1245" i="3" s="1"/>
  <c r="F1246" i="3" a="1"/>
  <c r="F1246" i="3" s="1"/>
  <c r="F1247" i="3" a="1"/>
  <c r="F1247" i="3" s="1"/>
  <c r="F1248" i="3" a="1"/>
  <c r="F1248" i="3" s="1"/>
  <c r="F1249" i="3" a="1"/>
  <c r="F1249" i="3" s="1"/>
  <c r="F1250" i="3" a="1"/>
  <c r="F1250" i="3" s="1"/>
  <c r="F1251" i="3" a="1"/>
  <c r="F1251" i="3" s="1"/>
  <c r="F1252" i="3" a="1"/>
  <c r="F1252" i="3" s="1"/>
  <c r="F1253" i="3" a="1"/>
  <c r="F1253" i="3" s="1"/>
  <c r="F1254" i="3" a="1"/>
  <c r="F1254" i="3" s="1"/>
  <c r="F1255" i="3" a="1"/>
  <c r="F1255" i="3" s="1"/>
  <c r="F1256" i="3" a="1"/>
  <c r="F1256" i="3" s="1"/>
  <c r="F1257" i="3" a="1"/>
  <c r="F1257" i="3" s="1"/>
  <c r="F1258" i="3" a="1"/>
  <c r="F1258" i="3" s="1"/>
  <c r="F1259" i="3" a="1"/>
  <c r="F1259" i="3" s="1"/>
  <c r="F1260" i="3" a="1"/>
  <c r="F1260" i="3" s="1"/>
  <c r="F1261" i="3" a="1"/>
  <c r="F1261" i="3" s="1"/>
  <c r="F1262" i="3" a="1"/>
  <c r="F1262" i="3" s="1"/>
  <c r="F1263" i="3" a="1"/>
  <c r="F1263" i="3" s="1"/>
  <c r="F1264" i="3" a="1"/>
  <c r="F1264" i="3" s="1"/>
  <c r="F1265" i="3" a="1"/>
  <c r="F1265" i="3" s="1"/>
  <c r="F1266" i="3" a="1"/>
  <c r="F1266" i="3" s="1"/>
  <c r="F1267" i="3" a="1"/>
  <c r="F1267" i="3" s="1"/>
  <c r="F1268" i="3" a="1"/>
  <c r="F1268" i="3" s="1"/>
  <c r="F1269" i="3" a="1"/>
  <c r="F1269" i="3" s="1"/>
  <c r="F1270" i="3" a="1"/>
  <c r="F1270" i="3" s="1"/>
  <c r="F1271" i="3" a="1"/>
  <c r="F1271" i="3" s="1"/>
  <c r="F1272" i="3" a="1"/>
  <c r="F1272" i="3" s="1"/>
  <c r="F1273" i="3" a="1"/>
  <c r="F1273" i="3" s="1"/>
  <c r="F1274" i="3" a="1"/>
  <c r="F1274" i="3" s="1"/>
  <c r="F1275" i="3" a="1"/>
  <c r="F1275" i="3" s="1"/>
  <c r="F1276" i="3" a="1"/>
  <c r="F1276" i="3" s="1"/>
  <c r="F1277" i="3" a="1"/>
  <c r="F1277" i="3" s="1"/>
  <c r="F1278" i="3" a="1"/>
  <c r="F1278" i="3" s="1"/>
  <c r="F1279" i="3" a="1"/>
  <c r="F1279" i="3" s="1"/>
  <c r="F1280" i="3" a="1"/>
  <c r="F1280" i="3" s="1"/>
  <c r="F1281" i="3" a="1"/>
  <c r="F1281" i="3" s="1"/>
  <c r="F1282" i="3" a="1"/>
  <c r="F1282" i="3" s="1"/>
  <c r="F1283" i="3" a="1"/>
  <c r="F1283" i="3" s="1"/>
  <c r="F1284" i="3" a="1"/>
  <c r="F1284" i="3" s="1"/>
  <c r="F1285" i="3" a="1"/>
  <c r="F1285" i="3" s="1"/>
  <c r="F1286" i="3" a="1"/>
  <c r="F1286" i="3" s="1"/>
  <c r="F1287" i="3" a="1"/>
  <c r="F1287" i="3" s="1"/>
  <c r="F1288" i="3" a="1"/>
  <c r="F1288" i="3" s="1"/>
  <c r="F1289" i="3" a="1"/>
  <c r="F1289" i="3" s="1"/>
  <c r="F1290" i="3" a="1"/>
  <c r="F1290" i="3" s="1"/>
  <c r="F1291" i="3" a="1"/>
  <c r="F1291" i="3" s="1"/>
  <c r="F1292" i="3" a="1"/>
  <c r="F1292" i="3" s="1"/>
  <c r="F1293" i="3" a="1"/>
  <c r="F1293" i="3" s="1"/>
  <c r="F1294" i="3" a="1"/>
  <c r="F1294" i="3" s="1"/>
  <c r="F1295" i="3" a="1"/>
  <c r="F1295" i="3" s="1"/>
  <c r="F1296" i="3" a="1"/>
  <c r="F1296" i="3" s="1"/>
  <c r="F1297" i="3" a="1"/>
  <c r="F1297" i="3" s="1"/>
  <c r="F1298" i="3" a="1"/>
  <c r="F1298" i="3" s="1"/>
  <c r="F1299" i="3" a="1"/>
  <c r="F1299" i="3" s="1"/>
  <c r="F1300" i="3" a="1"/>
  <c r="F1300" i="3" s="1"/>
  <c r="F1301" i="3" a="1"/>
  <c r="F1301" i="3" s="1"/>
  <c r="F1302" i="3" a="1"/>
  <c r="F1302" i="3" s="1"/>
  <c r="F1303" i="3" a="1"/>
  <c r="F1303" i="3" s="1"/>
  <c r="F1304" i="3" a="1"/>
  <c r="F1304" i="3" s="1"/>
  <c r="F1305" i="3" a="1"/>
  <c r="F1305" i="3" s="1"/>
  <c r="F1306" i="3" a="1"/>
  <c r="F1306" i="3" s="1"/>
  <c r="F1307" i="3" a="1"/>
  <c r="F1307" i="3" s="1"/>
  <c r="F1308" i="3" a="1"/>
  <c r="F1308" i="3" s="1"/>
  <c r="F1309" i="3" a="1"/>
  <c r="F1309" i="3" s="1"/>
  <c r="F1310" i="3" a="1"/>
  <c r="F1310" i="3" s="1"/>
  <c r="F1311" i="3" a="1"/>
  <c r="F1311" i="3" s="1"/>
  <c r="F1312" i="3" a="1"/>
  <c r="F1312" i="3" s="1"/>
  <c r="F1313" i="3" a="1"/>
  <c r="F1313" i="3" s="1"/>
  <c r="F1314" i="3" a="1"/>
  <c r="F1314" i="3" s="1"/>
  <c r="F1315" i="3" a="1"/>
  <c r="F1315" i="3" s="1"/>
  <c r="F1316" i="3" a="1"/>
  <c r="F1316" i="3" s="1"/>
  <c r="F1317" i="3" a="1"/>
  <c r="F1317" i="3" s="1"/>
  <c r="F1318" i="3" a="1"/>
  <c r="F1318" i="3" s="1"/>
  <c r="F1319" i="3" a="1"/>
  <c r="F1319" i="3" s="1"/>
  <c r="F1320" i="3" a="1"/>
  <c r="F1320" i="3" s="1"/>
  <c r="F1321" i="3" a="1"/>
  <c r="F1321" i="3" s="1"/>
  <c r="F1322" i="3" a="1"/>
  <c r="F1322" i="3" s="1"/>
  <c r="F1323" i="3" a="1"/>
  <c r="F1323" i="3" s="1"/>
  <c r="F1324" i="3" a="1"/>
  <c r="F1324" i="3" s="1"/>
  <c r="F1325" i="3" a="1"/>
  <c r="F1325" i="3" s="1"/>
  <c r="F1326" i="3" a="1"/>
  <c r="F1326" i="3" s="1"/>
  <c r="F1327" i="3" a="1"/>
  <c r="F1327" i="3" s="1"/>
  <c r="F1328" i="3" a="1"/>
  <c r="F1328" i="3" s="1"/>
  <c r="F1329" i="3" a="1"/>
  <c r="F1329" i="3" s="1"/>
  <c r="F1330" i="3" a="1"/>
  <c r="F1330" i="3" s="1"/>
  <c r="F1331" i="3" a="1"/>
  <c r="F1331" i="3" s="1"/>
  <c r="F1332" i="3" a="1"/>
  <c r="F1332" i="3" s="1"/>
  <c r="F1333" i="3" a="1"/>
  <c r="F1333" i="3" s="1"/>
  <c r="F1334" i="3" a="1"/>
  <c r="F1334" i="3" s="1"/>
  <c r="F1335" i="3" a="1"/>
  <c r="F1335" i="3" s="1"/>
  <c r="F1336" i="3" a="1"/>
  <c r="F1336" i="3" s="1"/>
  <c r="F1337" i="3" a="1"/>
  <c r="F1337" i="3" s="1"/>
  <c r="F1338" i="3" a="1"/>
  <c r="F1338" i="3" s="1"/>
  <c r="F1339" i="3" a="1"/>
  <c r="F1339" i="3" s="1"/>
  <c r="F1340" i="3" a="1"/>
  <c r="F1340" i="3" s="1"/>
  <c r="F1341" i="3" a="1"/>
  <c r="F1341" i="3" s="1"/>
  <c r="F1342" i="3" a="1"/>
  <c r="F1342" i="3" s="1"/>
  <c r="F1343" i="3" a="1"/>
  <c r="F1343" i="3" s="1"/>
  <c r="F1344" i="3" a="1"/>
  <c r="F1344" i="3" s="1"/>
  <c r="F1345" i="3" a="1"/>
  <c r="F1345" i="3" s="1"/>
  <c r="F1346" i="3" a="1"/>
  <c r="F1346" i="3" s="1"/>
  <c r="F1347" i="3" a="1"/>
  <c r="F1347" i="3" s="1"/>
  <c r="F1348" i="3" a="1"/>
  <c r="F1348" i="3" s="1"/>
  <c r="F1349" i="3" a="1"/>
  <c r="F1349" i="3" s="1"/>
  <c r="F1350" i="3" a="1"/>
  <c r="F1350" i="3" s="1"/>
  <c r="F1351" i="3" a="1"/>
  <c r="F1351" i="3" s="1"/>
  <c r="F1352" i="3" a="1"/>
  <c r="F1352" i="3" s="1"/>
  <c r="F1353" i="3" a="1"/>
  <c r="F1353" i="3" s="1"/>
  <c r="F1354" i="3" a="1"/>
  <c r="F1354" i="3" s="1"/>
  <c r="F1355" i="3" a="1"/>
  <c r="F1355" i="3" s="1"/>
  <c r="F1356" i="3" a="1"/>
  <c r="F1356" i="3" s="1"/>
  <c r="F1357" i="3" a="1"/>
  <c r="F1357" i="3" s="1"/>
  <c r="F1358" i="3" a="1"/>
  <c r="F1358" i="3" s="1"/>
  <c r="F1359" i="3" a="1"/>
  <c r="F1359" i="3" s="1"/>
  <c r="F1360" i="3" a="1"/>
  <c r="F1360" i="3" s="1"/>
  <c r="F1361" i="3" a="1"/>
  <c r="F1361" i="3" s="1"/>
  <c r="F1362" i="3" a="1"/>
  <c r="F1362" i="3" s="1"/>
  <c r="F1363" i="3" a="1"/>
  <c r="F1363" i="3" s="1"/>
  <c r="F1364" i="3" a="1"/>
  <c r="F1364" i="3" s="1"/>
  <c r="F1365" i="3" a="1"/>
  <c r="F1365" i="3" s="1"/>
  <c r="F1366" i="3" a="1"/>
  <c r="F1366" i="3" s="1"/>
  <c r="F1367" i="3" a="1"/>
  <c r="F1367" i="3" s="1"/>
  <c r="F1368" i="3" a="1"/>
  <c r="F1368" i="3" s="1"/>
  <c r="F1369" i="3" a="1"/>
  <c r="F1369" i="3" s="1"/>
  <c r="F1370" i="3" a="1"/>
  <c r="F1370" i="3" s="1"/>
  <c r="F1371" i="3" a="1"/>
  <c r="F1371" i="3" s="1"/>
  <c r="F1372" i="3" a="1"/>
  <c r="F1372" i="3" s="1"/>
  <c r="F1373" i="3" a="1"/>
  <c r="F1373" i="3" s="1"/>
  <c r="F1374" i="3" a="1"/>
  <c r="F1374" i="3" s="1"/>
  <c r="F1375" i="3" a="1"/>
  <c r="F1375" i="3" s="1"/>
  <c r="F1376" i="3" a="1"/>
  <c r="F1376" i="3" s="1"/>
  <c r="F1377" i="3" a="1"/>
  <c r="F1377" i="3" s="1"/>
  <c r="F1378" i="3" a="1"/>
  <c r="F1378" i="3" s="1"/>
  <c r="F1379" i="3" a="1"/>
  <c r="F1379" i="3" s="1"/>
  <c r="F1380" i="3" a="1"/>
  <c r="F1380" i="3" s="1"/>
  <c r="F1381" i="3" a="1"/>
  <c r="F1381" i="3" s="1"/>
  <c r="F1382" i="3" a="1"/>
  <c r="F1382" i="3" s="1"/>
  <c r="F1383" i="3" a="1"/>
  <c r="F1383" i="3" s="1"/>
  <c r="F1384" i="3" a="1"/>
  <c r="F1384" i="3" s="1"/>
  <c r="F1385" i="3" a="1"/>
  <c r="F1385" i="3" s="1"/>
  <c r="F1386" i="3" a="1"/>
  <c r="F1386" i="3" s="1"/>
  <c r="F1387" i="3" a="1"/>
  <c r="F1387" i="3" s="1"/>
  <c r="F1388" i="3" a="1"/>
  <c r="F1388" i="3" s="1"/>
  <c r="F1389" i="3" a="1"/>
  <c r="F1389" i="3" s="1"/>
  <c r="F1390" i="3" a="1"/>
  <c r="F1390" i="3" s="1"/>
  <c r="F1391" i="3" a="1"/>
  <c r="F1391" i="3" s="1"/>
  <c r="F1392" i="3" a="1"/>
  <c r="F1392" i="3" s="1"/>
  <c r="F1393" i="3" a="1"/>
  <c r="F1393" i="3" s="1"/>
  <c r="F1394" i="3" a="1"/>
  <c r="F1394" i="3" s="1"/>
  <c r="F1395" i="3" a="1"/>
  <c r="F1395" i="3" s="1"/>
  <c r="F1396" i="3" a="1"/>
  <c r="F1396" i="3" s="1"/>
  <c r="F1397" i="3" a="1"/>
  <c r="F1397" i="3" s="1"/>
  <c r="F1398" i="3" a="1"/>
  <c r="F1398" i="3" s="1"/>
  <c r="F1399" i="3" a="1"/>
  <c r="F1399" i="3" s="1"/>
  <c r="F1400" i="3" a="1"/>
  <c r="F1400" i="3" s="1"/>
  <c r="F1401" i="3" a="1"/>
  <c r="F1401" i="3" s="1"/>
  <c r="F1402" i="3" a="1"/>
  <c r="F1402" i="3" s="1"/>
  <c r="F1403" i="3" a="1"/>
  <c r="F1403" i="3" s="1"/>
  <c r="F1404" i="3" a="1"/>
  <c r="F1404" i="3" s="1"/>
  <c r="F1405" i="3" a="1"/>
  <c r="F1405" i="3" s="1"/>
  <c r="F1406" i="3" a="1"/>
  <c r="F1406" i="3" s="1"/>
  <c r="F1407" i="3" a="1"/>
  <c r="F1407" i="3" s="1"/>
  <c r="F1408" i="3" a="1"/>
  <c r="F1408" i="3" s="1"/>
  <c r="F1409" i="3" a="1"/>
  <c r="F1409" i="3" s="1"/>
  <c r="F1410" i="3" a="1"/>
  <c r="F1410" i="3" s="1"/>
  <c r="F1411" i="3" a="1"/>
  <c r="F1411" i="3" s="1"/>
  <c r="F1412" i="3" a="1"/>
  <c r="F1412" i="3" s="1"/>
  <c r="F1413" i="3" a="1"/>
  <c r="F1413" i="3" s="1"/>
  <c r="F1414" i="3" a="1"/>
  <c r="F1414" i="3" s="1"/>
  <c r="F1415" i="3" a="1"/>
  <c r="F1415" i="3" s="1"/>
  <c r="F1416" i="3" a="1"/>
  <c r="F1416" i="3" s="1"/>
  <c r="F1417" i="3" a="1"/>
  <c r="F1417" i="3" s="1"/>
  <c r="F1418" i="3" a="1"/>
  <c r="F1418" i="3" s="1"/>
  <c r="F1419" i="3" a="1"/>
  <c r="F1419" i="3" s="1"/>
  <c r="F1420" i="3" a="1"/>
  <c r="F1420" i="3" s="1"/>
  <c r="F1421" i="3" a="1"/>
  <c r="F1421" i="3" s="1"/>
  <c r="F1422" i="3" a="1"/>
  <c r="F1422" i="3" s="1"/>
  <c r="F1423" i="3" a="1"/>
  <c r="F1423" i="3" s="1"/>
  <c r="F1424" i="3" a="1"/>
  <c r="F1424" i="3" s="1"/>
  <c r="F1425" i="3" a="1"/>
  <c r="F1425" i="3" s="1"/>
  <c r="F1426" i="3" a="1"/>
  <c r="F1426" i="3" s="1"/>
  <c r="F1427" i="3" a="1"/>
  <c r="F1427" i="3" s="1"/>
  <c r="F1428" i="3" a="1"/>
  <c r="F1428" i="3" s="1"/>
  <c r="F1429" i="3" a="1"/>
  <c r="F1429" i="3" s="1"/>
  <c r="F1430" i="3" a="1"/>
  <c r="F1430" i="3" s="1"/>
  <c r="F1431" i="3" a="1"/>
  <c r="F1431" i="3" s="1"/>
  <c r="F1432" i="3" a="1"/>
  <c r="F1432" i="3" s="1"/>
  <c r="F1433" i="3" a="1"/>
  <c r="F1433" i="3" s="1"/>
  <c r="F1434" i="3" a="1"/>
  <c r="F1434" i="3" s="1"/>
  <c r="F1435" i="3" a="1"/>
  <c r="F1435" i="3" s="1"/>
  <c r="F1436" i="3" a="1"/>
  <c r="F1436" i="3" s="1"/>
  <c r="F1437" i="3" a="1"/>
  <c r="F1437" i="3" s="1"/>
  <c r="F1438" i="3" a="1"/>
  <c r="F1438" i="3" s="1"/>
  <c r="F1439" i="3" a="1"/>
  <c r="F1439" i="3" s="1"/>
  <c r="F1440" i="3" a="1"/>
  <c r="F1440" i="3" s="1"/>
  <c r="F1441" i="3" a="1"/>
  <c r="F1441" i="3" s="1"/>
  <c r="F1442" i="3" a="1"/>
  <c r="F1442" i="3" s="1"/>
  <c r="F1443" i="3" a="1"/>
  <c r="F1443" i="3" s="1"/>
  <c r="F1444" i="3" a="1"/>
  <c r="F1444" i="3" s="1"/>
  <c r="F1445" i="3" a="1"/>
  <c r="F1445" i="3" s="1"/>
  <c r="F1446" i="3" a="1"/>
  <c r="F1446" i="3" s="1"/>
  <c r="F1447" i="3" a="1"/>
  <c r="F1447" i="3" s="1"/>
  <c r="F1448" i="3" a="1"/>
  <c r="F1448" i="3" s="1"/>
  <c r="F1449" i="3" a="1"/>
  <c r="F1449" i="3" s="1"/>
  <c r="F1450" i="3" a="1"/>
  <c r="F1450" i="3" s="1"/>
  <c r="F1451" i="3" a="1"/>
  <c r="F1451" i="3" s="1"/>
  <c r="F1452" i="3" a="1"/>
  <c r="F1452" i="3" s="1"/>
  <c r="F1453" i="3" a="1"/>
  <c r="F1453" i="3" s="1"/>
  <c r="F1454" i="3" a="1"/>
  <c r="F1454" i="3" s="1"/>
  <c r="F1455" i="3" a="1"/>
  <c r="F1455" i="3" s="1"/>
  <c r="F1456" i="3" a="1"/>
  <c r="F1456" i="3" s="1"/>
  <c r="F1457" i="3" a="1"/>
  <c r="F1457" i="3" s="1"/>
  <c r="F1458" i="3" a="1"/>
  <c r="F1458" i="3" s="1"/>
  <c r="F1459" i="3" a="1"/>
  <c r="F1459" i="3" s="1"/>
  <c r="F1460" i="3" a="1"/>
  <c r="F1460" i="3" s="1"/>
  <c r="F1461" i="3" a="1"/>
  <c r="F1461" i="3" s="1"/>
  <c r="F1462" i="3" a="1"/>
  <c r="F1462" i="3" s="1"/>
  <c r="F1463" i="3" a="1"/>
  <c r="F1463" i="3" s="1"/>
  <c r="F1464" i="3" a="1"/>
  <c r="F1464" i="3" s="1"/>
  <c r="F1465" i="3" a="1"/>
  <c r="F1465" i="3" s="1"/>
  <c r="F1466" i="3" a="1"/>
  <c r="F1466" i="3" s="1"/>
  <c r="F1467" i="3" a="1"/>
  <c r="F1467" i="3" s="1"/>
  <c r="F1468" i="3" a="1"/>
  <c r="F1468" i="3" s="1"/>
  <c r="F1469" i="3" a="1"/>
  <c r="F1469" i="3" s="1"/>
  <c r="F1470" i="3" a="1"/>
  <c r="F1470" i="3" s="1"/>
  <c r="F1471" i="3" a="1"/>
  <c r="F1471" i="3" s="1"/>
  <c r="F1472" i="3" a="1"/>
  <c r="F1472" i="3" s="1"/>
  <c r="F1473" i="3" a="1"/>
  <c r="F1473" i="3" s="1"/>
  <c r="F1474" i="3" a="1"/>
  <c r="F1474" i="3" s="1"/>
  <c r="F1475" i="3" a="1"/>
  <c r="F1475" i="3" s="1"/>
  <c r="F1476" i="3" a="1"/>
  <c r="F1476" i="3" s="1"/>
  <c r="F1477" i="3" a="1"/>
  <c r="F1477" i="3" s="1"/>
  <c r="F1478" i="3" a="1"/>
  <c r="F1478" i="3" s="1"/>
  <c r="F1479" i="3" a="1"/>
  <c r="F1479" i="3" s="1"/>
  <c r="F1480" i="3" a="1"/>
  <c r="F1480" i="3" s="1"/>
  <c r="F1481" i="3" a="1"/>
  <c r="F1481" i="3" s="1"/>
  <c r="F1482" i="3" a="1"/>
  <c r="F1482" i="3" s="1"/>
  <c r="F1483" i="3" a="1"/>
  <c r="F1483" i="3" s="1"/>
  <c r="F1484" i="3" a="1"/>
  <c r="F1484" i="3" s="1"/>
  <c r="F1485" i="3" a="1"/>
  <c r="F1485" i="3" s="1"/>
  <c r="F1486" i="3" a="1"/>
  <c r="F1486" i="3" s="1"/>
  <c r="F1487" i="3" a="1"/>
  <c r="F1487" i="3" s="1"/>
  <c r="F1488" i="3" a="1"/>
  <c r="F1488" i="3" s="1"/>
  <c r="F1489" i="3" a="1"/>
  <c r="F1489" i="3" s="1"/>
  <c r="F1490" i="3" a="1"/>
  <c r="F1490" i="3" s="1"/>
  <c r="F1491" i="3" a="1"/>
  <c r="F1491" i="3" s="1"/>
  <c r="F1492" i="3" a="1"/>
  <c r="F1492" i="3" s="1"/>
  <c r="F1493" i="3" a="1"/>
  <c r="F1493" i="3" s="1"/>
  <c r="F1494" i="3" a="1"/>
  <c r="F1494" i="3" s="1"/>
  <c r="F1495" i="3" a="1"/>
  <c r="F1495" i="3" s="1"/>
  <c r="F1496" i="3" a="1"/>
  <c r="F1496" i="3" s="1"/>
  <c r="F1497" i="3" a="1"/>
  <c r="F1497" i="3" s="1"/>
  <c r="F1498" i="3" a="1"/>
  <c r="F1498" i="3" s="1"/>
  <c r="F1499" i="3" a="1"/>
  <c r="F1499" i="3" s="1"/>
  <c r="F1500" i="3" a="1"/>
  <c r="F1500" i="3" s="1"/>
  <c r="F1501" i="3" a="1"/>
  <c r="F1501" i="3" s="1"/>
  <c r="F1502" i="3" a="1"/>
  <c r="F1502" i="3" s="1"/>
  <c r="F1503" i="3" a="1"/>
  <c r="F1503" i="3" s="1"/>
  <c r="F1504" i="3" a="1"/>
  <c r="F1504" i="3" s="1"/>
  <c r="F1505" i="3" a="1"/>
  <c r="F1505" i="3" s="1"/>
  <c r="F1506" i="3" a="1"/>
  <c r="F1506" i="3" s="1"/>
  <c r="F1507" i="3" a="1"/>
  <c r="F1507" i="3" s="1"/>
  <c r="F1508" i="3" a="1"/>
  <c r="F1508" i="3" s="1"/>
  <c r="F1509" i="3" a="1"/>
  <c r="F1509" i="3" s="1"/>
  <c r="F1510" i="3" a="1"/>
  <c r="F1510" i="3" s="1"/>
  <c r="F1511" i="3" a="1"/>
  <c r="F1511" i="3" s="1"/>
  <c r="F1512" i="3" a="1"/>
  <c r="F1512" i="3" s="1"/>
  <c r="F1513" i="3" a="1"/>
  <c r="F1513" i="3" s="1"/>
  <c r="F1514" i="3" a="1"/>
  <c r="F1514" i="3" s="1"/>
  <c r="F1515" i="3" a="1"/>
  <c r="F1515" i="3" s="1"/>
  <c r="F1516" i="3" a="1"/>
  <c r="F1516" i="3" s="1"/>
  <c r="F1517" i="3" a="1"/>
  <c r="F1517" i="3" s="1"/>
  <c r="F1518" i="3" a="1"/>
  <c r="F1518" i="3" s="1"/>
  <c r="F1519" i="3" a="1"/>
  <c r="F1519" i="3" s="1"/>
  <c r="F1520" i="3" a="1"/>
  <c r="F1520" i="3" s="1"/>
  <c r="F1521" i="3" a="1"/>
  <c r="F1521" i="3" s="1"/>
  <c r="F1522" i="3" a="1"/>
  <c r="F1522" i="3" s="1"/>
  <c r="F1523" i="3" a="1"/>
  <c r="F1523" i="3" s="1"/>
  <c r="F1524" i="3" a="1"/>
  <c r="F1524" i="3" s="1"/>
  <c r="F1525" i="3" a="1"/>
  <c r="F1525" i="3" s="1"/>
  <c r="F1526" i="3" a="1"/>
  <c r="F1526" i="3" s="1"/>
  <c r="F1527" i="3" a="1"/>
  <c r="F1527" i="3" s="1"/>
  <c r="F1528" i="3" a="1"/>
  <c r="F1528" i="3" s="1"/>
  <c r="F1529" i="3" a="1"/>
  <c r="F1529" i="3" s="1"/>
  <c r="F1530" i="3" a="1"/>
  <c r="F1530" i="3" s="1"/>
  <c r="F1531" i="3" a="1"/>
  <c r="F1531" i="3" s="1"/>
  <c r="F1532" i="3" a="1"/>
  <c r="F1532" i="3" s="1"/>
  <c r="F1533" i="3" a="1"/>
  <c r="F1533" i="3" s="1"/>
  <c r="F1534" i="3" a="1"/>
  <c r="F1534" i="3" s="1"/>
  <c r="F1535" i="3" a="1"/>
  <c r="F1535" i="3" s="1"/>
  <c r="F1536" i="3" a="1"/>
  <c r="F1536" i="3" s="1"/>
  <c r="F1537" i="3" a="1"/>
  <c r="F1537" i="3" s="1"/>
  <c r="F1538" i="3" a="1"/>
  <c r="F1538" i="3" s="1"/>
  <c r="F1539" i="3" a="1"/>
  <c r="F1539" i="3" s="1"/>
  <c r="F1540" i="3" a="1"/>
  <c r="F1540" i="3" s="1"/>
  <c r="F1541" i="3" a="1"/>
  <c r="F1541" i="3" s="1"/>
  <c r="F1542" i="3" a="1"/>
  <c r="F1542" i="3" s="1"/>
  <c r="F1543" i="3" a="1"/>
  <c r="F1543" i="3" s="1"/>
  <c r="F1544" i="3" a="1"/>
  <c r="F1544" i="3" s="1"/>
  <c r="F1545" i="3" a="1"/>
  <c r="F1545" i="3" s="1"/>
  <c r="F1546" i="3" a="1"/>
  <c r="F1546" i="3" s="1"/>
  <c r="F1547" i="3" a="1"/>
  <c r="F1547" i="3" s="1"/>
  <c r="F1548" i="3" a="1"/>
  <c r="F1548" i="3" s="1"/>
  <c r="F1549" i="3" a="1"/>
  <c r="F1549" i="3" s="1"/>
  <c r="F1550" i="3" a="1"/>
  <c r="F1550" i="3" s="1"/>
  <c r="F1551" i="3" a="1"/>
  <c r="F1551" i="3" s="1"/>
  <c r="F1552" i="3" a="1"/>
  <c r="F1552" i="3" s="1"/>
  <c r="F1553" i="3" a="1"/>
  <c r="F1553" i="3" s="1"/>
  <c r="F1554" i="3" a="1"/>
  <c r="F1554" i="3" s="1"/>
  <c r="F1555" i="3" a="1"/>
  <c r="F1555" i="3" s="1"/>
  <c r="F1556" i="3" a="1"/>
  <c r="F1556" i="3" s="1"/>
  <c r="F1557" i="3" a="1"/>
  <c r="F1557" i="3" s="1"/>
  <c r="F1558" i="3" a="1"/>
  <c r="F1558" i="3" s="1"/>
  <c r="F1559" i="3" a="1"/>
  <c r="F1559" i="3" s="1"/>
  <c r="F1560" i="3" a="1"/>
  <c r="F1560" i="3" s="1"/>
  <c r="F1561" i="3" a="1"/>
  <c r="F1561" i="3" s="1"/>
  <c r="F1562" i="3" a="1"/>
  <c r="F1562" i="3" s="1"/>
  <c r="F1563" i="3" a="1"/>
  <c r="F1563" i="3" s="1"/>
  <c r="F1564" i="3" a="1"/>
  <c r="F1564" i="3" s="1"/>
  <c r="F1565" i="3" a="1"/>
  <c r="F1565" i="3" s="1"/>
  <c r="F1566" i="3" a="1"/>
  <c r="F1566" i="3" s="1"/>
  <c r="F1567" i="3" a="1"/>
  <c r="F1567" i="3" s="1"/>
  <c r="F1568" i="3" a="1"/>
  <c r="F1568" i="3" s="1"/>
  <c r="F1569" i="3" a="1"/>
  <c r="F1569" i="3" s="1"/>
  <c r="F1570" i="3" a="1"/>
  <c r="F1570" i="3" s="1"/>
  <c r="F1571" i="3" a="1"/>
  <c r="F1571" i="3" s="1"/>
  <c r="F1572" i="3" a="1"/>
  <c r="F1572" i="3" s="1"/>
  <c r="F1573" i="3" a="1"/>
  <c r="F1573" i="3" s="1"/>
  <c r="F1574" i="3" a="1"/>
  <c r="F1574" i="3" s="1"/>
  <c r="F1575" i="3" a="1"/>
  <c r="F1575" i="3" s="1"/>
  <c r="F1576" i="3" a="1"/>
  <c r="F1576" i="3" s="1"/>
  <c r="F1577" i="3" a="1"/>
  <c r="F1577" i="3" s="1"/>
  <c r="F1578" i="3" a="1"/>
  <c r="F1578" i="3" s="1"/>
  <c r="F1579" i="3" a="1"/>
  <c r="F1579" i="3" s="1"/>
  <c r="F1580" i="3" a="1"/>
  <c r="F1580" i="3" s="1"/>
  <c r="F1581" i="3" a="1"/>
  <c r="F1581" i="3" s="1"/>
  <c r="F1582" i="3" a="1"/>
  <c r="F1582" i="3" s="1"/>
  <c r="F1583" i="3" a="1"/>
  <c r="F1583" i="3" s="1"/>
  <c r="F1584" i="3" a="1"/>
  <c r="F1584" i="3" s="1"/>
  <c r="F1585" i="3" a="1"/>
  <c r="F1585" i="3" s="1"/>
  <c r="F1586" i="3" a="1"/>
  <c r="F1586" i="3" s="1"/>
  <c r="F1587" i="3" a="1"/>
  <c r="F1587" i="3" s="1"/>
  <c r="F1588" i="3" a="1"/>
  <c r="F1588" i="3" s="1"/>
  <c r="F1589" i="3" a="1"/>
  <c r="F1589" i="3" s="1"/>
  <c r="F1590" i="3" a="1"/>
  <c r="F1590" i="3" s="1"/>
  <c r="F1591" i="3" a="1"/>
  <c r="F1591" i="3" s="1"/>
  <c r="F1592" i="3" a="1"/>
  <c r="F1592" i="3" s="1"/>
  <c r="F1593" i="3" a="1"/>
  <c r="F1593" i="3" s="1"/>
  <c r="F1594" i="3" a="1"/>
  <c r="F1594" i="3" s="1"/>
  <c r="F1595" i="3" a="1"/>
  <c r="F1595" i="3" s="1"/>
  <c r="F1596" i="3" a="1"/>
  <c r="F1596" i="3" s="1"/>
  <c r="F1597" i="3" a="1"/>
  <c r="F1597" i="3" s="1"/>
  <c r="F1598" i="3" a="1"/>
  <c r="F1598" i="3" s="1"/>
  <c r="F1599" i="3" a="1"/>
  <c r="F1599" i="3" s="1"/>
  <c r="F1600" i="3" a="1"/>
  <c r="F1600" i="3" s="1"/>
  <c r="F1601" i="3" a="1"/>
  <c r="F1601" i="3" s="1"/>
  <c r="F1602" i="3" a="1"/>
  <c r="F1602" i="3" s="1"/>
  <c r="F1603" i="3" a="1"/>
  <c r="F1603" i="3" s="1"/>
  <c r="F1604" i="3" a="1"/>
  <c r="F1604" i="3" s="1"/>
  <c r="F1605" i="3" a="1"/>
  <c r="F1605" i="3" s="1"/>
  <c r="F1606" i="3" a="1"/>
  <c r="F1606" i="3" s="1"/>
  <c r="F1607" i="3" a="1"/>
  <c r="F1607" i="3" s="1"/>
  <c r="F1608" i="3" a="1"/>
  <c r="F1608" i="3" s="1"/>
  <c r="F1609" i="3" a="1"/>
  <c r="F1609" i="3" s="1"/>
  <c r="F1610" i="3" a="1"/>
  <c r="F1610" i="3" s="1"/>
  <c r="F1611" i="3" a="1"/>
  <c r="F1611" i="3" s="1"/>
  <c r="F1612" i="3" a="1"/>
  <c r="F1612" i="3" s="1"/>
  <c r="F1613" i="3" a="1"/>
  <c r="F1613" i="3" s="1"/>
  <c r="F1614" i="3" a="1"/>
  <c r="F1614" i="3" s="1"/>
  <c r="F1615" i="3" a="1"/>
  <c r="F1615" i="3" s="1"/>
  <c r="F1616" i="3" a="1"/>
  <c r="F1616" i="3" s="1"/>
  <c r="F1617" i="3" a="1"/>
  <c r="F1617" i="3" s="1"/>
  <c r="F1618" i="3" a="1"/>
  <c r="F1618" i="3" s="1"/>
  <c r="F1619" i="3" a="1"/>
  <c r="F1619" i="3" s="1"/>
  <c r="F1620" i="3" a="1"/>
  <c r="F1620" i="3" s="1"/>
  <c r="F1621" i="3" a="1"/>
  <c r="F1621" i="3" s="1"/>
  <c r="F1622" i="3" a="1"/>
  <c r="F1622" i="3" s="1"/>
  <c r="F1623" i="3" a="1"/>
  <c r="F1623" i="3" s="1"/>
  <c r="F1624" i="3" a="1"/>
  <c r="F1624" i="3" s="1"/>
  <c r="F1625" i="3" a="1"/>
  <c r="F1625" i="3" s="1"/>
  <c r="F1626" i="3" a="1"/>
  <c r="F1626" i="3" s="1"/>
  <c r="F1627" i="3" a="1"/>
  <c r="F1627" i="3" s="1"/>
  <c r="F1628" i="3" a="1"/>
  <c r="F1628" i="3" s="1"/>
  <c r="F1629" i="3" a="1"/>
  <c r="F1629" i="3" s="1"/>
  <c r="F1630" i="3" a="1"/>
  <c r="F1630" i="3" s="1"/>
  <c r="F1631" i="3" a="1"/>
  <c r="F1631" i="3" s="1"/>
  <c r="F1632" i="3" a="1"/>
  <c r="F1632" i="3" s="1"/>
  <c r="F1633" i="3" a="1"/>
  <c r="F1633" i="3" s="1"/>
  <c r="F1634" i="3" a="1"/>
  <c r="F1634" i="3" s="1"/>
  <c r="F1635" i="3" a="1"/>
  <c r="F1635" i="3" s="1"/>
  <c r="F1636" i="3" a="1"/>
  <c r="F1636" i="3" s="1"/>
  <c r="F1637" i="3" a="1"/>
  <c r="F1637" i="3" s="1"/>
  <c r="F1638" i="3" a="1"/>
  <c r="F1638" i="3" s="1"/>
  <c r="F1639" i="3" a="1"/>
  <c r="F1639" i="3" s="1"/>
  <c r="F1640" i="3" a="1"/>
  <c r="F1640" i="3" s="1"/>
  <c r="F1641" i="3" a="1"/>
  <c r="F1641" i="3" s="1"/>
  <c r="F1642" i="3" a="1"/>
  <c r="F1642" i="3" s="1"/>
  <c r="F1643" i="3" a="1"/>
  <c r="F1643" i="3" s="1"/>
  <c r="F1644" i="3" a="1"/>
  <c r="F1644" i="3" s="1"/>
  <c r="F1645" i="3" a="1"/>
  <c r="F1645" i="3" s="1"/>
  <c r="F1646" i="3" a="1"/>
  <c r="F1646" i="3" s="1"/>
  <c r="F1647" i="3" a="1"/>
  <c r="F1647" i="3" s="1"/>
  <c r="F1648" i="3" a="1"/>
  <c r="F1648" i="3" s="1"/>
  <c r="F1649" i="3" a="1"/>
  <c r="F1649" i="3" s="1"/>
  <c r="F1650" i="3" a="1"/>
  <c r="F1650" i="3" s="1"/>
  <c r="F1651" i="3" a="1"/>
  <c r="F1651" i="3" s="1"/>
  <c r="F1652" i="3" a="1"/>
  <c r="F1652" i="3" s="1"/>
  <c r="F1653" i="3" a="1"/>
  <c r="F1653" i="3" s="1"/>
  <c r="F1654" i="3" a="1"/>
  <c r="F1654" i="3" s="1"/>
  <c r="F1655" i="3" a="1"/>
  <c r="F1655" i="3" s="1"/>
  <c r="F1656" i="3" a="1"/>
  <c r="F1656" i="3" s="1"/>
  <c r="F1657" i="3" a="1"/>
  <c r="F1657" i="3" s="1"/>
  <c r="F1658" i="3" a="1"/>
  <c r="F1658" i="3" s="1"/>
  <c r="F1659" i="3" a="1"/>
  <c r="F1659" i="3" s="1"/>
  <c r="F1660" i="3" a="1"/>
  <c r="F1660" i="3" s="1"/>
  <c r="F1661" i="3" a="1"/>
  <c r="F1661" i="3" s="1"/>
  <c r="F1662" i="3" a="1"/>
  <c r="F1662" i="3" s="1"/>
  <c r="F1663" i="3" a="1"/>
  <c r="F1663" i="3" s="1"/>
  <c r="F1664" i="3" a="1"/>
  <c r="F1664" i="3" s="1"/>
  <c r="F1665" i="3" a="1"/>
  <c r="F1665" i="3" s="1"/>
  <c r="F1666" i="3" a="1"/>
  <c r="F1666" i="3" s="1"/>
  <c r="F1667" i="3" a="1"/>
  <c r="F1667" i="3" s="1"/>
  <c r="F1668" i="3" a="1"/>
  <c r="F1668" i="3" s="1"/>
  <c r="F1669" i="3" a="1"/>
  <c r="F1669" i="3" s="1"/>
  <c r="F1670" i="3" a="1"/>
  <c r="F1670" i="3" s="1"/>
  <c r="F1671" i="3" a="1"/>
  <c r="F1671" i="3" s="1"/>
  <c r="F1672" i="3" a="1"/>
  <c r="F1672" i="3" s="1"/>
  <c r="F1673" i="3" a="1"/>
  <c r="F1673" i="3" s="1"/>
  <c r="F1674" i="3" a="1"/>
  <c r="F1674" i="3" s="1"/>
  <c r="F1675" i="3" a="1"/>
  <c r="F1675" i="3" s="1"/>
  <c r="F1676" i="3" a="1"/>
  <c r="F1676" i="3" s="1"/>
  <c r="F1677" i="3" a="1"/>
  <c r="F1677" i="3" s="1"/>
  <c r="F1678" i="3" a="1"/>
  <c r="F1678" i="3" s="1"/>
  <c r="F1679" i="3" a="1"/>
  <c r="F1679" i="3" s="1"/>
  <c r="F1680" i="3" a="1"/>
  <c r="F1680" i="3" s="1"/>
  <c r="F1681" i="3" a="1"/>
  <c r="F1681" i="3" s="1"/>
  <c r="F1682" i="3" a="1"/>
  <c r="F1682" i="3" s="1"/>
  <c r="F1683" i="3" a="1"/>
  <c r="F1683" i="3" s="1"/>
  <c r="F1684" i="3" a="1"/>
  <c r="F1684" i="3" s="1"/>
  <c r="F1685" i="3" a="1"/>
  <c r="F1685" i="3" s="1"/>
  <c r="F1686" i="3" a="1"/>
  <c r="F1686" i="3" s="1"/>
  <c r="F1687" i="3" a="1"/>
  <c r="F1687" i="3" s="1"/>
  <c r="F1688" i="3" a="1"/>
  <c r="F1688" i="3" s="1"/>
  <c r="F1689" i="3" a="1"/>
  <c r="F1689" i="3" s="1"/>
  <c r="F1690" i="3" a="1"/>
  <c r="F1690" i="3" s="1"/>
  <c r="F1691" i="3" a="1"/>
  <c r="F1691" i="3" s="1"/>
  <c r="F1692" i="3" a="1"/>
  <c r="F1692" i="3" s="1"/>
  <c r="F1693" i="3" a="1"/>
  <c r="F1693" i="3" s="1"/>
  <c r="F1694" i="3" a="1"/>
  <c r="F1694" i="3" s="1"/>
  <c r="F1695" i="3" a="1"/>
  <c r="F1695" i="3" s="1"/>
  <c r="F1696" i="3" a="1"/>
  <c r="F1696" i="3" s="1"/>
  <c r="F1697" i="3" a="1"/>
  <c r="F1697" i="3" s="1"/>
  <c r="F1698" i="3" a="1"/>
  <c r="F1698" i="3" s="1"/>
  <c r="F1699" i="3" a="1"/>
  <c r="F1699" i="3" s="1"/>
  <c r="F1700" i="3" a="1"/>
  <c r="F1700" i="3" s="1"/>
  <c r="F1701" i="3" a="1"/>
  <c r="F1701" i="3" s="1"/>
  <c r="F1702" i="3" a="1"/>
  <c r="F1702" i="3" s="1"/>
  <c r="F1703" i="3" a="1"/>
  <c r="F1703" i="3" s="1"/>
  <c r="F1704" i="3" a="1"/>
  <c r="F1704" i="3" s="1"/>
  <c r="F1705" i="3" a="1"/>
  <c r="F1705" i="3" s="1"/>
  <c r="F1706" i="3" a="1"/>
  <c r="F1706" i="3" s="1"/>
  <c r="F1707" i="3" a="1"/>
  <c r="F1707" i="3" s="1"/>
  <c r="F1708" i="3" a="1"/>
  <c r="F1708" i="3" s="1"/>
  <c r="F1709" i="3" a="1"/>
  <c r="F1709" i="3" s="1"/>
  <c r="F1710" i="3" a="1"/>
  <c r="F1710" i="3" s="1"/>
  <c r="F1711" i="3" a="1"/>
  <c r="F1711" i="3" s="1"/>
  <c r="F1712" i="3" a="1"/>
  <c r="F1712" i="3" s="1"/>
  <c r="F1713" i="3" a="1"/>
  <c r="F1713" i="3" s="1"/>
  <c r="F1714" i="3" a="1"/>
  <c r="F1714" i="3" s="1"/>
  <c r="F1715" i="3" a="1"/>
  <c r="F1715" i="3" s="1"/>
  <c r="F1716" i="3" a="1"/>
  <c r="F1716" i="3" s="1"/>
  <c r="F1717" i="3" a="1"/>
  <c r="F1717" i="3" s="1"/>
  <c r="F1718" i="3" a="1"/>
  <c r="F1718" i="3" s="1"/>
  <c r="F1719" i="3" a="1"/>
  <c r="F1719" i="3" s="1"/>
  <c r="F1720" i="3" a="1"/>
  <c r="F1720" i="3" s="1"/>
  <c r="F1721" i="3" a="1"/>
  <c r="F1721" i="3" s="1"/>
  <c r="F1722" i="3" a="1"/>
  <c r="F1722" i="3" s="1"/>
  <c r="F1723" i="3" a="1"/>
  <c r="F1723" i="3" s="1"/>
  <c r="F1724" i="3" a="1"/>
  <c r="F1724" i="3" s="1"/>
  <c r="F1725" i="3" a="1"/>
  <c r="F1725" i="3" s="1"/>
  <c r="F1726" i="3" a="1"/>
  <c r="F1726" i="3" s="1"/>
  <c r="F1727" i="3" a="1"/>
  <c r="F1727" i="3" s="1"/>
  <c r="F1728" i="3" a="1"/>
  <c r="F1728" i="3" s="1"/>
  <c r="F1729" i="3" a="1"/>
  <c r="F1729" i="3" s="1"/>
  <c r="F1730" i="3" a="1"/>
  <c r="F1730" i="3" s="1"/>
  <c r="F1731" i="3" a="1"/>
  <c r="F1731" i="3" s="1"/>
  <c r="F1732" i="3" a="1"/>
  <c r="F1732" i="3" s="1"/>
  <c r="F1733" i="3" a="1"/>
  <c r="F1733" i="3" s="1"/>
  <c r="F1734" i="3" a="1"/>
  <c r="F1734" i="3" s="1"/>
  <c r="F1735" i="3" a="1"/>
  <c r="F1735" i="3" s="1"/>
  <c r="F1736" i="3" a="1"/>
  <c r="F1736" i="3" s="1"/>
  <c r="F1737" i="3" a="1"/>
  <c r="F1737" i="3" s="1"/>
  <c r="F1738" i="3" a="1"/>
  <c r="F1738" i="3" s="1"/>
  <c r="F1739" i="3" a="1"/>
  <c r="F1739" i="3" s="1"/>
  <c r="F1740" i="3" a="1"/>
  <c r="F1740" i="3" s="1"/>
  <c r="F1741" i="3" a="1"/>
  <c r="F1741" i="3" s="1"/>
  <c r="F1742" i="3" a="1"/>
  <c r="F1742" i="3" s="1"/>
  <c r="F1743" i="3" a="1"/>
  <c r="F1743" i="3" s="1"/>
  <c r="F1744" i="3" a="1"/>
  <c r="F1744" i="3" s="1"/>
  <c r="F1745" i="3" a="1"/>
  <c r="F1745" i="3" s="1"/>
  <c r="F1746" i="3" a="1"/>
  <c r="F1746" i="3" s="1"/>
  <c r="F1747" i="3" a="1"/>
  <c r="F1747" i="3" s="1"/>
  <c r="F1748" i="3" a="1"/>
  <c r="F1748" i="3" s="1"/>
  <c r="F1749" i="3" a="1"/>
  <c r="F1749" i="3" s="1"/>
  <c r="F1750" i="3" a="1"/>
  <c r="F1750" i="3" s="1"/>
  <c r="F1751" i="3" a="1"/>
  <c r="F1751" i="3" s="1"/>
  <c r="F1752" i="3" a="1"/>
  <c r="F1752" i="3" s="1"/>
  <c r="F1753" i="3" a="1"/>
  <c r="F1753" i="3" s="1"/>
  <c r="F1754" i="3" a="1"/>
  <c r="F1754" i="3" s="1"/>
  <c r="F1755" i="3" a="1"/>
  <c r="F1755" i="3" s="1"/>
  <c r="F1756" i="3" a="1"/>
  <c r="F1756" i="3" s="1"/>
  <c r="F1757" i="3" a="1"/>
  <c r="F1757" i="3" s="1"/>
  <c r="F1758" i="3" a="1"/>
  <c r="F1758" i="3" s="1"/>
  <c r="F1759" i="3" a="1"/>
  <c r="F1759" i="3" s="1"/>
  <c r="F1760" i="3" a="1"/>
  <c r="F1760" i="3" s="1"/>
  <c r="F1761" i="3" a="1"/>
  <c r="F1761" i="3" s="1"/>
  <c r="F1762" i="3" a="1"/>
  <c r="F1762" i="3" s="1"/>
  <c r="F1763" i="3" a="1"/>
  <c r="F1763" i="3" s="1"/>
  <c r="F1764" i="3" a="1"/>
  <c r="F1764" i="3" s="1"/>
  <c r="F1765" i="3" a="1"/>
  <c r="F1765" i="3" s="1"/>
  <c r="F1766" i="3" a="1"/>
  <c r="F1766" i="3" s="1"/>
  <c r="F1767" i="3" a="1"/>
  <c r="F1767" i="3" s="1"/>
  <c r="F1768" i="3" a="1"/>
  <c r="F1768" i="3" s="1"/>
  <c r="F1769" i="3" a="1"/>
  <c r="F1769" i="3" s="1"/>
  <c r="F1770" i="3" a="1"/>
  <c r="F1770" i="3" s="1"/>
  <c r="F1771" i="3" a="1"/>
  <c r="F1771" i="3" s="1"/>
  <c r="F1772" i="3" a="1"/>
  <c r="F1772" i="3" s="1"/>
  <c r="F1773" i="3" a="1"/>
  <c r="F1773" i="3" s="1"/>
  <c r="F1774" i="3" a="1"/>
  <c r="F1774" i="3" s="1"/>
  <c r="F1775" i="3" a="1"/>
  <c r="F1775" i="3" s="1"/>
  <c r="F1776" i="3" a="1"/>
  <c r="F1776" i="3" s="1"/>
  <c r="F1777" i="3" a="1"/>
  <c r="F1777" i="3" s="1"/>
  <c r="F1778" i="3" a="1"/>
  <c r="F1778" i="3" s="1"/>
  <c r="F1779" i="3" a="1"/>
  <c r="F1779" i="3" s="1"/>
  <c r="F1780" i="3" a="1"/>
  <c r="F1780" i="3" s="1"/>
  <c r="F1781" i="3" a="1"/>
  <c r="F1781" i="3" s="1"/>
  <c r="F1782" i="3" a="1"/>
  <c r="F1782" i="3" s="1"/>
  <c r="F1783" i="3" a="1"/>
  <c r="F1783" i="3" s="1"/>
  <c r="F1784" i="3" a="1"/>
  <c r="F1784" i="3" s="1"/>
  <c r="F1785" i="3" a="1"/>
  <c r="F1785" i="3" s="1"/>
  <c r="F1786" i="3" a="1"/>
  <c r="F1786" i="3" s="1"/>
  <c r="F1787" i="3" a="1"/>
  <c r="F1787" i="3" s="1"/>
  <c r="F1788" i="3" a="1"/>
  <c r="F1788" i="3" s="1"/>
  <c r="F1789" i="3" a="1"/>
  <c r="F1789" i="3" s="1"/>
  <c r="F1790" i="3" a="1"/>
  <c r="F1790" i="3" s="1"/>
  <c r="F1791" i="3" a="1"/>
  <c r="F1791" i="3" s="1"/>
  <c r="F1792" i="3" a="1"/>
  <c r="F1792" i="3" s="1"/>
  <c r="F1793" i="3" a="1"/>
  <c r="F1793" i="3" s="1"/>
  <c r="F1794" i="3" a="1"/>
  <c r="F1794" i="3" s="1"/>
  <c r="F1795" i="3" a="1"/>
  <c r="F1795" i="3" s="1"/>
  <c r="F1796" i="3" a="1"/>
  <c r="F1796" i="3" s="1"/>
  <c r="F1797" i="3" a="1"/>
  <c r="F1797" i="3" s="1"/>
  <c r="F1798" i="3" a="1"/>
  <c r="F1798" i="3" s="1"/>
  <c r="F1799" i="3" a="1"/>
  <c r="F1799" i="3" s="1"/>
  <c r="F1800" i="3" a="1"/>
  <c r="F1800" i="3" s="1"/>
  <c r="F1801" i="3" a="1"/>
  <c r="F1801" i="3" s="1"/>
  <c r="F1802" i="3" a="1"/>
  <c r="F1802" i="3" s="1"/>
  <c r="F1803" i="3" a="1"/>
  <c r="F1803" i="3" s="1"/>
  <c r="F1804" i="3" a="1"/>
  <c r="F1804" i="3" s="1"/>
  <c r="F1805" i="3" a="1"/>
  <c r="F1805" i="3" s="1"/>
  <c r="F1806" i="3" a="1"/>
  <c r="F1806" i="3" s="1"/>
  <c r="F1807" i="3" a="1"/>
  <c r="F1807" i="3" s="1"/>
  <c r="F1808" i="3" a="1"/>
  <c r="F1808" i="3" s="1"/>
  <c r="F1809" i="3" a="1"/>
  <c r="F1809" i="3" s="1"/>
  <c r="F1810" i="3" a="1"/>
  <c r="F1810" i="3" s="1"/>
  <c r="F1811" i="3" a="1"/>
  <c r="F1811" i="3" s="1"/>
  <c r="F1812" i="3" a="1"/>
  <c r="F1812" i="3" s="1"/>
  <c r="F1813" i="3" a="1"/>
  <c r="F1813" i="3" s="1"/>
  <c r="F1814" i="3" a="1"/>
  <c r="F1814" i="3" s="1"/>
  <c r="F1815" i="3" a="1"/>
  <c r="F1815" i="3" s="1"/>
  <c r="F1816" i="3" a="1"/>
  <c r="F1816" i="3" s="1"/>
  <c r="F1817" i="3" a="1"/>
  <c r="F1817" i="3" s="1"/>
  <c r="F1818" i="3" a="1"/>
  <c r="F1818" i="3" s="1"/>
  <c r="F1819" i="3" a="1"/>
  <c r="F1819" i="3" s="1"/>
  <c r="F1820" i="3" a="1"/>
  <c r="F1820" i="3" s="1"/>
  <c r="F1821" i="3" a="1"/>
  <c r="F1821" i="3" s="1"/>
  <c r="F1822" i="3" a="1"/>
  <c r="F1822" i="3" s="1"/>
  <c r="F1823" i="3" a="1"/>
  <c r="F1823" i="3" s="1"/>
  <c r="F1824" i="3" a="1"/>
  <c r="F1824" i="3" s="1"/>
  <c r="F1825" i="3" a="1"/>
  <c r="F1825" i="3" s="1"/>
  <c r="F1826" i="3" a="1"/>
  <c r="F1826" i="3" s="1"/>
  <c r="F1827" i="3" a="1"/>
  <c r="F1827" i="3" s="1"/>
  <c r="F1828" i="3" a="1"/>
  <c r="F1828" i="3" s="1"/>
  <c r="F1829" i="3" a="1"/>
  <c r="F1829" i="3" s="1"/>
  <c r="F1830" i="3" a="1"/>
  <c r="F1830" i="3" s="1"/>
  <c r="F1831" i="3" a="1"/>
  <c r="F1831" i="3" s="1"/>
  <c r="F1832" i="3" a="1"/>
  <c r="F1832" i="3" s="1"/>
  <c r="F1833" i="3" a="1"/>
  <c r="F1833" i="3" s="1"/>
  <c r="F1834" i="3" a="1"/>
  <c r="F1834" i="3" s="1"/>
  <c r="F1835" i="3" a="1"/>
  <c r="F1835" i="3" s="1"/>
  <c r="F1836" i="3" a="1"/>
  <c r="F1836" i="3" s="1"/>
  <c r="F1837" i="3" a="1"/>
  <c r="F1837" i="3" s="1"/>
  <c r="F1838" i="3" a="1"/>
  <c r="F1838" i="3" s="1"/>
  <c r="F1839" i="3" a="1"/>
  <c r="F1839" i="3" s="1"/>
  <c r="F1840" i="3" a="1"/>
  <c r="F1840" i="3" s="1"/>
  <c r="F1841" i="3" a="1"/>
  <c r="F1841" i="3" s="1"/>
  <c r="F1842" i="3" a="1"/>
  <c r="F1842" i="3" s="1"/>
  <c r="F1843" i="3" a="1"/>
  <c r="F1843" i="3" s="1"/>
  <c r="F1844" i="3" a="1"/>
  <c r="F1844" i="3" s="1"/>
  <c r="F1845" i="3" a="1"/>
  <c r="F1845" i="3" s="1"/>
  <c r="F1846" i="3" a="1"/>
  <c r="F1846" i="3" s="1"/>
  <c r="F1847" i="3" a="1"/>
  <c r="F1847" i="3" s="1"/>
  <c r="F1848" i="3" a="1"/>
  <c r="F1848" i="3" s="1"/>
  <c r="F1849" i="3" a="1"/>
  <c r="F1849" i="3" s="1"/>
  <c r="F1850" i="3" a="1"/>
  <c r="F1850" i="3" s="1"/>
  <c r="F1851" i="3" a="1"/>
  <c r="F1851" i="3" s="1"/>
  <c r="F1852" i="3" a="1"/>
  <c r="F1852" i="3" s="1"/>
  <c r="F1853" i="3" a="1"/>
  <c r="F1853" i="3" s="1"/>
  <c r="F1854" i="3" a="1"/>
  <c r="F1854" i="3" s="1"/>
  <c r="F1855" i="3" a="1"/>
  <c r="F1855" i="3" s="1"/>
  <c r="F1856" i="3" a="1"/>
  <c r="F1856" i="3" s="1"/>
  <c r="F1857" i="3" a="1"/>
  <c r="F1857" i="3" s="1"/>
  <c r="F1858" i="3" a="1"/>
  <c r="F1858" i="3" s="1"/>
  <c r="F1859" i="3" a="1"/>
  <c r="F1859" i="3" s="1"/>
  <c r="F1860" i="3" a="1"/>
  <c r="F1860" i="3" s="1"/>
  <c r="F1861" i="3" a="1"/>
  <c r="F1861" i="3" s="1"/>
  <c r="F1862" i="3" a="1"/>
  <c r="F1862" i="3" s="1"/>
  <c r="F1863" i="3" a="1"/>
  <c r="F1863" i="3" s="1"/>
  <c r="F1864" i="3" a="1"/>
  <c r="F1864" i="3" s="1"/>
  <c r="F1865" i="3" a="1"/>
  <c r="F1865" i="3" s="1"/>
  <c r="F1866" i="3" a="1"/>
  <c r="F1866" i="3" s="1"/>
  <c r="F1867" i="3" a="1"/>
  <c r="F1867" i="3" s="1"/>
  <c r="F1868" i="3" a="1"/>
  <c r="F1868" i="3" s="1"/>
  <c r="F1869" i="3" a="1"/>
  <c r="F1869" i="3" s="1"/>
  <c r="F1870" i="3" a="1"/>
  <c r="F1870" i="3" s="1"/>
  <c r="F1871" i="3" a="1"/>
  <c r="F1871" i="3" s="1"/>
  <c r="F1872" i="3" a="1"/>
  <c r="F1872" i="3" s="1"/>
  <c r="F1873" i="3" a="1"/>
  <c r="F1873" i="3" s="1"/>
  <c r="F1874" i="3" a="1"/>
  <c r="F1874" i="3" s="1"/>
  <c r="F1875" i="3" a="1"/>
  <c r="F1875" i="3" s="1"/>
  <c r="F1876" i="3" a="1"/>
  <c r="F1876" i="3" s="1"/>
  <c r="F1877" i="3" a="1"/>
  <c r="F1877" i="3" s="1"/>
  <c r="F1878" i="3" a="1"/>
  <c r="F1878" i="3" s="1"/>
  <c r="F1879" i="3" a="1"/>
  <c r="F1879" i="3" s="1"/>
  <c r="F1880" i="3" a="1"/>
  <c r="F1880" i="3" s="1"/>
  <c r="F1881" i="3" a="1"/>
  <c r="F1881" i="3" s="1"/>
  <c r="F1882" i="3" a="1"/>
  <c r="F1882" i="3" s="1"/>
  <c r="F1883" i="3" a="1"/>
  <c r="F1883" i="3" s="1"/>
  <c r="F1884" i="3" a="1"/>
  <c r="F1884" i="3" s="1"/>
  <c r="F1885" i="3" a="1"/>
  <c r="F1885" i="3" s="1"/>
  <c r="F1886" i="3" a="1"/>
  <c r="F1886" i="3" s="1"/>
  <c r="F1887" i="3" a="1"/>
  <c r="F1887" i="3" s="1"/>
  <c r="F1888" i="3" a="1"/>
  <c r="F1888" i="3" s="1"/>
  <c r="F1889" i="3" a="1"/>
  <c r="F1889" i="3" s="1"/>
  <c r="F1890" i="3" a="1"/>
  <c r="F1890" i="3" s="1"/>
  <c r="F1891" i="3" a="1"/>
  <c r="F1891" i="3" s="1"/>
  <c r="F1892" i="3" a="1"/>
  <c r="F1892" i="3" s="1"/>
  <c r="F1893" i="3" a="1"/>
  <c r="F1893" i="3" s="1"/>
  <c r="F1894" i="3" a="1"/>
  <c r="F1894" i="3" s="1"/>
  <c r="F1895" i="3" a="1"/>
  <c r="F1895" i="3" s="1"/>
  <c r="F1896" i="3" a="1"/>
  <c r="F1896" i="3" s="1"/>
  <c r="F1897" i="3" a="1"/>
  <c r="F1897" i="3" s="1"/>
  <c r="F1898" i="3" a="1"/>
  <c r="F1898" i="3" s="1"/>
  <c r="F1899" i="3" a="1"/>
  <c r="F1899" i="3" s="1"/>
  <c r="F1900" i="3" a="1"/>
  <c r="F1900" i="3" s="1"/>
  <c r="F1901" i="3" a="1"/>
  <c r="F1901" i="3" s="1"/>
  <c r="F1902" i="3" a="1"/>
  <c r="F1902" i="3" s="1"/>
  <c r="F1903" i="3" a="1"/>
  <c r="F1903" i="3" s="1"/>
  <c r="F1904" i="3" a="1"/>
  <c r="F1904" i="3" s="1"/>
  <c r="F1905" i="3" a="1"/>
  <c r="F1905" i="3" s="1"/>
  <c r="F1906" i="3" a="1"/>
  <c r="F1906" i="3" s="1"/>
  <c r="F1907" i="3" a="1"/>
  <c r="F1907" i="3" s="1"/>
  <c r="F1908" i="3" a="1"/>
  <c r="F1908" i="3" s="1"/>
  <c r="F1909" i="3" a="1"/>
  <c r="F1909" i="3" s="1"/>
  <c r="F1910" i="3" a="1"/>
  <c r="F1910" i="3" s="1"/>
  <c r="F1911" i="3" a="1"/>
  <c r="F1911" i="3" s="1"/>
  <c r="F1912" i="3" a="1"/>
  <c r="F1912" i="3" s="1"/>
  <c r="F1913" i="3" a="1"/>
  <c r="F1913" i="3" s="1"/>
  <c r="F1914" i="3" a="1"/>
  <c r="F1914" i="3" s="1"/>
  <c r="F1915" i="3" a="1"/>
  <c r="F1915" i="3" s="1"/>
  <c r="F1916" i="3" a="1"/>
  <c r="F1916" i="3" s="1"/>
  <c r="F1917" i="3" a="1"/>
  <c r="F1917" i="3" s="1"/>
  <c r="F1918" i="3" a="1"/>
  <c r="F1918" i="3" s="1"/>
  <c r="F1919" i="3" a="1"/>
  <c r="F1919" i="3" s="1"/>
  <c r="F1920" i="3" a="1"/>
  <c r="F1920" i="3" s="1"/>
  <c r="F1921" i="3" a="1"/>
  <c r="F1921" i="3" s="1"/>
  <c r="F1922" i="3" a="1"/>
  <c r="F1922" i="3" s="1"/>
  <c r="F1923" i="3" a="1"/>
  <c r="F1923" i="3" s="1"/>
  <c r="F1924" i="3" a="1"/>
  <c r="F1924" i="3" s="1"/>
  <c r="F1925" i="3" a="1"/>
  <c r="F1925" i="3" s="1"/>
  <c r="F1926" i="3" a="1"/>
  <c r="F1926" i="3" s="1"/>
  <c r="F1927" i="3" a="1"/>
  <c r="F1927" i="3" s="1"/>
  <c r="F1928" i="3" a="1"/>
  <c r="F1928" i="3" s="1"/>
  <c r="F1929" i="3" a="1"/>
  <c r="F1929" i="3" s="1"/>
  <c r="F1930" i="3" a="1"/>
  <c r="F1930" i="3" s="1"/>
  <c r="F1931" i="3" a="1"/>
  <c r="F1931" i="3" s="1"/>
  <c r="F1932" i="3" a="1"/>
  <c r="F1932" i="3" s="1"/>
  <c r="F1933" i="3" a="1"/>
  <c r="F1933" i="3" s="1"/>
  <c r="F1934" i="3" a="1"/>
  <c r="F1934" i="3" s="1"/>
  <c r="F1935" i="3" a="1"/>
  <c r="F1935" i="3" s="1"/>
  <c r="F1936" i="3" a="1"/>
  <c r="F1936" i="3" s="1"/>
  <c r="F1937" i="3" a="1"/>
  <c r="F1937" i="3" s="1"/>
  <c r="F1938" i="3" a="1"/>
  <c r="F1938" i="3" s="1"/>
  <c r="F1939" i="3" a="1"/>
  <c r="F1939" i="3" s="1"/>
  <c r="F1940" i="3" a="1"/>
  <c r="F1940" i="3" s="1"/>
  <c r="F1941" i="3" a="1"/>
  <c r="F1941" i="3" s="1"/>
  <c r="F1942" i="3" a="1"/>
  <c r="F1942" i="3" s="1"/>
  <c r="F1943" i="3" a="1"/>
  <c r="F1943" i="3" s="1"/>
  <c r="F1944" i="3" a="1"/>
  <c r="F1944" i="3" s="1"/>
  <c r="F1945" i="3" a="1"/>
  <c r="F1945" i="3" s="1"/>
  <c r="F1946" i="3" a="1"/>
  <c r="F1946" i="3" s="1"/>
  <c r="F1947" i="3" a="1"/>
  <c r="F1947" i="3" s="1"/>
  <c r="F1948" i="3" a="1"/>
  <c r="F1948" i="3" s="1"/>
  <c r="F1949" i="3" a="1"/>
  <c r="F1949" i="3" s="1"/>
  <c r="F1950" i="3" a="1"/>
  <c r="F1950" i="3" s="1"/>
  <c r="F1951" i="3" a="1"/>
  <c r="F1951" i="3" s="1"/>
  <c r="F1952" i="3" a="1"/>
  <c r="F1952" i="3" s="1"/>
  <c r="F1953" i="3" a="1"/>
  <c r="F1953" i="3" s="1"/>
  <c r="F1954" i="3" a="1"/>
  <c r="F1954" i="3" s="1"/>
  <c r="F1955" i="3" a="1"/>
  <c r="F1955" i="3" s="1"/>
  <c r="F1956" i="3" a="1"/>
  <c r="F1956" i="3" s="1"/>
  <c r="F1957" i="3" a="1"/>
  <c r="F1957" i="3" s="1"/>
  <c r="H5" i="6"/>
  <c r="G5" i="6" s="1"/>
  <c r="H6" i="6"/>
  <c r="G6" i="6" s="1"/>
  <c r="H7" i="6"/>
  <c r="G7" i="6" s="1"/>
  <c r="H4" i="6"/>
  <c r="G4" i="6" s="1"/>
  <c r="C8" i="6" l="1"/>
  <c r="B8" i="6" s="1"/>
  <c r="C9" i="6"/>
  <c r="B9" i="6" s="1"/>
  <c r="C7" i="6"/>
  <c r="B7" i="6" s="1"/>
  <c r="C6" i="6"/>
  <c r="B6" i="6" s="1"/>
  <c r="C5" i="6"/>
  <c r="B5" i="6" s="1"/>
  <c r="B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CF8151-60A2-4A7A-B2D4-94725C75305B}" keepAlive="1" name="Query - Cleaned &amp; Transformed IMDB Movies dataset" description="Connection to the 'Cleaned &amp; Transformed IMDB Movies dataset' query in the workbook." type="5" refreshedVersion="8" background="1" saveData="1">
    <dbPr connection="Provider=Microsoft.Mashup.OleDb.1;Data Source=$Workbook$;Location=&quot;Cleaned &amp; Transformed IMDB Movies dataset&quot;;Extended Properties=&quot;&quot;" command="SELECT * FROM [Cleaned &amp; Transformed IMDB Movies dataset]"/>
  </connection>
  <connection id="2" xr16:uid="{31E23747-19BF-4729-9C2C-55C8A46D4E68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<sst xmlns="http://schemas.openxmlformats.org/spreadsheetml/2006/main" count="5924" uniqueCount="2491">
  <si>
    <t>movie_name</t>
  </si>
  <si>
    <t>Year</t>
  </si>
  <si>
    <t>Age</t>
  </si>
  <si>
    <t>Duration(minutes)</t>
  </si>
  <si>
    <t>Ratings</t>
  </si>
  <si>
    <t>Gross Profit($M)</t>
  </si>
  <si>
    <t>Votes</t>
  </si>
  <si>
    <t>De trei ori Bucuresti</t>
  </si>
  <si>
    <t>Ein Mann geht durch die Wand</t>
  </si>
  <si>
    <t>Once Upon a Scoundrel</t>
  </si>
  <si>
    <t>Extraction</t>
  </si>
  <si>
    <t>Tomorrow You're Gone</t>
  </si>
  <si>
    <t>Sonja Henie: Queen of the Ice</t>
  </si>
  <si>
    <t>Deranged</t>
  </si>
  <si>
    <t>A Dangerous Man</t>
  </si>
  <si>
    <t>Godzilla vs. Megalon</t>
  </si>
  <si>
    <t>The Poison Tree</t>
  </si>
  <si>
    <t>1600 Penn</t>
  </si>
  <si>
    <t>The Impossible</t>
  </si>
  <si>
    <t>Deception</t>
  </si>
  <si>
    <t>Dredd</t>
  </si>
  <si>
    <t>The Chumscrubber</t>
  </si>
  <si>
    <t>Upside Down</t>
  </si>
  <si>
    <t>13 Steps Down</t>
  </si>
  <si>
    <t>The Perks of Being a Wallflower</t>
  </si>
  <si>
    <t>Beasts of the Southern Wild</t>
  </si>
  <si>
    <t>The Collection</t>
  </si>
  <si>
    <t>The Baytown Outlaws</t>
  </si>
  <si>
    <t>King Kong vs. Godzilla</t>
  </si>
  <si>
    <t>Ill Manors</t>
  </si>
  <si>
    <t>Mothra vs. Godzilla</t>
  </si>
  <si>
    <t>The Last Enemy</t>
  </si>
  <si>
    <t>Gamera: The Giant Monster</t>
  </si>
  <si>
    <t>Kon-Tiki</t>
  </si>
  <si>
    <t>Last Tango in Halifax</t>
  </si>
  <si>
    <t>His Way</t>
  </si>
  <si>
    <t>My Way</t>
  </si>
  <si>
    <t>Home Alone 3</t>
  </si>
  <si>
    <t>The Host</t>
  </si>
  <si>
    <t>Resident Evil: Retribution</t>
  </si>
  <si>
    <t>Pitch Perfect</t>
  </si>
  <si>
    <t>Gerry</t>
  </si>
  <si>
    <t>Clubbed</t>
  </si>
  <si>
    <t>In Memory of Me</t>
  </si>
  <si>
    <t>Skyfall</t>
  </si>
  <si>
    <t>Hitchcock</t>
  </si>
  <si>
    <t>Flight</t>
  </si>
  <si>
    <t>Lincoln</t>
  </si>
  <si>
    <t>The Imposter</t>
  </si>
  <si>
    <t>Lourdes</t>
  </si>
  <si>
    <t>Zero Dark Thirty</t>
  </si>
  <si>
    <t>The Hobbit: An Unexpected Journey</t>
  </si>
  <si>
    <t>Farewell, My Queen</t>
  </si>
  <si>
    <t>Anna Karenina</t>
  </si>
  <si>
    <t>Madagascar 3: Europe's Most Wanted</t>
  </si>
  <si>
    <t>Jack &amp; Diane</t>
  </si>
  <si>
    <t>Turn Me On, Dammit!</t>
  </si>
  <si>
    <t>Silver Linings Playbook</t>
  </si>
  <si>
    <t>Won't Back Down</t>
  </si>
  <si>
    <t>Outside Satan</t>
  </si>
  <si>
    <t>Breathing</t>
  </si>
  <si>
    <t>Grabbers</t>
  </si>
  <si>
    <t>Branded</t>
  </si>
  <si>
    <t>Ex-Girlfriends</t>
  </si>
  <si>
    <t>Jiro Dreams of Sushi</t>
  </si>
  <si>
    <t>Mini's First Time</t>
  </si>
  <si>
    <t>Hotel Transylvania</t>
  </si>
  <si>
    <t>Blue Gate Crossing</t>
  </si>
  <si>
    <t>A Late Quartet</t>
  </si>
  <si>
    <t>Lords of Dogtown</t>
  </si>
  <si>
    <t>The Paperboy</t>
  </si>
  <si>
    <t>The Raspberry Reich</t>
  </si>
  <si>
    <t>West of Memphis</t>
  </si>
  <si>
    <t>Premium Rush</t>
  </si>
  <si>
    <t>Killing Them Softly</t>
  </si>
  <si>
    <t>Frankenweenie</t>
  </si>
  <si>
    <t>Psycho II</t>
  </si>
  <si>
    <t>The Sessions</t>
  </si>
  <si>
    <t>Sister</t>
  </si>
  <si>
    <t>2 Days in New York</t>
  </si>
  <si>
    <t>Resurrecting the Champ</t>
  </si>
  <si>
    <t>No</t>
  </si>
  <si>
    <t>Stand Up Guys</t>
  </si>
  <si>
    <t>Robot &amp; Frank</t>
  </si>
  <si>
    <t>The Giant Mechanical Man</t>
  </si>
  <si>
    <t>The Eclipse</t>
  </si>
  <si>
    <t>The Pirates! In an Adventure with Scientists!</t>
  </si>
  <si>
    <t>Allegiance</t>
  </si>
  <si>
    <t>Hyde Park on Hudson</t>
  </si>
  <si>
    <t>Possession</t>
  </si>
  <si>
    <t>The Sweeney</t>
  </si>
  <si>
    <t>Down in the Valley</t>
  </si>
  <si>
    <t>Life of Pi</t>
  </si>
  <si>
    <t>Gangster Squad</t>
  </si>
  <si>
    <t>Snabba cash</t>
  </si>
  <si>
    <t>Chaos</t>
  </si>
  <si>
    <t>The Master</t>
  </si>
  <si>
    <t>Diana Vreeland: The Eye Has to Travel</t>
  </si>
  <si>
    <t>The Angels' Share</t>
  </si>
  <si>
    <t>Music Within</t>
  </si>
  <si>
    <t>Hit and Run</t>
  </si>
  <si>
    <t>Irma Vep</t>
  </si>
  <si>
    <t>Samsara</t>
  </si>
  <si>
    <t>Nobody Walks</t>
  </si>
  <si>
    <t>Holy Motors</t>
  </si>
  <si>
    <t>Celeste &amp; Jesse Forever</t>
  </si>
  <si>
    <t>The Elephant King</t>
  </si>
  <si>
    <t>Shadow Dancer</t>
  </si>
  <si>
    <t>Tampopo</t>
  </si>
  <si>
    <t>Love Is All You Need</t>
  </si>
  <si>
    <t>The Perfect Family</t>
  </si>
  <si>
    <t>The September Issue</t>
  </si>
  <si>
    <t>Mama</t>
  </si>
  <si>
    <t>The Twilight Saga: Breaking Dawn - Part 2</t>
  </si>
  <si>
    <t>Wreck-It Ralph</t>
  </si>
  <si>
    <t>House at the End of the Street</t>
  </si>
  <si>
    <t>Away We Go</t>
  </si>
  <si>
    <t>The Watch</t>
  </si>
  <si>
    <t>Clockers</t>
  </si>
  <si>
    <t>Side Effects</t>
  </si>
  <si>
    <t>What to Expect When You're Expecting</t>
  </si>
  <si>
    <t>28 Hotel Rooms</t>
  </si>
  <si>
    <t>The Star Chamber</t>
  </si>
  <si>
    <t>Easy Money II: Hard to Kill</t>
  </si>
  <si>
    <t>John Dies at the End</t>
  </si>
  <si>
    <t>Reality</t>
  </si>
  <si>
    <t>Undefeated</t>
  </si>
  <si>
    <t>It's All About Love</t>
  </si>
  <si>
    <t>Lore</t>
  </si>
  <si>
    <t>He's Just Not That Into You</t>
  </si>
  <si>
    <t>Sorry, Haters</t>
  </si>
  <si>
    <t>Lola Versus</t>
  </si>
  <si>
    <t>Your Sister's Sister</t>
  </si>
  <si>
    <t>Everyday</t>
  </si>
  <si>
    <t>Chasing Mavericks</t>
  </si>
  <si>
    <t>Fairhaven</t>
  </si>
  <si>
    <t>Trishna</t>
  </si>
  <si>
    <t>Mosquita y Mari</t>
  </si>
  <si>
    <t>Alex Cross</t>
  </si>
  <si>
    <t>Rise of the Guardians</t>
  </si>
  <si>
    <t>Cherry</t>
  </si>
  <si>
    <t>Searching for Sugar Man</t>
  </si>
  <si>
    <t>Amour</t>
  </si>
  <si>
    <t>Harry, He's Here to Help</t>
  </si>
  <si>
    <t>Brave</t>
  </si>
  <si>
    <t>A Glimpse Inside the Mind of Charles Swan III</t>
  </si>
  <si>
    <t>Heleno</t>
  </si>
  <si>
    <t>Here Comes the Boom</t>
  </si>
  <si>
    <t>The Kid with a Bike</t>
  </si>
  <si>
    <t>Jack Reacher</t>
  </si>
  <si>
    <t>Java Heat</t>
  </si>
  <si>
    <t>Room 237</t>
  </si>
  <si>
    <t>Inescapable</t>
  </si>
  <si>
    <t>Dark Skies</t>
  </si>
  <si>
    <t>Broken City</t>
  </si>
  <si>
    <t>The Numbers Station</t>
  </si>
  <si>
    <t>Oblivion</t>
  </si>
  <si>
    <t>Iron Man 3</t>
  </si>
  <si>
    <t>The Company You Keep</t>
  </si>
  <si>
    <t>Hansel &amp; Gretel: Witch Hunters</t>
  </si>
  <si>
    <t>Safe Haven</t>
  </si>
  <si>
    <t>Parker</t>
  </si>
  <si>
    <t>21 &amp; Over</t>
  </si>
  <si>
    <t>The Place Beyond the Pines</t>
  </si>
  <si>
    <t>Sirius</t>
  </si>
  <si>
    <t>Barrymore</t>
  </si>
  <si>
    <t>The Dish</t>
  </si>
  <si>
    <t>Cycling with MoliÃ¨re</t>
  </si>
  <si>
    <t>In the House</t>
  </si>
  <si>
    <t>To the Wonder</t>
  </si>
  <si>
    <t>Down the Shore</t>
  </si>
  <si>
    <t>Playing for Keeps</t>
  </si>
  <si>
    <t>Black Rock</t>
  </si>
  <si>
    <t>Renoir</t>
  </si>
  <si>
    <t>I Give It a Year</t>
  </si>
  <si>
    <t>Dead Man Down</t>
  </si>
  <si>
    <t>The Purge</t>
  </si>
  <si>
    <t>Emperor</t>
  </si>
  <si>
    <t>Mercy</t>
  </si>
  <si>
    <t>Hustlers</t>
  </si>
  <si>
    <t>The Colony</t>
  </si>
  <si>
    <t>The Croods</t>
  </si>
  <si>
    <t>Set Me Free</t>
  </si>
  <si>
    <t>Dormant Beauty</t>
  </si>
  <si>
    <t>Upstream Colour</t>
  </si>
  <si>
    <t>Touchy Feely</t>
  </si>
  <si>
    <t>The Iceman</t>
  </si>
  <si>
    <t>Least Among Saints</t>
  </si>
  <si>
    <t>Admission</t>
  </si>
  <si>
    <t>Monsters University</t>
  </si>
  <si>
    <t>The Heat</t>
  </si>
  <si>
    <t>Only God Forgives</t>
  </si>
  <si>
    <t>Lovelace</t>
  </si>
  <si>
    <t>Mean Creek</t>
  </si>
  <si>
    <t>The Great Gatsby</t>
  </si>
  <si>
    <t>The Big Wedding</t>
  </si>
  <si>
    <t>Pain &amp; Gain</t>
  </si>
  <si>
    <t>Lay the Favourite</t>
  </si>
  <si>
    <t>Byzantium</t>
  </si>
  <si>
    <t>Beautiful Creatures</t>
  </si>
  <si>
    <t>The Look of Love</t>
  </si>
  <si>
    <t>R.I.P.D.</t>
  </si>
  <si>
    <t>Happy Few</t>
  </si>
  <si>
    <t>Promised Land</t>
  </si>
  <si>
    <t>Mud</t>
  </si>
  <si>
    <t>Haute Cuisine</t>
  </si>
  <si>
    <t>This Is 40</t>
  </si>
  <si>
    <t>Trance</t>
  </si>
  <si>
    <t>Caroline and Jackie</t>
  </si>
  <si>
    <t>Jarhead</t>
  </si>
  <si>
    <t>Elysium</t>
  </si>
  <si>
    <t>World War Z</t>
  </si>
  <si>
    <t>After Earth</t>
  </si>
  <si>
    <t>Now You See Me</t>
  </si>
  <si>
    <t>The Frozen Ground</t>
  </si>
  <si>
    <t>The East</t>
  </si>
  <si>
    <t>The Mortal Instruments: City of Bones</t>
  </si>
  <si>
    <t>Violet &amp; Daisy</t>
  </si>
  <si>
    <t>Ain't Them Bodies Saints</t>
  </si>
  <si>
    <t>A Good Day to Die Hard</t>
  </si>
  <si>
    <t>Taken 2</t>
  </si>
  <si>
    <t>Pacific Rim</t>
  </si>
  <si>
    <t>Jobs</t>
  </si>
  <si>
    <t>Disconnect</t>
  </si>
  <si>
    <t>Europa Report</t>
  </si>
  <si>
    <t>Blue Is the Warmest Colour</t>
  </si>
  <si>
    <t>Concussion</t>
  </si>
  <si>
    <t>Turbo</t>
  </si>
  <si>
    <t>The Lifeguard</t>
  </si>
  <si>
    <t>Elite Squad</t>
  </si>
  <si>
    <t>Elite Squad 2: The Enemy Within</t>
  </si>
  <si>
    <t>The Bling Ring</t>
  </si>
  <si>
    <t>Star Trek Into Darkness</t>
  </si>
  <si>
    <t>The Beautiful Ordinary</t>
  </si>
  <si>
    <t>Bringing Up Bobby</t>
  </si>
  <si>
    <t>Parkland</t>
  </si>
  <si>
    <t>Arthur and Mike</t>
  </si>
  <si>
    <t>Prisoners</t>
  </si>
  <si>
    <t>Getaway</t>
  </si>
  <si>
    <t>The Necessary Death of Charlie Countryman</t>
  </si>
  <si>
    <t>Child's Pose</t>
  </si>
  <si>
    <t>The Gatekeepers</t>
  </si>
  <si>
    <t>Summer in February</t>
  </si>
  <si>
    <t>Keyhole</t>
  </si>
  <si>
    <t>Adore</t>
  </si>
  <si>
    <t>Les MisÃ©rables</t>
  </si>
  <si>
    <t>Night Train to Lisbon</t>
  </si>
  <si>
    <t>Everybody Has a Plan</t>
  </si>
  <si>
    <t>The Brass Teapot</t>
  </si>
  <si>
    <t>RED 2</t>
  </si>
  <si>
    <t>Wish You Were Here</t>
  </si>
  <si>
    <t>Big Sur</t>
  </si>
  <si>
    <t>Antiviral</t>
  </si>
  <si>
    <t>Stranded</t>
  </si>
  <si>
    <t>The Faculty</t>
  </si>
  <si>
    <t>Gentlemen Broncos</t>
  </si>
  <si>
    <t>The Spectacular Now</t>
  </si>
  <si>
    <t>The Last Days on Mars</t>
  </si>
  <si>
    <t>How I Live Now</t>
  </si>
  <si>
    <t>Out of the Furnace</t>
  </si>
  <si>
    <t>The Guru</t>
  </si>
  <si>
    <t>Insidious: Chapter 2</t>
  </si>
  <si>
    <t>Percy Jackson: Sea of Monsters</t>
  </si>
  <si>
    <t>Passengers</t>
  </si>
  <si>
    <t>If I Were You</t>
  </si>
  <si>
    <t>Bottle Rocket</t>
  </si>
  <si>
    <t>Not Fade Away</t>
  </si>
  <si>
    <t>Fruitvale Station</t>
  </si>
  <si>
    <t>Captain Phillips</t>
  </si>
  <si>
    <t>The Way Way Back</t>
  </si>
  <si>
    <t>Gravity</t>
  </si>
  <si>
    <t>Mr. Morgan's Last Love</t>
  </si>
  <si>
    <t>White House Down</t>
  </si>
  <si>
    <t>We Are What We Are</t>
  </si>
  <si>
    <t>White Reindeer</t>
  </si>
  <si>
    <t>Riddick</t>
  </si>
  <si>
    <t>The Motel Life</t>
  </si>
  <si>
    <t>Runner Runner</t>
  </si>
  <si>
    <t>What Maisie Knew</t>
  </si>
  <si>
    <t>Stalingrad</t>
  </si>
  <si>
    <t>Savannah</t>
  </si>
  <si>
    <t>Oranges and Sunshine</t>
  </si>
  <si>
    <t>A Case of You</t>
  </si>
  <si>
    <t>Late Bloomers</t>
  </si>
  <si>
    <t>Hours</t>
  </si>
  <si>
    <t>The Wolverine</t>
  </si>
  <si>
    <t>The Family</t>
  </si>
  <si>
    <t>Psychopathia Sexualis</t>
  </si>
  <si>
    <t>Paradise</t>
  </si>
  <si>
    <t>The Butler</t>
  </si>
  <si>
    <t>The Hunt</t>
  </si>
  <si>
    <t>Gloria</t>
  </si>
  <si>
    <t>The Past</t>
  </si>
  <si>
    <t>Alan Partridge: Alpha Papa</t>
  </si>
  <si>
    <t>Stuck in Love.</t>
  </si>
  <si>
    <t>Mandela: Long Walk to Freedom</t>
  </si>
  <si>
    <t>Twice Born</t>
  </si>
  <si>
    <t>The Lone Ranger</t>
  </si>
  <si>
    <t>Terri</t>
  </si>
  <si>
    <t>Dangerous Liaisons</t>
  </si>
  <si>
    <t>The Hunger Games: Catching Fire</t>
  </si>
  <si>
    <t>Free Ride</t>
  </si>
  <si>
    <t>Thanks for Sharing</t>
  </si>
  <si>
    <t>12 Years a Slave</t>
  </si>
  <si>
    <t>The Wolf of Wall Street</t>
  </si>
  <si>
    <t>Kettle of Fish</t>
  </si>
  <si>
    <t>August: Osage County</t>
  </si>
  <si>
    <t>Dallas Buyers Club</t>
  </si>
  <si>
    <t>Ender's Game</t>
  </si>
  <si>
    <t>Escape Plan</t>
  </si>
  <si>
    <t>Silent House</t>
  </si>
  <si>
    <t>The Washington Snipers</t>
  </si>
  <si>
    <t>Cold Comes the Night</t>
  </si>
  <si>
    <t>Frozen</t>
  </si>
  <si>
    <t>Her</t>
  </si>
  <si>
    <t>Diana</t>
  </si>
  <si>
    <t>The Ultimate Gift</t>
  </si>
  <si>
    <t>The Inevitable Defeat of Mister &amp; Pete</t>
  </si>
  <si>
    <t>Short Term 12</t>
  </si>
  <si>
    <t>Bridegroom</t>
  </si>
  <si>
    <t>Carrie</t>
  </si>
  <si>
    <t>Don Jon</t>
  </si>
  <si>
    <t>As I Lay Dying</t>
  </si>
  <si>
    <t>About Time</t>
  </si>
  <si>
    <t>The Adventurer: The Curse of the Midas Box</t>
  </si>
  <si>
    <t>Afternoon Delight</t>
  </si>
  <si>
    <t>The Counsellor</t>
  </si>
  <si>
    <t>Rush</t>
  </si>
  <si>
    <t>Snow White</t>
  </si>
  <si>
    <t>Examined Life</t>
  </si>
  <si>
    <t>Grudge Match</t>
  </si>
  <si>
    <t>Goats</t>
  </si>
  <si>
    <t>Alvin and the Chipmunks</t>
  </si>
  <si>
    <t>Bad Grandpa</t>
  </si>
  <si>
    <t>Oz the Great and Powerful</t>
  </si>
  <si>
    <t>Welcome to the Jungle</t>
  </si>
  <si>
    <t>The Congress</t>
  </si>
  <si>
    <t>Tape</t>
  </si>
  <si>
    <t>The Assault</t>
  </si>
  <si>
    <t>Burke and Hare</t>
  </si>
  <si>
    <t>Tiny Furniture</t>
  </si>
  <si>
    <t>TT3D: Closer to the Edge</t>
  </si>
  <si>
    <t>Last Vegas</t>
  </si>
  <si>
    <t>Beautiful Boy</t>
  </si>
  <si>
    <t>Homefront</t>
  </si>
  <si>
    <t>In a World...</t>
  </si>
  <si>
    <t>Jamesy Boy</t>
  </si>
  <si>
    <t>The Selfish Giant</t>
  </si>
  <si>
    <t>Twixt</t>
  </si>
  <si>
    <t>Two Lives</t>
  </si>
  <si>
    <t>Snowtown</t>
  </si>
  <si>
    <t>Stuck</t>
  </si>
  <si>
    <t>The Great Raid</t>
  </si>
  <si>
    <t>Reaching for the Moon</t>
  </si>
  <si>
    <t>I, Frankenstein</t>
  </si>
  <si>
    <t>Alvin and the Chipmunks: The Squeakquel</t>
  </si>
  <si>
    <t>Lucky</t>
  </si>
  <si>
    <t>Twenty Feet from Stardom</t>
  </si>
  <si>
    <t>Hannah Arendt</t>
  </si>
  <si>
    <t>Filth</t>
  </si>
  <si>
    <t>Now &amp; Later</t>
  </si>
  <si>
    <t>The Right Kind of Wrong</t>
  </si>
  <si>
    <t>Better Luck Tomorrow</t>
  </si>
  <si>
    <t>Mother of George</t>
  </si>
  <si>
    <t>Keeper of the Flame</t>
  </si>
  <si>
    <t>Citizen Gangster</t>
  </si>
  <si>
    <t>Man of Steel</t>
  </si>
  <si>
    <t>Red Rock West</t>
  </si>
  <si>
    <t>Billy the Kid</t>
  </si>
  <si>
    <t>Brightest Star</t>
  </si>
  <si>
    <t>The Strange Case of Angelica</t>
  </si>
  <si>
    <t>Joe Dirt</t>
  </si>
  <si>
    <t>The First Grader</t>
  </si>
  <si>
    <t>The Art of the Steal</t>
  </si>
  <si>
    <t>Camille Claudel 1915</t>
  </si>
  <si>
    <t>London to Brighton</t>
  </si>
  <si>
    <t>The Winning Season</t>
  </si>
  <si>
    <t>The Time That Remains</t>
  </si>
  <si>
    <t>The Day</t>
  </si>
  <si>
    <t>Oldboy</t>
  </si>
  <si>
    <t>Love Liza</t>
  </si>
  <si>
    <t>Fugitive Pieces</t>
  </si>
  <si>
    <t>Boy</t>
  </si>
  <si>
    <t>Letters to Father Jacob</t>
  </si>
  <si>
    <t>Tuck Everlasting</t>
  </si>
  <si>
    <t>Wilbur Wants to Kill Himself</t>
  </si>
  <si>
    <t>Kill Your Darlings</t>
  </si>
  <si>
    <t>American Hustle</t>
  </si>
  <si>
    <t>Barnyard</t>
  </si>
  <si>
    <t>Wadjda</t>
  </si>
  <si>
    <t>Melinda and Melinda</t>
  </si>
  <si>
    <t>At Middleton</t>
  </si>
  <si>
    <t>Mystery Road</t>
  </si>
  <si>
    <t>Grand Piano</t>
  </si>
  <si>
    <t>All Is Lost</t>
  </si>
  <si>
    <t>Dancing at the Blue Iguana</t>
  </si>
  <si>
    <t>Snowpiercer</t>
  </si>
  <si>
    <t>Michael Kohlhaas</t>
  </si>
  <si>
    <t>The Grand Budapest Hotel</t>
  </si>
  <si>
    <t>Enough Said</t>
  </si>
  <si>
    <t>300: Rise of an Empire</t>
  </si>
  <si>
    <t>13 Sins</t>
  </si>
  <si>
    <t>Police Story: Lockdown</t>
  </si>
  <si>
    <t>The Fifth Estate</t>
  </si>
  <si>
    <t>Narco Cultura</t>
  </si>
  <si>
    <t>Austenland</t>
  </si>
  <si>
    <t>Cutie and the Boxer</t>
  </si>
  <si>
    <t>In Fear</t>
  </si>
  <si>
    <t>Reasonable Doubt</t>
  </si>
  <si>
    <t>A Birder's Guide to Everything</t>
  </si>
  <si>
    <t>Jimmy P.</t>
  </si>
  <si>
    <t>Girl Rising</t>
  </si>
  <si>
    <t>Knights of Badassdom</t>
  </si>
  <si>
    <t>The Patience Stone</t>
  </si>
  <si>
    <t>The Armstrong Lie</t>
  </si>
  <si>
    <t>Better Living Through Chemistry</t>
  </si>
  <si>
    <t>One Chance</t>
  </si>
  <si>
    <t>In Search of a Midnight Kiss</t>
  </si>
  <si>
    <t>Veronica Mars</t>
  </si>
  <si>
    <t>A Warrior's Heart</t>
  </si>
  <si>
    <t>Andre Gregory: Before and After Dinner</t>
  </si>
  <si>
    <t>The Immigrant</t>
  </si>
  <si>
    <t>Le Week-End</t>
  </si>
  <si>
    <t>Shotgun Stories</t>
  </si>
  <si>
    <t>Reconstruction</t>
  </si>
  <si>
    <t>The Invisible Woman</t>
  </si>
  <si>
    <t>Phantom of the Paradise</t>
  </si>
  <si>
    <t>Blood Ties</t>
  </si>
  <si>
    <t>Yves Saint Laurent: 5 avenue Marceau 75116 Paris</t>
  </si>
  <si>
    <t>Yves Saint Laurent</t>
  </si>
  <si>
    <t>Before Tomorrow</t>
  </si>
  <si>
    <t>The Carrier</t>
  </si>
  <si>
    <t>Flicka</t>
  </si>
  <si>
    <t>Herblock: The Black &amp; the White</t>
  </si>
  <si>
    <t>Ghost in the Shell</t>
  </si>
  <si>
    <t>Ghost in the Shell 2: Innocence</t>
  </si>
  <si>
    <t>Sanctum</t>
  </si>
  <si>
    <t>Bucky Larson: Born to Be a Star</t>
  </si>
  <si>
    <t>Formosa Betrayed</t>
  </si>
  <si>
    <t>The Railway Man</t>
  </si>
  <si>
    <t>The Road to Guantanamo</t>
  </si>
  <si>
    <t>The Returned</t>
  </si>
  <si>
    <t>Grand Central</t>
  </si>
  <si>
    <t>Saving Mr. Banks</t>
  </si>
  <si>
    <t>Ichi the Killer</t>
  </si>
  <si>
    <t>Teza</t>
  </si>
  <si>
    <t>Jodorowsky's Dune</t>
  </si>
  <si>
    <t>All About Lily Chou-Chou</t>
  </si>
  <si>
    <t>The Last Mistress</t>
  </si>
  <si>
    <t>Tokarev</t>
  </si>
  <si>
    <t>Loves Her Gun</t>
  </si>
  <si>
    <t>RoboCop</t>
  </si>
  <si>
    <t>North Face</t>
  </si>
  <si>
    <t>The Machine</t>
  </si>
  <si>
    <t>Gimme Shelter</t>
  </si>
  <si>
    <t>Escape from Planet Earth</t>
  </si>
  <si>
    <t>The German Doctor</t>
  </si>
  <si>
    <t>Black Nativity</t>
  </si>
  <si>
    <t>Tinker Bell and the Pirate Fairy</t>
  </si>
  <si>
    <t>Lone Survivor</t>
  </si>
  <si>
    <t>Lake Tahoe</t>
  </si>
  <si>
    <t>Over the Hedge</t>
  </si>
  <si>
    <t>The Monuments Men</t>
  </si>
  <si>
    <t>The Singing Detective</t>
  </si>
  <si>
    <t>Blue Ruin</t>
  </si>
  <si>
    <t>Pompeii</t>
  </si>
  <si>
    <t>3 Days to Kill</t>
  </si>
  <si>
    <t>The Tree</t>
  </si>
  <si>
    <t>Mindscape</t>
  </si>
  <si>
    <t>Lost in La Mancha</t>
  </si>
  <si>
    <t>Seven Days in Utopia</t>
  </si>
  <si>
    <t>The Sacrament</t>
  </si>
  <si>
    <t>Walk of Shame</t>
  </si>
  <si>
    <t>Kal Ho Naa Ho</t>
  </si>
  <si>
    <t>Walkabout</t>
  </si>
  <si>
    <t>About Elly</t>
  </si>
  <si>
    <t>Adult World</t>
  </si>
  <si>
    <t>Chelsea Walls</t>
  </si>
  <si>
    <t>El Bola</t>
  </si>
  <si>
    <t>Jean-Michel Basquiat: The Radiant Child</t>
  </si>
  <si>
    <t>The Taste of Tea</t>
  </si>
  <si>
    <t>The Legend of Hercules</t>
  </si>
  <si>
    <t>Barefoot</t>
  </si>
  <si>
    <t>Jack Ryan: Shadow Recruit</t>
  </si>
  <si>
    <t>Vampire Academy</t>
  </si>
  <si>
    <t>Goodbye World</t>
  </si>
  <si>
    <t>In the Blood</t>
  </si>
  <si>
    <t>Small Time</t>
  </si>
  <si>
    <t>Hateship Loveship</t>
  </si>
  <si>
    <t>A New York Winter's Tale</t>
  </si>
  <si>
    <t>Enemy</t>
  </si>
  <si>
    <t>Dom Hemingway</t>
  </si>
  <si>
    <t>Heli</t>
  </si>
  <si>
    <t>Decoding Annie Parker</t>
  </si>
  <si>
    <t>Honour</t>
  </si>
  <si>
    <t>Joe</t>
  </si>
  <si>
    <t>The Rocket</t>
  </si>
  <si>
    <t>The Devil's Violinist</t>
  </si>
  <si>
    <t>Garbo: El espÃ­a</t>
  </si>
  <si>
    <t>The Oregonian</t>
  </si>
  <si>
    <t>Aurora</t>
  </si>
  <si>
    <t>City of Men</t>
  </si>
  <si>
    <t>Frankenstein's Army</t>
  </si>
  <si>
    <t>Mr. Jones</t>
  </si>
  <si>
    <t>Instructions Not Included</t>
  </si>
  <si>
    <t>The Rules of Attraction</t>
  </si>
  <si>
    <t>Blood &amp; Chocolate</t>
  </si>
  <si>
    <t>47 Ronin</t>
  </si>
  <si>
    <t>The Silence</t>
  </si>
  <si>
    <t>Salvo</t>
  </si>
  <si>
    <t>Snow Flower and the Secret Fan</t>
  </si>
  <si>
    <t>Like Father, Like Son</t>
  </si>
  <si>
    <t>Endless Love</t>
  </si>
  <si>
    <t>Nobody Knows</t>
  </si>
  <si>
    <t>Terraferma</t>
  </si>
  <si>
    <t>Non-Stop</t>
  </si>
  <si>
    <t>Oculus</t>
  </si>
  <si>
    <t>Breathe In</t>
  </si>
  <si>
    <t>End of the Spear</t>
  </si>
  <si>
    <t>The Double</t>
  </si>
  <si>
    <t>Edge of Tomorrow</t>
  </si>
  <si>
    <t>Noah</t>
  </si>
  <si>
    <t>Divergent</t>
  </si>
  <si>
    <t>Grace of Monaco</t>
  </si>
  <si>
    <t>Cesar Chavez</t>
  </si>
  <si>
    <t>Bright Days Ahead</t>
  </si>
  <si>
    <t>Under the Skin</t>
  </si>
  <si>
    <t>Draft Day</t>
  </si>
  <si>
    <t>Tracks</t>
  </si>
  <si>
    <t>When You're Strange</t>
  </si>
  <si>
    <t>Belle</t>
  </si>
  <si>
    <t>Frontera Norte</t>
  </si>
  <si>
    <t>Sabotage</t>
  </si>
  <si>
    <t>Rob the Mob</t>
  </si>
  <si>
    <t>Very Good Girls</t>
  </si>
  <si>
    <t>Devil's Knot</t>
  </si>
  <si>
    <t>X-Men: Days of Future Past</t>
  </si>
  <si>
    <t>Need for Speed</t>
  </si>
  <si>
    <t>Transcendence</t>
  </si>
  <si>
    <t>Keep the Lights On</t>
  </si>
  <si>
    <t>The Fault in Our Stars</t>
  </si>
  <si>
    <t>Human Capital</t>
  </si>
  <si>
    <t>The Other Woman</t>
  </si>
  <si>
    <t>Oh Boy!</t>
  </si>
  <si>
    <t>The Amazing Spider-Man 2</t>
  </si>
  <si>
    <t>Godzilla</t>
  </si>
  <si>
    <t>The Face of Love</t>
  </si>
  <si>
    <t>The Purge: Anarchy</t>
  </si>
  <si>
    <t>Starred Up</t>
  </si>
  <si>
    <t>The Rover</t>
  </si>
  <si>
    <t>The Prince</t>
  </si>
  <si>
    <t>Welcome to New York</t>
  </si>
  <si>
    <t>The Expendables 3</t>
  </si>
  <si>
    <t>Closer to the Moon</t>
  </si>
  <si>
    <t>Philomena</t>
  </si>
  <si>
    <t>Three Worlds</t>
  </si>
  <si>
    <t>Bastards</t>
  </si>
  <si>
    <t>Words and Pictures</t>
  </si>
  <si>
    <t>Begin Again</t>
  </si>
  <si>
    <t>Chef</t>
  </si>
  <si>
    <t>Frank</t>
  </si>
  <si>
    <t>The Giver</t>
  </si>
  <si>
    <t>The Grand Seduction</t>
  </si>
  <si>
    <t>Third Person</t>
  </si>
  <si>
    <t>The Calling</t>
  </si>
  <si>
    <t>4 Minute Mile</t>
  </si>
  <si>
    <t>Maps to the Stars</t>
  </si>
  <si>
    <t>Felony</t>
  </si>
  <si>
    <t>The Book Thief</t>
  </si>
  <si>
    <t>A Million Ways to Die in the West</t>
  </si>
  <si>
    <t>Bad Neighbours</t>
  </si>
  <si>
    <t>The Warriors</t>
  </si>
  <si>
    <t>Shield of Straw</t>
  </si>
  <si>
    <t>The Two Faces of January</t>
  </si>
  <si>
    <t>Good People</t>
  </si>
  <si>
    <t>The Homesman</t>
  </si>
  <si>
    <t>Open Grave</t>
  </si>
  <si>
    <t>The November Man</t>
  </si>
  <si>
    <t>Transformers: Age of Extinction</t>
  </si>
  <si>
    <t>Beauty and the Beast</t>
  </si>
  <si>
    <t>Million Dollar Arm</t>
  </si>
  <si>
    <t>White Bird in a Blizzard</t>
  </si>
  <si>
    <t>The Scribbler</t>
  </si>
  <si>
    <t>A Touch of Sin</t>
  </si>
  <si>
    <t>Blue Jasmine</t>
  </si>
  <si>
    <t>Automata</t>
  </si>
  <si>
    <t>The French Minister</t>
  </si>
  <si>
    <t>The Golden Dream</t>
  </si>
  <si>
    <t>10.000 Km</t>
  </si>
  <si>
    <t>A Walk Among the Tombstones</t>
  </si>
  <si>
    <t>Cold in July</t>
  </si>
  <si>
    <t>Sin City: A Dame to Kill For</t>
  </si>
  <si>
    <t>The Secret Life of Walter Mitty</t>
  </si>
  <si>
    <t>Blow Out</t>
  </si>
  <si>
    <t>The Zero Theorem</t>
  </si>
  <si>
    <t>Bad Land: Road to Fury</t>
  </si>
  <si>
    <t>Left Behind</t>
  </si>
  <si>
    <t>Northern Soul</t>
  </si>
  <si>
    <t>Dawn of the Planet of the Apes</t>
  </si>
  <si>
    <t>Whores' Glory</t>
  </si>
  <si>
    <t>The Judge</t>
  </si>
  <si>
    <t>Casting By</t>
  </si>
  <si>
    <t>Stray Dogs</t>
  </si>
  <si>
    <t>Night Moves</t>
  </si>
  <si>
    <t>Still the Water</t>
  </si>
  <si>
    <t>If I Stay</t>
  </si>
  <si>
    <t>One Hundred Mornings</t>
  </si>
  <si>
    <t>God Help the Girl</t>
  </si>
  <si>
    <t>20,000 Days on Earth</t>
  </si>
  <si>
    <t>Dear Zachary: A Letter to a Son About His Father</t>
  </si>
  <si>
    <t>In Secret</t>
  </si>
  <si>
    <t>Starry Eyes</t>
  </si>
  <si>
    <t>Miss Meadows</t>
  </si>
  <si>
    <t>The Hundred-Foot Journey</t>
  </si>
  <si>
    <t>Ivory Tower</t>
  </si>
  <si>
    <t>Lucy</t>
  </si>
  <si>
    <t>Dracula Untold</t>
  </si>
  <si>
    <t>Maleficent</t>
  </si>
  <si>
    <t>Predestination</t>
  </si>
  <si>
    <t>Is the Man Who Is Tall Happy?: An Animated Conversation with Noam Chomsky</t>
  </si>
  <si>
    <t>Trust Me</t>
  </si>
  <si>
    <t>Cantinflas</t>
  </si>
  <si>
    <t>Jersey Boys</t>
  </si>
  <si>
    <t>The Longest Week</t>
  </si>
  <si>
    <t>Hercules</t>
  </si>
  <si>
    <t>Annabelle</t>
  </si>
  <si>
    <t>Manny</t>
  </si>
  <si>
    <t>The Missing Picture</t>
  </si>
  <si>
    <t>Labor Day</t>
  </si>
  <si>
    <t>Kelly &amp; Cal</t>
  </si>
  <si>
    <t>Jimmy's Hall</t>
  </si>
  <si>
    <t>St. Vincent</t>
  </si>
  <si>
    <t>The Guest</t>
  </si>
  <si>
    <t>The Captive</t>
  </si>
  <si>
    <t>This Is Where I Leave You</t>
  </si>
  <si>
    <t>Dying of the Light</t>
  </si>
  <si>
    <t>Rudderless</t>
  </si>
  <si>
    <t>The Maze Runner</t>
  </si>
  <si>
    <t>Magic in the Moonlight</t>
  </si>
  <si>
    <t>Life Itself</t>
  </si>
  <si>
    <t>A Hard Day</t>
  </si>
  <si>
    <t>A Most Wanted Man</t>
  </si>
  <si>
    <t>Bird People</t>
  </si>
  <si>
    <t>The Wonders</t>
  </si>
  <si>
    <t>Fury</t>
  </si>
  <si>
    <t>Road to Paloma</t>
  </si>
  <si>
    <t>Long Live Freedom</t>
  </si>
  <si>
    <t>Battlefield of Lost Souls</t>
  </si>
  <si>
    <t>I Origins</t>
  </si>
  <si>
    <t>Gone Girl</t>
  </si>
  <si>
    <t>As Above, So Below</t>
  </si>
  <si>
    <t>The Equalizer</t>
  </si>
  <si>
    <t>God's Pocket</t>
  </si>
  <si>
    <t>These Final Hours</t>
  </si>
  <si>
    <t>Serena</t>
  </si>
  <si>
    <t>Two Days, One Night</t>
  </si>
  <si>
    <t>Horns</t>
  </si>
  <si>
    <t>Seven Psychopaths</t>
  </si>
  <si>
    <t>The Raid</t>
  </si>
  <si>
    <t>The Raid 2</t>
  </si>
  <si>
    <t>Before I Go to Sleep</t>
  </si>
  <si>
    <t>Captain America: The Winter Soldier</t>
  </si>
  <si>
    <t>Gimme the Loot</t>
  </si>
  <si>
    <t>Stereo</t>
  </si>
  <si>
    <t>Alive Inside</t>
  </si>
  <si>
    <t>Coherence</t>
  </si>
  <si>
    <t>Fast &amp; Furious 6</t>
  </si>
  <si>
    <t>Take Care</t>
  </si>
  <si>
    <t>Goodbye to Language</t>
  </si>
  <si>
    <t>Murder of a Cat</t>
  </si>
  <si>
    <t>Sacro Gra</t>
  </si>
  <si>
    <t>The Smurfs 2</t>
  </si>
  <si>
    <t>Only Lovers Left Alive</t>
  </si>
  <si>
    <t>Boyhood</t>
  </si>
  <si>
    <t>Planes</t>
  </si>
  <si>
    <t>Jamie Marks Is Dead</t>
  </si>
  <si>
    <t>Young Adam</t>
  </si>
  <si>
    <t>About Alex</t>
  </si>
  <si>
    <t>Two Men in Town</t>
  </si>
  <si>
    <t>Canopy</t>
  </si>
  <si>
    <t>Elsa &amp; Fred</t>
  </si>
  <si>
    <t>Jack and the Cuckoo-Clock Heart</t>
  </si>
  <si>
    <t>2 Guns</t>
  </si>
  <si>
    <t>A Good Marriage</t>
  </si>
  <si>
    <t>The Joker</t>
  </si>
  <si>
    <t>The Retrieval</t>
  </si>
  <si>
    <t>The Imitation Game</t>
  </si>
  <si>
    <t>Get on Up</t>
  </si>
  <si>
    <t>Big Hero 6</t>
  </si>
  <si>
    <t>Love Is Strange</t>
  </si>
  <si>
    <t>Foxcatcher</t>
  </si>
  <si>
    <t>How to Train Your Dragon 2</t>
  </si>
  <si>
    <t>The Lego Movie</t>
  </si>
  <si>
    <t>The Babadook</t>
  </si>
  <si>
    <t>Going Away</t>
  </si>
  <si>
    <t>Into the Woods</t>
  </si>
  <si>
    <t>John Wick</t>
  </si>
  <si>
    <t>Life of Riley</t>
  </si>
  <si>
    <t>Still Alice</t>
  </si>
  <si>
    <t>Mr. Turner</t>
  </si>
  <si>
    <t>American Sniper</t>
  </si>
  <si>
    <t>Nightcrawler</t>
  </si>
  <si>
    <t>Clouds of Sils Maria</t>
  </si>
  <si>
    <t>The Book of Life</t>
  </si>
  <si>
    <t>Whiplash</t>
  </si>
  <si>
    <t>Birdman or</t>
  </si>
  <si>
    <t>Interstellar</t>
  </si>
  <si>
    <t>Say When</t>
  </si>
  <si>
    <t>Life Partners</t>
  </si>
  <si>
    <t>Pride</t>
  </si>
  <si>
    <t>Unbroken</t>
  </si>
  <si>
    <t>Radio Free Albemuth</t>
  </si>
  <si>
    <t>Suzanne</t>
  </si>
  <si>
    <t>October Gale</t>
  </si>
  <si>
    <t>Jimi: All Is by My Side</t>
  </si>
  <si>
    <t>Everly</t>
  </si>
  <si>
    <t>The Voices</t>
  </si>
  <si>
    <t>The Gambler</t>
  </si>
  <si>
    <t>The Hobbit: The Battle of the Five Armies</t>
  </si>
  <si>
    <t>The Young and Prodigious T.S. Spivet</t>
  </si>
  <si>
    <t>Escobar: Paradise Lost</t>
  </si>
  <si>
    <t>Son of a Gun</t>
  </si>
  <si>
    <t>The Blue Room</t>
  </si>
  <si>
    <t>The Best of Me</t>
  </si>
  <si>
    <t>Playing It Cool</t>
  </si>
  <si>
    <t>Lucky Them</t>
  </si>
  <si>
    <t>Jauja</t>
  </si>
  <si>
    <t>The Stag</t>
  </si>
  <si>
    <t>Nymphomaniac: Vol. I</t>
  </si>
  <si>
    <t>Big Eyes</t>
  </si>
  <si>
    <t>Nymphomaniac: Vol. II</t>
  </si>
  <si>
    <t>Shadow Walkers</t>
  </si>
  <si>
    <t>Delivery Man</t>
  </si>
  <si>
    <t>Enemy Mine</t>
  </si>
  <si>
    <t>The Hunger Games: Mockingjay - Part 1</t>
  </si>
  <si>
    <t>The Tale of the Princess Kaguya</t>
  </si>
  <si>
    <t>Ida</t>
  </si>
  <si>
    <t>Selma</t>
  </si>
  <si>
    <t>Brick Mansions</t>
  </si>
  <si>
    <t>The Conjuring</t>
  </si>
  <si>
    <t>Wild Card</t>
  </si>
  <si>
    <t>The Theory of Everything</t>
  </si>
  <si>
    <t>God's Not Dead</t>
  </si>
  <si>
    <t>10 Rules for Sleeping Around</t>
  </si>
  <si>
    <t>The Philosophers</t>
  </si>
  <si>
    <t>Batman: Mask of the Phantasm</t>
  </si>
  <si>
    <t>Blended</t>
  </si>
  <si>
    <t>All the Wilderness</t>
  </si>
  <si>
    <t>Night at the Museum: Secret of the Tomb</t>
  </si>
  <si>
    <t>Best Shot</t>
  </si>
  <si>
    <t>The Green Prince</t>
  </si>
  <si>
    <t>Cake</t>
  </si>
  <si>
    <t>That Awkward Moment</t>
  </si>
  <si>
    <t>Love, Rosie</t>
  </si>
  <si>
    <t>Kill the Messenger</t>
  </si>
  <si>
    <t>My Old Lady</t>
  </si>
  <si>
    <t>The Hobbit: The Desolation of Smaug</t>
  </si>
  <si>
    <t>The Water Diviner</t>
  </si>
  <si>
    <t>Exodus: Gods and Kings</t>
  </si>
  <si>
    <t>Gemma Bovery</t>
  </si>
  <si>
    <t>The Boxtrolls</t>
  </si>
  <si>
    <t>Time Traveller</t>
  </si>
  <si>
    <t>Hellboy II: The Golden Army</t>
  </si>
  <si>
    <t>Under the Electric Sky</t>
  </si>
  <si>
    <t>Black Sea</t>
  </si>
  <si>
    <t>Jupiter Ascending</t>
  </si>
  <si>
    <t>What We Do in the Shadows</t>
  </si>
  <si>
    <t>Cronos</t>
  </si>
  <si>
    <t>Violette</t>
  </si>
  <si>
    <t>The Last of Robin Hood</t>
  </si>
  <si>
    <t>Innocence</t>
  </si>
  <si>
    <t>Miss Julie</t>
  </si>
  <si>
    <t>Men, Women &amp; Children</t>
  </si>
  <si>
    <t>The Loft</t>
  </si>
  <si>
    <t>Citizenfour</t>
  </si>
  <si>
    <t>Dear White People</t>
  </si>
  <si>
    <t>Dragon Blade</t>
  </si>
  <si>
    <t>Little Accidents</t>
  </si>
  <si>
    <t>Wild Tales</t>
  </si>
  <si>
    <t>The Boy Next Door</t>
  </si>
  <si>
    <t>Kidnapping Freddy Heineken</t>
  </si>
  <si>
    <t>Set Fire to the Stars</t>
  </si>
  <si>
    <t>The Last Act</t>
  </si>
  <si>
    <t>Inherent Vice</t>
  </si>
  <si>
    <t>Wild</t>
  </si>
  <si>
    <t>The Choir</t>
  </si>
  <si>
    <t>Kill Me Three Times</t>
  </si>
  <si>
    <t>Horrible Bosses 2</t>
  </si>
  <si>
    <t>The Longest Ride</t>
  </si>
  <si>
    <t>Seventh Son</t>
  </si>
  <si>
    <t>Song One</t>
  </si>
  <si>
    <t>And So It Goes</t>
  </si>
  <si>
    <t>Champs</t>
  </si>
  <si>
    <t>The Riot Club</t>
  </si>
  <si>
    <t>The Rewrite</t>
  </si>
  <si>
    <t>The Absent One</t>
  </si>
  <si>
    <t>Last Knights</t>
  </si>
  <si>
    <t>Fifty Shades of Grey</t>
  </si>
  <si>
    <t>The Barber</t>
  </si>
  <si>
    <t>Walter</t>
  </si>
  <si>
    <t>Vice</t>
  </si>
  <si>
    <t>Rosewater</t>
  </si>
  <si>
    <t>In Order of Disappearance</t>
  </si>
  <si>
    <t>The Good Lie</t>
  </si>
  <si>
    <t>Alex of Venice</t>
  </si>
  <si>
    <t>Beyond the Reach</t>
  </si>
  <si>
    <t>Blackhat</t>
  </si>
  <si>
    <t>Cut Bank</t>
  </si>
  <si>
    <t>Effie Gray</t>
  </si>
  <si>
    <t>Taken 3</t>
  </si>
  <si>
    <t>Kingsman: The Secret Service</t>
  </si>
  <si>
    <t>Camp X-Ray</t>
  </si>
  <si>
    <t>Amour fou</t>
  </si>
  <si>
    <t>Low Down</t>
  </si>
  <si>
    <t>The Strange Colour of Your Body's Tears</t>
  </si>
  <si>
    <t>Ernest &amp; Celestine</t>
  </si>
  <si>
    <t>Lost River</t>
  </si>
  <si>
    <t>Maggie</t>
  </si>
  <si>
    <t>Music of the Heart</t>
  </si>
  <si>
    <t>Picnic at Hanging Rock</t>
  </si>
  <si>
    <t>Downloading Nancy</t>
  </si>
  <si>
    <t>The Skeleton Twins</t>
  </si>
  <si>
    <t>Breathe</t>
  </si>
  <si>
    <t>50 to 1</t>
  </si>
  <si>
    <t>The Forger</t>
  </si>
  <si>
    <t>Vincent &amp; Theo</t>
  </si>
  <si>
    <t>Ex Machina</t>
  </si>
  <si>
    <t>Tales of the Grim Sleeper</t>
  </si>
  <si>
    <t>A Thousand Times Good Night</t>
  </si>
  <si>
    <t>The Salvation</t>
  </si>
  <si>
    <t>McFarland</t>
  </si>
  <si>
    <t>The Age of Adaline</t>
  </si>
  <si>
    <t>Good Kill</t>
  </si>
  <si>
    <t>Spare Parts</t>
  </si>
  <si>
    <t>Fort Bliss</t>
  </si>
  <si>
    <t>3 Women</t>
  </si>
  <si>
    <t>The One I Love</t>
  </si>
  <si>
    <t>Seduced and Abandoned</t>
  </si>
  <si>
    <t>Inside Llewyn Davis</t>
  </si>
  <si>
    <t>Song of the Sea</t>
  </si>
  <si>
    <t>Black or White</t>
  </si>
  <si>
    <t>Time Lapse</t>
  </si>
  <si>
    <t>Eden</t>
  </si>
  <si>
    <t>Run All Night</t>
  </si>
  <si>
    <t>The Lazarus Effect</t>
  </si>
  <si>
    <t>Labyrinth of Lies</t>
  </si>
  <si>
    <t>The Search</t>
  </si>
  <si>
    <t>Chappie</t>
  </si>
  <si>
    <t>Survivor</t>
  </si>
  <si>
    <t>Saint Laurent</t>
  </si>
  <si>
    <t>Testament of Youth</t>
  </si>
  <si>
    <t>Ballet 422</t>
  </si>
  <si>
    <t>The Disappearance of Eleanor Rigby: Her</t>
  </si>
  <si>
    <t>Comet</t>
  </si>
  <si>
    <t>5 to 7</t>
  </si>
  <si>
    <t>You're Not You</t>
  </si>
  <si>
    <t>Lilting</t>
  </si>
  <si>
    <t>The Circle</t>
  </si>
  <si>
    <t>The Disappearance of Eleanor Rigby: Him</t>
  </si>
  <si>
    <t>Rio, I Love You</t>
  </si>
  <si>
    <t>Madame Bovary</t>
  </si>
  <si>
    <t>Danny Collins</t>
  </si>
  <si>
    <t>Cymbeline</t>
  </si>
  <si>
    <t>Suite FranÃ§aise</t>
  </si>
  <si>
    <t>The Dance of Reality</t>
  </si>
  <si>
    <t>Killers</t>
  </si>
  <si>
    <t>The Cobbler</t>
  </si>
  <si>
    <t>Wild Horses</t>
  </si>
  <si>
    <t>Woman in Gold</t>
  </si>
  <si>
    <t>The Galapagos Affair: Satan Came to Eden</t>
  </si>
  <si>
    <t>Beneath the Darkness</t>
  </si>
  <si>
    <t>A Little Chaos</t>
  </si>
  <si>
    <t>Department Q: The Keeper of Lost Causes</t>
  </si>
  <si>
    <t>Ruth &amp; Alex</t>
  </si>
  <si>
    <t>Mademoiselle Chambon</t>
  </si>
  <si>
    <t>Insurgent</t>
  </si>
  <si>
    <t>Hammer of the Gods</t>
  </si>
  <si>
    <t>The Disappearance of Eleanor Rigby: Them</t>
  </si>
  <si>
    <t>Still Life</t>
  </si>
  <si>
    <t>Wuthering Heights</t>
  </si>
  <si>
    <t>Results</t>
  </si>
  <si>
    <t>Blind</t>
  </si>
  <si>
    <t>Welcome to Me</t>
  </si>
  <si>
    <t>Can't Stand Losing You</t>
  </si>
  <si>
    <t>Cobain: Montage of Heck</t>
  </si>
  <si>
    <t>The Little Death</t>
  </si>
  <si>
    <t>Cinderella</t>
  </si>
  <si>
    <t>Fighting Demons</t>
  </si>
  <si>
    <t>Exit Through the Gift Shop</t>
  </si>
  <si>
    <t>A Most Violent Year</t>
  </si>
  <si>
    <t>Fast &amp; Furious 7</t>
  </si>
  <si>
    <t>Home Sweet Hell</t>
  </si>
  <si>
    <t>The Gunman</t>
  </si>
  <si>
    <t>FÃ©lix &amp; Meira</t>
  </si>
  <si>
    <t>Can't Come Out to Play</t>
  </si>
  <si>
    <t>In the Name of My Daughter</t>
  </si>
  <si>
    <t>Pasolini</t>
  </si>
  <si>
    <t>Mortdecai</t>
  </si>
  <si>
    <t>Child 44</t>
  </si>
  <si>
    <t>Locke</t>
  </si>
  <si>
    <t>Gett: The Trial of Viviane Amsalem</t>
  </si>
  <si>
    <t>Far from the Madding Crowd</t>
  </si>
  <si>
    <t>True Story</t>
  </si>
  <si>
    <t>Hot Pursuit</t>
  </si>
  <si>
    <t>Bravetown</t>
  </si>
  <si>
    <t>The World Made Straight</t>
  </si>
  <si>
    <t>It Follows</t>
  </si>
  <si>
    <t>Mad Max: Fury Road</t>
  </si>
  <si>
    <t>Jenny's Wedding</t>
  </si>
  <si>
    <t>Slow West</t>
  </si>
  <si>
    <t>Extinction</t>
  </si>
  <si>
    <t>Jurassic World</t>
  </si>
  <si>
    <t>Salinger</t>
  </si>
  <si>
    <t>Earth to Echo</t>
  </si>
  <si>
    <t>The Face of an Angel</t>
  </si>
  <si>
    <t>The Tale of Despereaux</t>
  </si>
  <si>
    <t>Strangerland</t>
  </si>
  <si>
    <t>Lila &amp; Eve</t>
  </si>
  <si>
    <t>Winter Sleep</t>
  </si>
  <si>
    <t>Josie and the Pussycats</t>
  </si>
  <si>
    <t>Stung</t>
  </si>
  <si>
    <t>Every Secret Thing</t>
  </si>
  <si>
    <t>The Pervert's Guide to Ideology</t>
  </si>
  <si>
    <t>Aloha</t>
  </si>
  <si>
    <t>Spring</t>
  </si>
  <si>
    <t>Drew: The Man Behind the Poster</t>
  </si>
  <si>
    <t>Elaine Stritch: Shoot Me</t>
  </si>
  <si>
    <t>Before We Go</t>
  </si>
  <si>
    <t>Dark Places</t>
  </si>
  <si>
    <t>Where Hope Grows</t>
  </si>
  <si>
    <t>Faults</t>
  </si>
  <si>
    <t>Patema Inverted</t>
  </si>
  <si>
    <t>Louder Than Words</t>
  </si>
  <si>
    <t>War Story</t>
  </si>
  <si>
    <t>Mia Madre</t>
  </si>
  <si>
    <t>American Heist</t>
  </si>
  <si>
    <t>Viola</t>
  </si>
  <si>
    <t>Circuit</t>
  </si>
  <si>
    <t>One Two Another</t>
  </si>
  <si>
    <t>Tom at the Farm</t>
  </si>
  <si>
    <t>The Missouri Breaks</t>
  </si>
  <si>
    <t>Space Station 76</t>
  </si>
  <si>
    <t>Passion of Mind</t>
  </si>
  <si>
    <t>Husbands and Wives</t>
  </si>
  <si>
    <t>A Nightmare on Elm Street Part 2: Freddy's Revenge</t>
  </si>
  <si>
    <t>I'll See You in My Dreams</t>
  </si>
  <si>
    <t>Straight Outta Compton</t>
  </si>
  <si>
    <t>Z for Zachariah</t>
  </si>
  <si>
    <t>The Decent One</t>
  </si>
  <si>
    <t>Self/less</t>
  </si>
  <si>
    <t>Avengers: Age of Ultron</t>
  </si>
  <si>
    <t>Mildred Pierce</t>
  </si>
  <si>
    <t>May in the Summer</t>
  </si>
  <si>
    <t>Mommy</t>
  </si>
  <si>
    <t>A Royal Night Out</t>
  </si>
  <si>
    <t>Fantastic Four</t>
  </si>
  <si>
    <t>Steve Jobs: The Man in the Machine</t>
  </si>
  <si>
    <t>X+Y</t>
  </si>
  <si>
    <t>Unexpected</t>
  </si>
  <si>
    <t>Tammy</t>
  </si>
  <si>
    <t>Gore Vidal: The United States of Amnesia</t>
  </si>
  <si>
    <t>Heathers</t>
  </si>
  <si>
    <t>The Duke of Burgundy</t>
  </si>
  <si>
    <t>Boy Meets Girl</t>
  </si>
  <si>
    <t>Spooks: The Greater Good</t>
  </si>
  <si>
    <t>Albatross</t>
  </si>
  <si>
    <t>The Wrecking Crew!</t>
  </si>
  <si>
    <t>Force Majeure</t>
  </si>
  <si>
    <t>Marina Abramovic: The Artist is Present</t>
  </si>
  <si>
    <t>Black Souls</t>
  </si>
  <si>
    <t>Eliza Graves</t>
  </si>
  <si>
    <t>San Andreas</t>
  </si>
  <si>
    <t>Magic Mike XXL</t>
  </si>
  <si>
    <t>Stockholm, Pennsylvania</t>
  </si>
  <si>
    <t>Contracted</t>
  </si>
  <si>
    <t>Return to Sender</t>
  </si>
  <si>
    <t>The Second Best Exotic Marigold Hotel</t>
  </si>
  <si>
    <t>Margarita with a Straw</t>
  </si>
  <si>
    <t>Private Violence</t>
  </si>
  <si>
    <t>Me and Earl and the Dying Girl</t>
  </si>
  <si>
    <t>Love &amp; Mercy</t>
  </si>
  <si>
    <t>Mission: Impossible - Rogue Nation</t>
  </si>
  <si>
    <t>Tomorrowland: A World Beyond</t>
  </si>
  <si>
    <t>10,000 Saints</t>
  </si>
  <si>
    <t>The Women on the 6th Floor</t>
  </si>
  <si>
    <t>Reckless</t>
  </si>
  <si>
    <t>Nebraska</t>
  </si>
  <si>
    <t>Sea Fog</t>
  </si>
  <si>
    <t>The Connection</t>
  </si>
  <si>
    <t>Southpaw</t>
  </si>
  <si>
    <t>Dope</t>
  </si>
  <si>
    <t>1001 Gram</t>
  </si>
  <si>
    <t>Samba</t>
  </si>
  <si>
    <t>Black Coal, Thin Ice</t>
  </si>
  <si>
    <t>Paper Towns</t>
  </si>
  <si>
    <t>Big Sky</t>
  </si>
  <si>
    <t>3 Hearts</t>
  </si>
  <si>
    <t>Mr. Holmes</t>
  </si>
  <si>
    <t>Digging for Fire</t>
  </si>
  <si>
    <t>People Places Things</t>
  </si>
  <si>
    <t>Ashby</t>
  </si>
  <si>
    <t>The Measure of a Man</t>
  </si>
  <si>
    <t>Tale of Tales</t>
  </si>
  <si>
    <t>The Runner</t>
  </si>
  <si>
    <t>The Visit</t>
  </si>
  <si>
    <t>Entourage</t>
  </si>
  <si>
    <t>Every Thing Will Be Fine</t>
  </si>
  <si>
    <t>The Last Five Years</t>
  </si>
  <si>
    <t>Hitman: Agent 47</t>
  </si>
  <si>
    <t>In July</t>
  </si>
  <si>
    <t>A Wolf at the Door</t>
  </si>
  <si>
    <t>Into the Grizzly Maze</t>
  </si>
  <si>
    <t>Little Boy</t>
  </si>
  <si>
    <t>Narcopolis</t>
  </si>
  <si>
    <t>Mississippi Grind</t>
  </si>
  <si>
    <t>The Pope of Greenwich Village</t>
  </si>
  <si>
    <t>Going Clear: Scientology &amp; the Prison of Belief</t>
  </si>
  <si>
    <t>The Man from U.N.C.L.E.</t>
  </si>
  <si>
    <t>Marathon Man</t>
  </si>
  <si>
    <t>Club Life</t>
  </si>
  <si>
    <t>The Assassin</t>
  </si>
  <si>
    <t>Love</t>
  </si>
  <si>
    <t>The Namesake</t>
  </si>
  <si>
    <t>Doom</t>
  </si>
  <si>
    <t>Diary of a Chambermaid</t>
  </si>
  <si>
    <t>Ride</t>
  </si>
  <si>
    <t>We Are Your Friends</t>
  </si>
  <si>
    <t>Bone Tomahawk</t>
  </si>
  <si>
    <t>Augustine</t>
  </si>
  <si>
    <t>Running on Empty</t>
  </si>
  <si>
    <t>American Mary</t>
  </si>
  <si>
    <t>Ricki and the Flash</t>
  </si>
  <si>
    <t>Mistress America</t>
  </si>
  <si>
    <t>Spy</t>
  </si>
  <si>
    <t>The Gift</t>
  </si>
  <si>
    <t>Blissfully Yours</t>
  </si>
  <si>
    <t>Absolutely Anything</t>
  </si>
  <si>
    <t>Crimson Peak</t>
  </si>
  <si>
    <t>Experimenter</t>
  </si>
  <si>
    <t>The Martian</t>
  </si>
  <si>
    <t>In the Courtyard</t>
  </si>
  <si>
    <t>Momentum</t>
  </si>
  <si>
    <t>Glassland</t>
  </si>
  <si>
    <t>Ant-Man</t>
  </si>
  <si>
    <t>Everest</t>
  </si>
  <si>
    <t>Mustang</t>
  </si>
  <si>
    <t>Lessons in Love</t>
  </si>
  <si>
    <t>Minions</t>
  </si>
  <si>
    <t>No Escape</t>
  </si>
  <si>
    <t>Shelter</t>
  </si>
  <si>
    <t>Sagrada: The Mystery of Creation</t>
  </si>
  <si>
    <t>Standing Tall</t>
  </si>
  <si>
    <t>90 Minutes in Heaven</t>
  </si>
  <si>
    <t>Amy</t>
  </si>
  <si>
    <t>Maze Runner: The Scorch Trials</t>
  </si>
  <si>
    <t>Beasts of No Nation</t>
  </si>
  <si>
    <t>Dior and I</t>
  </si>
  <si>
    <t>Meadowland</t>
  </si>
  <si>
    <t>Partisan</t>
  </si>
  <si>
    <t>Theeb</t>
  </si>
  <si>
    <t>Black Mass</t>
  </si>
  <si>
    <t>The Wannabe</t>
  </si>
  <si>
    <t>Learning to Drive</t>
  </si>
  <si>
    <t>The Keeping Room</t>
  </si>
  <si>
    <t>Lambert &amp; Stamp</t>
  </si>
  <si>
    <t>The 33</t>
  </si>
  <si>
    <t>Focus</t>
  </si>
  <si>
    <t>The Cold Lands</t>
  </si>
  <si>
    <t>The Falling</t>
  </si>
  <si>
    <t>Knock Knock</t>
  </si>
  <si>
    <t>Terminator Genisys</t>
  </si>
  <si>
    <t>Pixels</t>
  </si>
  <si>
    <t>The Girl King</t>
  </si>
  <si>
    <t>Carol</t>
  </si>
  <si>
    <t>Westworld</t>
  </si>
  <si>
    <t>While We're Young</t>
  </si>
  <si>
    <t>Rio 2</t>
  </si>
  <si>
    <t>The Great Beauty</t>
  </si>
  <si>
    <t>The End of the Tour</t>
  </si>
  <si>
    <t>Bridge of Spies</t>
  </si>
  <si>
    <t>The Walk</t>
  </si>
  <si>
    <t>Spectre</t>
  </si>
  <si>
    <t>Chloe &amp; Theo</t>
  </si>
  <si>
    <t>Leviathan</t>
  </si>
  <si>
    <t>Time Out of Mind</t>
  </si>
  <si>
    <t>Youth</t>
  </si>
  <si>
    <t>Valley of Love</t>
  </si>
  <si>
    <t>99 Homes</t>
  </si>
  <si>
    <t>A Walk in the Woods</t>
  </si>
  <si>
    <t>Brooklyn</t>
  </si>
  <si>
    <t>Room</t>
  </si>
  <si>
    <t>The Lobster</t>
  </si>
  <si>
    <t>Freedom</t>
  </si>
  <si>
    <t>The Girl in the Book</t>
  </si>
  <si>
    <t>The Intern</t>
  </si>
  <si>
    <t>Legend</t>
  </si>
  <si>
    <t>The Danish Girl</t>
  </si>
  <si>
    <t>Heist</t>
  </si>
  <si>
    <t>In the Heart of the Sea</t>
  </si>
  <si>
    <t>The Ridiculous 6</t>
  </si>
  <si>
    <t>Tangerines</t>
  </si>
  <si>
    <t>Spotlight</t>
  </si>
  <si>
    <t>Robot Overlords</t>
  </si>
  <si>
    <t>Great Expectations</t>
  </si>
  <si>
    <t>Captive</t>
  </si>
  <si>
    <t>I Smile Back</t>
  </si>
  <si>
    <t>Victoria</t>
  </si>
  <si>
    <t>Woodlawn</t>
  </si>
  <si>
    <t>Goosebumps</t>
  </si>
  <si>
    <t>Life</t>
  </si>
  <si>
    <t>Sicario</t>
  </si>
  <si>
    <t>The Big Short</t>
  </si>
  <si>
    <t>Joy</t>
  </si>
  <si>
    <t>Creed</t>
  </si>
  <si>
    <t>Steve Jobs</t>
  </si>
  <si>
    <t>Unfinished Business</t>
  </si>
  <si>
    <t>45 Years</t>
  </si>
  <si>
    <t>Solace</t>
  </si>
  <si>
    <t>Suffragette</t>
  </si>
  <si>
    <t>The Hateful Eight</t>
  </si>
  <si>
    <t>The Wait</t>
  </si>
  <si>
    <t>Queen of Earth</t>
  </si>
  <si>
    <t>Frances Ha</t>
  </si>
  <si>
    <t>The Benefactor</t>
  </si>
  <si>
    <t>Our Brand Is Crisis</t>
  </si>
  <si>
    <t>Freeheld</t>
  </si>
  <si>
    <t>A Perfect Day</t>
  </si>
  <si>
    <t>Burnt</t>
  </si>
  <si>
    <t>Irrational Man</t>
  </si>
  <si>
    <t>Turbo Kid</t>
  </si>
  <si>
    <t>Truth</t>
  </si>
  <si>
    <t>Trumbo</t>
  </si>
  <si>
    <t>Summertime</t>
  </si>
  <si>
    <t>The Summer of Sangaile</t>
  </si>
  <si>
    <t>Grandma</t>
  </si>
  <si>
    <t>The Program</t>
  </si>
  <si>
    <t>Regression</t>
  </si>
  <si>
    <t>An Honest Liar</t>
  </si>
  <si>
    <t>Star Wars: Episode VII - The Force Awakens</t>
  </si>
  <si>
    <t>Secret in Their Eyes</t>
  </si>
  <si>
    <t>Aloft</t>
  </si>
  <si>
    <t>Miss You Already</t>
  </si>
  <si>
    <t>The Forest</t>
  </si>
  <si>
    <t>My All-American</t>
  </si>
  <si>
    <t>The Last Witch Hunter</t>
  </si>
  <si>
    <t>Backtrack</t>
  </si>
  <si>
    <t>The Revenant</t>
  </si>
  <si>
    <t>Knight of Cups</t>
  </si>
  <si>
    <t>Klovn Forever</t>
  </si>
  <si>
    <t>Pawn Sacrifice</t>
  </si>
  <si>
    <t>Anomalisa</t>
  </si>
  <si>
    <t>Dheepan</t>
  </si>
  <si>
    <t>The 11th Hour</t>
  </si>
  <si>
    <t>Macbeth</t>
  </si>
  <si>
    <t>The Dressmaker</t>
  </si>
  <si>
    <t>Remember</t>
  </si>
  <si>
    <t>Fathers &amp; Daughters</t>
  </si>
  <si>
    <t>Listen to Me Marlon</t>
  </si>
  <si>
    <t>Becoming Mike Nichols</t>
  </si>
  <si>
    <t>A Ballerina's Tale</t>
  </si>
  <si>
    <t>What Happened, Miss Simone?</t>
  </si>
  <si>
    <t>A War</t>
  </si>
  <si>
    <t>Victor Frankenstein</t>
  </si>
  <si>
    <t>The Club</t>
  </si>
  <si>
    <t>Christmas with the Coopers</t>
  </si>
  <si>
    <t>Authors Anonymous</t>
  </si>
  <si>
    <t>Infinitely Polar Bear</t>
  </si>
  <si>
    <t>A Borrowed Identity</t>
  </si>
  <si>
    <t>The Wakhan Front</t>
  </si>
  <si>
    <t>Pan</t>
  </si>
  <si>
    <t>Phoenix</t>
  </si>
  <si>
    <t>The Hunger Games: Mockingjay - Part 2</t>
  </si>
  <si>
    <t>Winter on Fire: Ukraine's Fight for Freedom</t>
  </si>
  <si>
    <t>The Hunting Ground</t>
  </si>
  <si>
    <t>Tumbledown</t>
  </si>
  <si>
    <t>Exposed</t>
  </si>
  <si>
    <t>Cartel Land</t>
  </si>
  <si>
    <t>The Brand New Testament</t>
  </si>
  <si>
    <t>The Wave</t>
  </si>
  <si>
    <t>The Signal</t>
  </si>
  <si>
    <t>Desert Dancer</t>
  </si>
  <si>
    <t>After the Fall</t>
  </si>
  <si>
    <t>Sand Dollars</t>
  </si>
  <si>
    <t>Klown</t>
  </si>
  <si>
    <t>Misconduct</t>
  </si>
  <si>
    <t>Retribution</t>
  </si>
  <si>
    <t>Forsaken</t>
  </si>
  <si>
    <t>Hunting Elephants</t>
  </si>
  <si>
    <t>Right Now, Wrong Then</t>
  </si>
  <si>
    <t>The Fencer</t>
  </si>
  <si>
    <t>Unconscious</t>
  </si>
  <si>
    <t>Marguerite</t>
  </si>
  <si>
    <t>L'attesa</t>
  </si>
  <si>
    <t>Point Break</t>
  </si>
  <si>
    <t>Hungry Hearts</t>
  </si>
  <si>
    <t>Hector and the Search for Happiness</t>
  </si>
  <si>
    <t>The 5th Wave</t>
  </si>
  <si>
    <t>Eisenstein in Guanajuato</t>
  </si>
  <si>
    <t>The Preppie Connection</t>
  </si>
  <si>
    <t>Jane Got a Gun</t>
  </si>
  <si>
    <t>Death to Smoochy</t>
  </si>
  <si>
    <t>Club Paradise</t>
  </si>
  <si>
    <t>Moscow on the Hudson</t>
  </si>
  <si>
    <t>The Best of Times</t>
  </si>
  <si>
    <t>Jakob the Liar</t>
  </si>
  <si>
    <t>The Cut</t>
  </si>
  <si>
    <t>Rapture-Palooza</t>
  </si>
  <si>
    <t>Before I Disappear</t>
  </si>
  <si>
    <t>An Eye for Beauty</t>
  </si>
  <si>
    <t>Rams</t>
  </si>
  <si>
    <t>The Quiet Ones</t>
  </si>
  <si>
    <t>Deadpool</t>
  </si>
  <si>
    <t>Queen of the Desert</t>
  </si>
  <si>
    <t>The Trip to Italy</t>
  </si>
  <si>
    <t>A Second Chance</t>
  </si>
  <si>
    <t>Pride and Prejudice and Zombies</t>
  </si>
  <si>
    <t>Pandemic</t>
  </si>
  <si>
    <t>No Home Movie</t>
  </si>
  <si>
    <t>Copenhagen</t>
  </si>
  <si>
    <t>Hail, Caesar!</t>
  </si>
  <si>
    <t>Cemetery of Splendour</t>
  </si>
  <si>
    <t>Like Sunday, Like Rain</t>
  </si>
  <si>
    <t>Lullaby</t>
  </si>
  <si>
    <t>Listen Up Philip</t>
  </si>
  <si>
    <t>The Confirmation</t>
  </si>
  <si>
    <t>London Has Fallen</t>
  </si>
  <si>
    <t>The Overnight</t>
  </si>
  <si>
    <t>Sweet Bean</t>
  </si>
  <si>
    <t>Everything Is Copy</t>
  </si>
  <si>
    <t>Beyond Suspicion</t>
  </si>
  <si>
    <t>Kill Your Friends</t>
  </si>
  <si>
    <t>The Big White</t>
  </si>
  <si>
    <t>Nina</t>
  </si>
  <si>
    <t>Diplomacy</t>
  </si>
  <si>
    <t>Ned Rifle</t>
  </si>
  <si>
    <t>Precious Cargo</t>
  </si>
  <si>
    <t>The Invitation</t>
  </si>
  <si>
    <t>The Finest Hours</t>
  </si>
  <si>
    <t>Truman</t>
  </si>
  <si>
    <t>Louder Than Bombs</t>
  </si>
  <si>
    <t>Reprise</t>
  </si>
  <si>
    <t>The Forbidden Room</t>
  </si>
  <si>
    <t>Our Little Sister</t>
  </si>
  <si>
    <t>The Choice</t>
  </si>
  <si>
    <t>Phantom Halo</t>
  </si>
  <si>
    <t>Love Me Like You Do</t>
  </si>
  <si>
    <t>Sky</t>
  </si>
  <si>
    <t>One More Time</t>
  </si>
  <si>
    <t>Risen</t>
  </si>
  <si>
    <t>The Look of Silence</t>
  </si>
  <si>
    <t>Land of Mine</t>
  </si>
  <si>
    <t>The Trust</t>
  </si>
  <si>
    <t>Triple 9</t>
  </si>
  <si>
    <t>The Hundred Year-Old Man Who Climbed Out of the Window and Disappeared</t>
  </si>
  <si>
    <t>The Second Mother</t>
  </si>
  <si>
    <t>He Never Died</t>
  </si>
  <si>
    <t>Crazy About Tiffany's</t>
  </si>
  <si>
    <t>Mon Roi</t>
  </si>
  <si>
    <t>Courted</t>
  </si>
  <si>
    <t>The Treasure</t>
  </si>
  <si>
    <t>Hardcore Henry</t>
  </si>
  <si>
    <t>High-Rise</t>
  </si>
  <si>
    <t>True Deception</t>
  </si>
  <si>
    <t>Precinct Seven Five</t>
  </si>
  <si>
    <t>Creative Control</t>
  </si>
  <si>
    <t>My Golden Days</t>
  </si>
  <si>
    <t>Cell</t>
  </si>
  <si>
    <t>Race</t>
  </si>
  <si>
    <t>The Search for General Tso</t>
  </si>
  <si>
    <t>10 Cloverfield Lane</t>
  </si>
  <si>
    <t>Dirty Grandpa</t>
  </si>
  <si>
    <t>Midnight Special</t>
  </si>
  <si>
    <t>Allegiant</t>
  </si>
  <si>
    <t>Big Stone Gap</t>
  </si>
  <si>
    <t>Criminal</t>
  </si>
  <si>
    <t>Eddie the Eagle</t>
  </si>
  <si>
    <t>February</t>
  </si>
  <si>
    <t>The Artist</t>
  </si>
  <si>
    <t>Gods of Egypt</t>
  </si>
  <si>
    <t>Days and Nights</t>
  </si>
  <si>
    <t>The Mend</t>
  </si>
  <si>
    <t>Elvis &amp; Nixon</t>
  </si>
  <si>
    <t>Miles Ahead</t>
  </si>
  <si>
    <t>The Family Fang</t>
  </si>
  <si>
    <t>The Farewell Party</t>
  </si>
  <si>
    <t>Money Monster</t>
  </si>
  <si>
    <t>Night on Earth</t>
  </si>
  <si>
    <t>Open Windows</t>
  </si>
  <si>
    <t>She's Lost Control</t>
  </si>
  <si>
    <t>Needful Things</t>
  </si>
  <si>
    <t>Me Before You</t>
  </si>
  <si>
    <t>The Purge: Election Year</t>
  </si>
  <si>
    <t>X-Men: Apocalypse</t>
  </si>
  <si>
    <t>Manhattan Night</t>
  </si>
  <si>
    <t>Born to Be Blue</t>
  </si>
  <si>
    <t>The Salt of the Earth</t>
  </si>
  <si>
    <t>Best of Enemies</t>
  </si>
  <si>
    <t>Mr. Right</t>
  </si>
  <si>
    <t>That Sugar Film</t>
  </si>
  <si>
    <t>The Lady in the Van</t>
  </si>
  <si>
    <t>Starter for 10</t>
  </si>
  <si>
    <t>The Liberator</t>
  </si>
  <si>
    <t>Tallulah</t>
  </si>
  <si>
    <t>Mother's Day</t>
  </si>
  <si>
    <t>Mothers and Daughters</t>
  </si>
  <si>
    <t>A Bigger Splash</t>
  </si>
  <si>
    <t>Miss Hokusai</t>
  </si>
  <si>
    <t>The Little Prince</t>
  </si>
  <si>
    <t>The Good Dinosaur</t>
  </si>
  <si>
    <t>Whiskey Tango Foxtrot</t>
  </si>
  <si>
    <t>The Man Who Knew Infinity</t>
  </si>
  <si>
    <t>The Duel</t>
  </si>
  <si>
    <t>Eye in the Sky</t>
  </si>
  <si>
    <t>Independence Day: Resurgence</t>
  </si>
  <si>
    <t>Rage</t>
  </si>
  <si>
    <t>Belgica</t>
  </si>
  <si>
    <t>Time Is Illmatic</t>
  </si>
  <si>
    <t>Equals</t>
  </si>
  <si>
    <t>Demolition</t>
  </si>
  <si>
    <t>Warcraft: The Beginning</t>
  </si>
  <si>
    <t>Red</t>
  </si>
  <si>
    <t>Batman v Superman: Dawn of Justice</t>
  </si>
  <si>
    <t>Life of a King</t>
  </si>
  <si>
    <t>Anesthesia</t>
  </si>
  <si>
    <t>Accidental Love</t>
  </si>
  <si>
    <t>A Perfect Man</t>
  </si>
  <si>
    <t>The Huntsman: Winter's War</t>
  </si>
  <si>
    <t>Five Nights in Maine</t>
  </si>
  <si>
    <t>American Ultra</t>
  </si>
  <si>
    <t>PelÃ©: Birth of a Legend</t>
  </si>
  <si>
    <t>Side by Side</t>
  </si>
  <si>
    <t>A Hologram for the King</t>
  </si>
  <si>
    <t>The Angry Birds Movie</t>
  </si>
  <si>
    <t>Septembers of Shiraz</t>
  </si>
  <si>
    <t>Marauders</t>
  </si>
  <si>
    <t>Genius</t>
  </si>
  <si>
    <t>Manglehorn</t>
  </si>
  <si>
    <t>Beloved Sisters</t>
  </si>
  <si>
    <t>Green Room</t>
  </si>
  <si>
    <t>Hello, My Name Is Doris</t>
  </si>
  <si>
    <t>Ingrid Bergman: In Her Own Words</t>
  </si>
  <si>
    <t>Mr. Peabody &amp; Sherman</t>
  </si>
  <si>
    <t>The Ones Below</t>
  </si>
  <si>
    <t>The American Side</t>
  </si>
  <si>
    <t>The Whole Truth</t>
  </si>
  <si>
    <t>Last Days in the Desert</t>
  </si>
  <si>
    <t>The Fundamentals of Caring</t>
  </si>
  <si>
    <t>Love &amp; Friendship</t>
  </si>
  <si>
    <t>The Young Messiah</t>
  </si>
  <si>
    <t>The Culture High</t>
  </si>
  <si>
    <t>The Angriest Man in Brooklyn</t>
  </si>
  <si>
    <t>Into the Forest</t>
  </si>
  <si>
    <t>Approaching the Unknown</t>
  </si>
  <si>
    <t>The Nice Guys</t>
  </si>
  <si>
    <t>The Witch</t>
  </si>
  <si>
    <t>Seymour: An Introduction</t>
  </si>
  <si>
    <t>The Sea of Trees</t>
  </si>
  <si>
    <t>The Meddler</t>
  </si>
  <si>
    <t>Free State of Jones</t>
  </si>
  <si>
    <t>The Neon Demon</t>
  </si>
  <si>
    <t>Magician: The Astonishing Life and Work of Orson Welles</t>
  </si>
  <si>
    <t>Our Kind of Traitor</t>
  </si>
  <si>
    <t>Altamira</t>
  </si>
  <si>
    <t>Ithaca</t>
  </si>
  <si>
    <t>Cardboard Boxer</t>
  </si>
  <si>
    <t>The Childhood of a Leader</t>
  </si>
  <si>
    <t>Captain America: Civil War</t>
  </si>
  <si>
    <t>Bare</t>
  </si>
  <si>
    <t>De Palma</t>
  </si>
  <si>
    <t>The Land</t>
  </si>
  <si>
    <t>Blood Father</t>
  </si>
  <si>
    <t>Being Charlie</t>
  </si>
  <si>
    <t>Bolshoi Babylon</t>
  </si>
  <si>
    <t>Kingsglaive: Final Fantasy XV</t>
  </si>
  <si>
    <t>The Intervention</t>
  </si>
  <si>
    <t>The Aryan Couple</t>
  </si>
  <si>
    <t>Mechanic: Resurrection</t>
  </si>
  <si>
    <t>Transpecos</t>
  </si>
  <si>
    <t>Zoom</t>
  </si>
  <si>
    <t>Train to Busan</t>
  </si>
  <si>
    <t>The Shallows</t>
  </si>
  <si>
    <t>Pusher II</t>
  </si>
  <si>
    <t>Other People</t>
  </si>
  <si>
    <t>The Legend of Tarzan</t>
  </si>
  <si>
    <t>Jason Bourne</t>
  </si>
  <si>
    <t>Ishtar</t>
  </si>
  <si>
    <t>Neon Bull</t>
  </si>
  <si>
    <t>Hunt for the Wilderpeople</t>
  </si>
  <si>
    <t>Florence Foster Jenkins</t>
  </si>
  <si>
    <t>Despite the Falling Snow</t>
  </si>
  <si>
    <t>A Merry Christmas Miracle</t>
  </si>
  <si>
    <t>The World of Kanako</t>
  </si>
  <si>
    <t>Trash</t>
  </si>
  <si>
    <t>The Nut Job</t>
  </si>
  <si>
    <t>White God</t>
  </si>
  <si>
    <t>A Pigeon Sat on a Branch Reflecting on Existence</t>
  </si>
  <si>
    <t>Home</t>
  </si>
  <si>
    <t>Synchronicity</t>
  </si>
  <si>
    <t>The Infiltrator</t>
  </si>
  <si>
    <t>Anton Corbijn Inside Out</t>
  </si>
  <si>
    <t>Tab Hunter Confidential</t>
  </si>
  <si>
    <t>The Free World</t>
  </si>
  <si>
    <t>Mr. Church</t>
  </si>
  <si>
    <t>Anthropoid</t>
  </si>
  <si>
    <t>Picture Me: A Model's Diary</t>
  </si>
  <si>
    <t>Goldstone</t>
  </si>
  <si>
    <t>Palo Alto</t>
  </si>
  <si>
    <t>C.O.G.</t>
  </si>
  <si>
    <t>Sworn Virgin</t>
  </si>
  <si>
    <t>I.T.</t>
  </si>
  <si>
    <t>Amira &amp; Sam</t>
  </si>
  <si>
    <t>Complete Unknown</t>
  </si>
  <si>
    <t>Norman Lear: Just Another Version of You</t>
  </si>
  <si>
    <t>Sausage Party</t>
  </si>
  <si>
    <t>For the Love of Spock</t>
  </si>
  <si>
    <t>Miss Peregrine's Home for Peculiar Children</t>
  </si>
  <si>
    <t>Captain Fantastic</t>
  </si>
  <si>
    <t>The Monster</t>
  </si>
  <si>
    <t>Come and Find Me</t>
  </si>
  <si>
    <t>Dog Eat Dog</t>
  </si>
  <si>
    <t>Sully</t>
  </si>
  <si>
    <t>Son of Saul</t>
  </si>
  <si>
    <t>Pete's Dragon</t>
  </si>
  <si>
    <t>To Life</t>
  </si>
  <si>
    <t>London Town</t>
  </si>
  <si>
    <t>The Last Ride</t>
  </si>
  <si>
    <t>Things to Come</t>
  </si>
  <si>
    <t>Divines</t>
  </si>
  <si>
    <t>Alice Through the Looking Glass</t>
  </si>
  <si>
    <t>Finding Dory</t>
  </si>
  <si>
    <t>Equity</t>
  </si>
  <si>
    <t>The Accountant</t>
  </si>
  <si>
    <t>I Saw the Light</t>
  </si>
  <si>
    <t>Ben-Hur</t>
  </si>
  <si>
    <t>Inferno</t>
  </si>
  <si>
    <t>Morgan</t>
  </si>
  <si>
    <t>A Five Star Life</t>
  </si>
  <si>
    <t>Exposed: Beyond Burlesque</t>
  </si>
  <si>
    <t>The Wailing</t>
  </si>
  <si>
    <t>Elle</t>
  </si>
  <si>
    <t>The Good Neighbor</t>
  </si>
  <si>
    <t>Denial</t>
  </si>
  <si>
    <t>Nerve</t>
  </si>
  <si>
    <t>Advantageous</t>
  </si>
  <si>
    <t>Ghostbusters</t>
  </si>
  <si>
    <t>Always Shine</t>
  </si>
  <si>
    <t>Suicide Squad</t>
  </si>
  <si>
    <t>Swiss Army Man</t>
  </si>
  <si>
    <t>A Monster with a Thousand Heads</t>
  </si>
  <si>
    <t>Indignation</t>
  </si>
  <si>
    <t>Too Late</t>
  </si>
  <si>
    <t>Lo and Behold, Reveries of the Connected World</t>
  </si>
  <si>
    <t>Snowden</t>
  </si>
  <si>
    <t>Storks</t>
  </si>
  <si>
    <t>Kubo and the Two Strings</t>
  </si>
  <si>
    <t>The Secret Life of Pets</t>
  </si>
  <si>
    <t>Zootropolis</t>
  </si>
  <si>
    <t>The Jungle Book</t>
  </si>
  <si>
    <t>Trolls</t>
  </si>
  <si>
    <t>In a Valley of Violence</t>
  </si>
  <si>
    <t>Coldwater</t>
  </si>
  <si>
    <t>I Am the Pretty Thing That Lives in the House</t>
  </si>
  <si>
    <t>Front Cover</t>
  </si>
  <si>
    <t>The Great Gilly Hopkins</t>
  </si>
  <si>
    <t>Toni Erdmann</t>
  </si>
  <si>
    <t>Christine</t>
  </si>
  <si>
    <t>Sold</t>
  </si>
  <si>
    <t>Henry Gamble's Birthday Party</t>
  </si>
  <si>
    <t>Queen of Katwe</t>
  </si>
  <si>
    <t>Beyond the Lights</t>
  </si>
  <si>
    <t>August Winds</t>
  </si>
  <si>
    <t>The People vs. Fritz Bauer</t>
  </si>
  <si>
    <t>Aferim!</t>
  </si>
  <si>
    <t>Inside Out</t>
  </si>
  <si>
    <t>Iris</t>
  </si>
  <si>
    <t>The Crash</t>
  </si>
  <si>
    <t>Arrival</t>
  </si>
  <si>
    <t>Fantastic Beasts and Where to Find Them</t>
  </si>
  <si>
    <t>The Girl on the Train</t>
  </si>
  <si>
    <t>USS Indianapolis: Men of Courage</t>
  </si>
  <si>
    <t>The Handmaiden</t>
  </si>
  <si>
    <t>Being 17</t>
  </si>
  <si>
    <t>After Tiller</t>
  </si>
  <si>
    <t>Blackbird</t>
  </si>
  <si>
    <t>Virginia</t>
  </si>
  <si>
    <t>Liquid Sky</t>
  </si>
  <si>
    <t>While Paris Was Sleeping</t>
  </si>
  <si>
    <t>Trespass Against Us</t>
  </si>
  <si>
    <t>A Kind of Murder</t>
  </si>
  <si>
    <t>Hands of Stone</t>
  </si>
  <si>
    <t>Alone in Berlin</t>
  </si>
  <si>
    <t>Hacksaw Ridge</t>
  </si>
  <si>
    <t>Fire in the Sky</t>
  </si>
  <si>
    <t>The King's Choice</t>
  </si>
  <si>
    <t>After the Storm</t>
  </si>
  <si>
    <t>Outlaws and Angels</t>
  </si>
  <si>
    <t>Keeping Up with the Joneses</t>
  </si>
  <si>
    <t>In Bloom</t>
  </si>
  <si>
    <t>Little Men</t>
  </si>
  <si>
    <t>The Birth of a Nation</t>
  </si>
  <si>
    <t>Hidden Figures</t>
  </si>
  <si>
    <t>Nocturnal Animals</t>
  </si>
  <si>
    <t>Barry</t>
  </si>
  <si>
    <t>Cafe Society</t>
  </si>
  <si>
    <t>Southside with You</t>
  </si>
  <si>
    <t>Burn Country</t>
  </si>
  <si>
    <t>Moana</t>
  </si>
  <si>
    <t>Manchester by the Sea</t>
  </si>
  <si>
    <t>White Girl</t>
  </si>
  <si>
    <t>Silence</t>
  </si>
  <si>
    <t>American Honey</t>
  </si>
  <si>
    <t>Claire in Motion</t>
  </si>
  <si>
    <t>Miss Sloane</t>
  </si>
  <si>
    <t>The 9th Life of Louis Drax</t>
  </si>
  <si>
    <t>The Edge of Seventeen</t>
  </si>
  <si>
    <t>Bleed for This</t>
  </si>
  <si>
    <t>Shepherds and Butchers</t>
  </si>
  <si>
    <t>The Girl with All the Gifts</t>
  </si>
  <si>
    <t>Jack Reacher: Never Go Back</t>
  </si>
  <si>
    <t>Operation Avalanche</t>
  </si>
  <si>
    <t>The Autopsy of Jane Doe</t>
  </si>
  <si>
    <t>Billy Lynn's Long Halftime Walk</t>
  </si>
  <si>
    <t>Greater</t>
  </si>
  <si>
    <t>Like Crazy</t>
  </si>
  <si>
    <t>Lights Out</t>
  </si>
  <si>
    <t>All We Had</t>
  </si>
  <si>
    <t>Doctor Strange</t>
  </si>
  <si>
    <t>Lion</t>
  </si>
  <si>
    <t>Jackie</t>
  </si>
  <si>
    <t>The Founder</t>
  </si>
  <si>
    <t>The Hollow Point</t>
  </si>
  <si>
    <t>Deepwater Horizon</t>
  </si>
  <si>
    <t>Desierto</t>
  </si>
  <si>
    <t>In Another Country</t>
  </si>
  <si>
    <t>The Confessions</t>
  </si>
  <si>
    <t>The BFG</t>
  </si>
  <si>
    <t>The Automatic Hate</t>
  </si>
  <si>
    <t>The World Before Her</t>
  </si>
  <si>
    <t>Movie 43</t>
  </si>
  <si>
    <t>Time Out</t>
  </si>
  <si>
    <t>My Scientology Movie</t>
  </si>
  <si>
    <t>A Monster Calls</t>
  </si>
  <si>
    <t>Fire at Sea</t>
  </si>
  <si>
    <t>Life, Animated</t>
  </si>
  <si>
    <t>Collateral Beauty</t>
  </si>
  <si>
    <t>A Single Shot</t>
  </si>
  <si>
    <t>Tanna</t>
  </si>
  <si>
    <t>Sing Street</t>
  </si>
  <si>
    <t>Assassin's Creed</t>
  </si>
  <si>
    <t>Aquarius</t>
  </si>
  <si>
    <t>Certain Women</t>
  </si>
  <si>
    <t>The Red Turtle</t>
  </si>
  <si>
    <t>Wheeler</t>
  </si>
  <si>
    <t>War on Everyone</t>
  </si>
  <si>
    <t>The Magnificent Seven</t>
  </si>
  <si>
    <t>The Salesman</t>
  </si>
  <si>
    <t>The Ardennes</t>
  </si>
  <si>
    <t>20th Century Women</t>
  </si>
  <si>
    <t>Underworld: Blood Wars</t>
  </si>
  <si>
    <t>Live by Night</t>
  </si>
  <si>
    <t>Neruda</t>
  </si>
  <si>
    <t>Nine Lives</t>
  </si>
  <si>
    <t>Fences</t>
  </si>
  <si>
    <t>Julieta</t>
  </si>
  <si>
    <t>Star Trek Beyond</t>
  </si>
  <si>
    <t>Rogue One</t>
  </si>
  <si>
    <t>Incarnate</t>
  </si>
  <si>
    <t>I, Daniel Blake</t>
  </si>
  <si>
    <t>Gold</t>
  </si>
  <si>
    <t>Hell or High Water</t>
  </si>
  <si>
    <t>13th</t>
  </si>
  <si>
    <t>100 Streets</t>
  </si>
  <si>
    <t>American Fable</t>
  </si>
  <si>
    <t>American Pastoral</t>
  </si>
  <si>
    <t>A Street Cat Named Bob</t>
  </si>
  <si>
    <t>A Man Called Ove</t>
  </si>
  <si>
    <t>Casa Grande</t>
  </si>
  <si>
    <t>Loving</t>
  </si>
  <si>
    <t>The Unknown Girl</t>
  </si>
  <si>
    <t>Moonlight</t>
  </si>
  <si>
    <t>In Dubious Battle</t>
  </si>
  <si>
    <t>La La Land</t>
  </si>
  <si>
    <t>It's Only the End of the World</t>
  </si>
  <si>
    <t>Paterson</t>
  </si>
  <si>
    <t>The Light Between Oceans</t>
  </si>
  <si>
    <t>Rules Don't Apply</t>
  </si>
  <si>
    <t>Sophie and the Rising Sun</t>
  </si>
  <si>
    <t>Youth in Oregon</t>
  </si>
  <si>
    <t>Bright Lights: Starring Carrie Fisher and Debbie Reynolds</t>
  </si>
  <si>
    <t>Wolves</t>
  </si>
  <si>
    <t>iBoy</t>
  </si>
  <si>
    <t>XX</t>
  </si>
  <si>
    <t>After Love</t>
  </si>
  <si>
    <t>I Don't Feel at Home in This World Anymore.</t>
  </si>
  <si>
    <t>Resident Evil: The Final Chapter</t>
  </si>
  <si>
    <t>Trauma</t>
  </si>
  <si>
    <t>Aftermath</t>
  </si>
  <si>
    <t>A United Kingdom</t>
  </si>
  <si>
    <t>Brimstone</t>
  </si>
  <si>
    <t>Tomboy</t>
  </si>
  <si>
    <t>Mine</t>
  </si>
  <si>
    <t>Stoned</t>
  </si>
  <si>
    <t>Papa Hemingway in Cuba</t>
  </si>
  <si>
    <t>First Girl I Loved</t>
  </si>
  <si>
    <t>52 Tuesdays</t>
  </si>
  <si>
    <t>Allied</t>
  </si>
  <si>
    <t>Logan</t>
  </si>
  <si>
    <t>Apprentice</t>
  </si>
  <si>
    <t>A Dog's Purpose</t>
  </si>
  <si>
    <t>The Vessel</t>
  </si>
  <si>
    <t>The Most Hated Woman in America</t>
  </si>
  <si>
    <t>3 Generations</t>
  </si>
  <si>
    <t>Son of the Bride</t>
  </si>
  <si>
    <t>Bridget Jones's Baby</t>
  </si>
  <si>
    <t>I Am Michael</t>
  </si>
  <si>
    <t>Why Him?</t>
  </si>
  <si>
    <t>Below Her Mouth</t>
  </si>
  <si>
    <t>The Great Wall</t>
  </si>
  <si>
    <t>Lovesong</t>
  </si>
  <si>
    <t>All Nighter</t>
  </si>
  <si>
    <t>Appropriate Behaviour</t>
  </si>
  <si>
    <t>Lost in Florence</t>
  </si>
  <si>
    <t>Blue Jay</t>
  </si>
  <si>
    <t>Silicon Cowboys</t>
  </si>
  <si>
    <t>Call Me Lucky</t>
  </si>
  <si>
    <t>Closet Monster</t>
  </si>
  <si>
    <t>The Discovery</t>
  </si>
  <si>
    <t>Patriots Day</t>
  </si>
  <si>
    <t>Marfa Girl</t>
  </si>
  <si>
    <t>Lazy Eye</t>
  </si>
  <si>
    <t>Personal Shopper</t>
  </si>
  <si>
    <t>The Last Family</t>
  </si>
  <si>
    <t>The Space Between Us</t>
  </si>
  <si>
    <t>When Animals Dream</t>
  </si>
  <si>
    <t>The Pass</t>
  </si>
  <si>
    <t>This Is Everything: Gigi Gorgeous</t>
  </si>
  <si>
    <t>I, Olga</t>
  </si>
  <si>
    <t>Betting on Zero</t>
  </si>
  <si>
    <t>Bokeh</t>
  </si>
  <si>
    <t>Sieranevada</t>
  </si>
  <si>
    <t>Nocturama</t>
  </si>
  <si>
    <t>The Love Witch</t>
  </si>
  <si>
    <t>Stratton</t>
  </si>
  <si>
    <t>I Am Not Your Negro</t>
  </si>
  <si>
    <t>The Ornithologist</t>
  </si>
  <si>
    <t>I Am Heath Ledger</t>
  </si>
  <si>
    <t>The Exception</t>
  </si>
  <si>
    <t>Max Steel</t>
  </si>
  <si>
    <t>Richard Linklater: Dream Is Destiny</t>
  </si>
  <si>
    <t>The Levelling</t>
  </si>
  <si>
    <t>The Transporter Refuelled</t>
  </si>
  <si>
    <t>Once Upon a Time in Venice</t>
  </si>
  <si>
    <t>Power Rangers</t>
  </si>
  <si>
    <t>The Hunter's Prayer</t>
  </si>
  <si>
    <t>Get Out</t>
  </si>
  <si>
    <t>Sandy Wexler</t>
  </si>
  <si>
    <t>Sand Castle</t>
  </si>
  <si>
    <t>Kill Switch</t>
  </si>
  <si>
    <t>Song to Song</t>
  </si>
  <si>
    <t>Drone</t>
  </si>
  <si>
    <t>4 Days in France</t>
  </si>
  <si>
    <t>Frank &amp; Lola</t>
  </si>
  <si>
    <t>The Zookeeper's Wife</t>
  </si>
  <si>
    <t>Frantz</t>
  </si>
  <si>
    <t>By the Sea</t>
  </si>
  <si>
    <t>Olympus Has Fallen</t>
  </si>
  <si>
    <t>Sleepless</t>
  </si>
  <si>
    <t>The Void</t>
  </si>
  <si>
    <t>Voice from the Stone</t>
  </si>
  <si>
    <t>A Cure for Wellness</t>
  </si>
  <si>
    <t>Before I Fall</t>
  </si>
  <si>
    <t>Black Butterfly</t>
  </si>
  <si>
    <t>Gifted</t>
  </si>
  <si>
    <t>Mifune: The Last Samurai</t>
  </si>
  <si>
    <t>Alien: Covenant</t>
  </si>
  <si>
    <t>The Hidden Fortress</t>
  </si>
  <si>
    <t>Yojimbo</t>
  </si>
  <si>
    <t>Becoming Bond</t>
  </si>
  <si>
    <t>Stefan Zweig: Farewell to Europe</t>
  </si>
  <si>
    <t>Americano</t>
  </si>
  <si>
    <t>The Dancer</t>
  </si>
  <si>
    <t>Dressed to Kill</t>
  </si>
  <si>
    <t>Wonder Woman</t>
  </si>
  <si>
    <t>I Am Jane Doe</t>
  </si>
  <si>
    <t>The Promise</t>
  </si>
  <si>
    <t>The Lost City of Z</t>
  </si>
  <si>
    <t>Between Us</t>
  </si>
  <si>
    <t>CHIPS</t>
  </si>
  <si>
    <t>Mindhorn</t>
  </si>
  <si>
    <t>Mean Dreams</t>
  </si>
  <si>
    <t>The Shack</t>
  </si>
  <si>
    <t>The Last Word</t>
  </si>
  <si>
    <t>Small Crimes</t>
  </si>
  <si>
    <t>The Sense of an Ending</t>
  </si>
  <si>
    <t>Hockney</t>
  </si>
  <si>
    <t>Here Alone</t>
  </si>
  <si>
    <t>The Mummy</t>
  </si>
  <si>
    <t>Chris &amp; Don: A Love Story</t>
  </si>
  <si>
    <t>John Wick: Chapter 2</t>
  </si>
  <si>
    <t>The Comedian</t>
  </si>
  <si>
    <t>Term Life</t>
  </si>
  <si>
    <t>Up for Love</t>
  </si>
  <si>
    <t>Table 19</t>
  </si>
  <si>
    <t>Book of Love</t>
  </si>
  <si>
    <t>Split</t>
  </si>
  <si>
    <t>Fast &amp; Furious 8</t>
  </si>
  <si>
    <t>Wilson</t>
  </si>
  <si>
    <t>War Machine</t>
  </si>
  <si>
    <t>Kong: Skull Island</t>
  </si>
  <si>
    <t>The Kingdom of Dreams and Madness</t>
  </si>
  <si>
    <t>xXx: Return of Xander Cage</t>
  </si>
  <si>
    <t>Shut In</t>
  </si>
  <si>
    <t>King Arthur: Legend of the Sword</t>
  </si>
  <si>
    <t>Kidnap</t>
  </si>
  <si>
    <t>The Boss</t>
  </si>
  <si>
    <t>The Boss Baby</t>
  </si>
  <si>
    <t>Pet</t>
  </si>
  <si>
    <t>Amnesia</t>
  </si>
  <si>
    <t>The Dinner</t>
  </si>
  <si>
    <t>Handsome Devil</t>
  </si>
  <si>
    <t>First Kill</t>
  </si>
  <si>
    <t>Cirque du Soleil: Worlds Away</t>
  </si>
  <si>
    <t>Collide</t>
  </si>
  <si>
    <t>Heartstone</t>
  </si>
  <si>
    <t>The Ottoman Lieutenant</t>
  </si>
  <si>
    <t>The King and the Mockingbird</t>
  </si>
  <si>
    <t>Viceroy's House</t>
  </si>
  <si>
    <t>Eagles of Death Metal: Nos Amis</t>
  </si>
  <si>
    <t>Gimme Danger</t>
  </si>
  <si>
    <t>A Quiet Passion</t>
  </si>
  <si>
    <t>Saving Banksy</t>
  </si>
  <si>
    <t>Fallen</t>
  </si>
  <si>
    <t>Moka</t>
  </si>
  <si>
    <t>From the Land of the Moon</t>
  </si>
  <si>
    <t>Deidra &amp; Laney Rob a Train</t>
  </si>
  <si>
    <t>Graduation</t>
  </si>
  <si>
    <t>Wakefield</t>
  </si>
  <si>
    <t>Lupin III: The Castle of Cagliostro</t>
  </si>
  <si>
    <t>T2 Trainspotting</t>
  </si>
  <si>
    <t>Two Lovers and a Bear</t>
  </si>
  <si>
    <t>In the Land of Blood and Honey</t>
  </si>
  <si>
    <t>The Girl Who Leapt Through Time</t>
  </si>
  <si>
    <t>Person to Person</t>
  </si>
  <si>
    <t>Beatriz at Dinner</t>
  </si>
  <si>
    <t>Mapplethorpe: Look at the Pictures</t>
  </si>
  <si>
    <t>The Mist</t>
  </si>
  <si>
    <t>Shot Caller</t>
  </si>
  <si>
    <t>My Cousin Rachel</t>
  </si>
  <si>
    <t>All Eyez on Me</t>
  </si>
  <si>
    <t>By Sidney Lumet</t>
  </si>
  <si>
    <t>Tom of Finland</t>
  </si>
  <si>
    <t>6 Days</t>
  </si>
  <si>
    <t>The Bleeder</t>
  </si>
  <si>
    <t>6 Years</t>
  </si>
  <si>
    <t>Gaga: Five Foot Two</t>
  </si>
  <si>
    <t>Killing Gunther</t>
  </si>
  <si>
    <t>The Little Hours</t>
  </si>
  <si>
    <t>Death Note</t>
  </si>
  <si>
    <t>Unforgettable</t>
  </si>
  <si>
    <t>Science Fiction Volume One: The Osiris Child</t>
  </si>
  <si>
    <t>Middle Man</t>
  </si>
  <si>
    <t>Uptown Girls</t>
  </si>
  <si>
    <t>Guardians of the Galaxy: Vol. 2</t>
  </si>
  <si>
    <t>Speech &amp; Debate</t>
  </si>
  <si>
    <t>Baywatch</t>
  </si>
  <si>
    <t>Okja</t>
  </si>
  <si>
    <t>Norman: The Moderate Rise and Tragic Fall of a New York Fixer</t>
  </si>
  <si>
    <t>Churchill</t>
  </si>
  <si>
    <t>Strike a Pose</t>
  </si>
  <si>
    <t>The Hitman's Bodyguard</t>
  </si>
  <si>
    <t>The Dark Tower</t>
  </si>
  <si>
    <t>Sami Blood</t>
  </si>
  <si>
    <t>Atomic Blonde</t>
  </si>
  <si>
    <t>The Death and Life of Marsha P. Johnson</t>
  </si>
  <si>
    <t>Endless Poetry</t>
  </si>
  <si>
    <t>What Happened to Monday</t>
  </si>
  <si>
    <t>A Family Man</t>
  </si>
  <si>
    <t>Rex</t>
  </si>
  <si>
    <t>Paris Can Wait</t>
  </si>
  <si>
    <t>Staying Vertical</t>
  </si>
  <si>
    <t>Abacus: Small Enough to Jail</t>
  </si>
  <si>
    <t>Wind River</t>
  </si>
  <si>
    <t>The Hero</t>
  </si>
  <si>
    <t>East Side Sushi</t>
  </si>
  <si>
    <t>Indivisible</t>
  </si>
  <si>
    <t>Maudie</t>
  </si>
  <si>
    <t>Chronic</t>
  </si>
  <si>
    <t>As You Are</t>
  </si>
  <si>
    <t>Landline</t>
  </si>
  <si>
    <t>Unfreedom</t>
  </si>
  <si>
    <t>The Only Living Boy in New York</t>
  </si>
  <si>
    <t>Realive</t>
  </si>
  <si>
    <t>Una</t>
  </si>
  <si>
    <t>Never Here</t>
  </si>
  <si>
    <t>A Ghost Story</t>
  </si>
  <si>
    <t>The Beguiled</t>
  </si>
  <si>
    <t>A Very Sordid Wedding</t>
  </si>
  <si>
    <t>Baby Driver</t>
  </si>
  <si>
    <t>Valerian and the City of a Thousand Planets</t>
  </si>
  <si>
    <t>Ingrid Goes West</t>
  </si>
  <si>
    <t>God's Own Country</t>
  </si>
  <si>
    <t>Gun Shy</t>
  </si>
  <si>
    <t>The Glass Castle</t>
  </si>
  <si>
    <t>Affluenza</t>
  </si>
  <si>
    <t>Acts of Vengeance</t>
  </si>
  <si>
    <t>American Made</t>
  </si>
  <si>
    <t>L'amant double</t>
  </si>
  <si>
    <t>Walking Out</t>
  </si>
  <si>
    <t>Tulip Fever</t>
  </si>
  <si>
    <t>To the Bone</t>
  </si>
  <si>
    <t>The Young Karl Marx</t>
  </si>
  <si>
    <t>Whitney: Can I Be Me</t>
  </si>
  <si>
    <t>One of Us</t>
  </si>
  <si>
    <t>War for the Planet of the Apes</t>
  </si>
  <si>
    <t>Unrest</t>
  </si>
  <si>
    <t>The Odd Way Home</t>
  </si>
  <si>
    <t>Mudbound</t>
  </si>
  <si>
    <t>120 BPM</t>
  </si>
  <si>
    <t>Through the Wall</t>
  </si>
  <si>
    <t>Victoria &amp; Abdul</t>
  </si>
  <si>
    <t>My Life as a Courgette</t>
  </si>
  <si>
    <t>24 Hours to Live</t>
  </si>
  <si>
    <t>Maya Dardel</t>
  </si>
  <si>
    <t>Boris Without BÃ©atrice</t>
  </si>
  <si>
    <t>The Student</t>
  </si>
  <si>
    <t>Collection</t>
  </si>
  <si>
    <t>Mr. Gaga</t>
  </si>
  <si>
    <t>Dream Boat</t>
  </si>
  <si>
    <t>Kingsman: The Golden Circle</t>
  </si>
  <si>
    <t>Dunkirk</t>
  </si>
  <si>
    <t>Beach Rats</t>
  </si>
  <si>
    <t>Geostorm</t>
  </si>
  <si>
    <t>Rodin</t>
  </si>
  <si>
    <t>The Mountain Between Us</t>
  </si>
  <si>
    <t>The Killing of a Sacred Deer</t>
  </si>
  <si>
    <t>The Tribes of Palos Verdes</t>
  </si>
  <si>
    <t>Brawl in Cell Block 99</t>
  </si>
  <si>
    <t>Star Wars: Episode VIII - The Last Jedi</t>
  </si>
  <si>
    <t>Ali and Nino</t>
  </si>
  <si>
    <t>Battle of the Sexes</t>
  </si>
  <si>
    <t>Unlocked</t>
  </si>
  <si>
    <t>Wheelman</t>
  </si>
  <si>
    <t>Mark Felt: The Man Who Brought Down the White House</t>
  </si>
  <si>
    <t>Thelma</t>
  </si>
  <si>
    <t>Justice League</t>
  </si>
  <si>
    <t>Mother!</t>
  </si>
  <si>
    <t>Princess Cyd</t>
  </si>
  <si>
    <t>Blade Runner 2049</t>
  </si>
  <si>
    <t>Call Me by Your Name</t>
  </si>
  <si>
    <t>American Anarchist</t>
  </si>
  <si>
    <t>The Adventurers</t>
  </si>
  <si>
    <t>Rememory</t>
  </si>
  <si>
    <t>Marjorie Prime</t>
  </si>
  <si>
    <t>Cameraperson</t>
  </si>
  <si>
    <t>Lamb</t>
  </si>
  <si>
    <t>It</t>
  </si>
  <si>
    <t>Honeyglue</t>
  </si>
  <si>
    <t>Despicable Me 3</t>
  </si>
  <si>
    <t>I, Tonya</t>
  </si>
  <si>
    <t>Marshall</t>
  </si>
  <si>
    <t>Bright</t>
  </si>
  <si>
    <t>Crooked House</t>
  </si>
  <si>
    <t>Beyond Skyline</t>
  </si>
  <si>
    <t>Three Billboards Outside Ebbing, Missouri</t>
  </si>
  <si>
    <t>Lady Bird</t>
  </si>
  <si>
    <t>The Untamed</t>
  </si>
  <si>
    <t>Coco</t>
  </si>
  <si>
    <t>Women Who Kill</t>
  </si>
  <si>
    <t>Borg McEnroe</t>
  </si>
  <si>
    <t>Sun Choke</t>
  </si>
  <si>
    <t>Hangman</t>
  </si>
  <si>
    <t>Last Flag Flying</t>
  </si>
  <si>
    <t>The Florida Project</t>
  </si>
  <si>
    <t>Stronger</t>
  </si>
  <si>
    <t>Rebel in the Rye</t>
  </si>
  <si>
    <t>Wonderstruck</t>
  </si>
  <si>
    <t>Better Watch Out</t>
  </si>
  <si>
    <t>The Snowman</t>
  </si>
  <si>
    <t>Professor Marston and the Wonder Women</t>
  </si>
  <si>
    <t>American Assassin</t>
  </si>
  <si>
    <t>Goodbye Christopher Robin</t>
  </si>
  <si>
    <t>The Shape of Water</t>
  </si>
  <si>
    <t>Acts of Violence</t>
  </si>
  <si>
    <t>Brigsby Bear</t>
  </si>
  <si>
    <t>Bullet Head</t>
  </si>
  <si>
    <t>Score: A Film Music Documentary</t>
  </si>
  <si>
    <t>Wonder Wheel</t>
  </si>
  <si>
    <t>Ballerina</t>
  </si>
  <si>
    <t>Rocks in My Pockets</t>
  </si>
  <si>
    <t>Darkest Hour</t>
  </si>
  <si>
    <t>The Foreigner</t>
  </si>
  <si>
    <t>The Villainess</t>
  </si>
  <si>
    <t>Thor: Ragnarok</t>
  </si>
  <si>
    <t>Millennium Actress</t>
  </si>
  <si>
    <t>Only the Brave</t>
  </si>
  <si>
    <t>Molly's Game</t>
  </si>
  <si>
    <t>Murder on the Orient Express</t>
  </si>
  <si>
    <t>Final Portrait</t>
  </si>
  <si>
    <t>Horse Money</t>
  </si>
  <si>
    <t>Heaven Is for Real</t>
  </si>
  <si>
    <t>The Post</t>
  </si>
  <si>
    <t>LBJ</t>
  </si>
  <si>
    <t>Dancer</t>
  </si>
  <si>
    <t>Suburbicon</t>
  </si>
  <si>
    <t>Zero Motivation</t>
  </si>
  <si>
    <t>Newness</t>
  </si>
  <si>
    <t>In Bed with Victoria</t>
  </si>
  <si>
    <t>Columbus</t>
  </si>
  <si>
    <t>The Nile Hilton Incident</t>
  </si>
  <si>
    <t>Roman J. Israel, Esq.</t>
  </si>
  <si>
    <t>Becks</t>
  </si>
  <si>
    <t>Phantom Thread</t>
  </si>
  <si>
    <t>Please Stand By</t>
  </si>
  <si>
    <t>Wings of Desire</t>
  </si>
  <si>
    <t>Loveless</t>
  </si>
  <si>
    <t>Wonder</t>
  </si>
  <si>
    <t>The Light of the Moon</t>
  </si>
  <si>
    <t>Girls Lost</t>
  </si>
  <si>
    <t>Redoubtable</t>
  </si>
  <si>
    <t>Sicilian Ghost Story</t>
  </si>
  <si>
    <t>A Family</t>
  </si>
  <si>
    <t>On the Silver Globe</t>
  </si>
  <si>
    <t>Janis: Little Girl Blue</t>
  </si>
  <si>
    <t>42nd Street</t>
  </si>
  <si>
    <t>3:10 to Yuma</t>
  </si>
  <si>
    <t>Lover for a Day</t>
  </si>
  <si>
    <t>Chavela</t>
  </si>
  <si>
    <t>Annihilation</t>
  </si>
  <si>
    <t>The Death of Stalin</t>
  </si>
  <si>
    <t>The Outsider</t>
  </si>
  <si>
    <t>Downsizing</t>
  </si>
  <si>
    <t>Hollow in the Land</t>
  </si>
  <si>
    <t>A Journey Through French Cinema</t>
  </si>
  <si>
    <t>Spider-Man: Homecoming</t>
  </si>
  <si>
    <t>The Party</t>
  </si>
  <si>
    <t>The Greatest Showman</t>
  </si>
  <si>
    <t>Proud Mary</t>
  </si>
  <si>
    <t>All the Money in the World</t>
  </si>
  <si>
    <t>Colossal</t>
  </si>
  <si>
    <t>Mayhem</t>
  </si>
  <si>
    <t>Good Time</t>
  </si>
  <si>
    <t>Irreplaceable You</t>
  </si>
  <si>
    <t>In Search of Fellini</t>
  </si>
  <si>
    <t>Lady Macbeth</t>
  </si>
  <si>
    <t>Film Stars Don't Die in Liverpool</t>
  </si>
  <si>
    <t>42Nd Street</t>
  </si>
  <si>
    <t>Keeper Of The Flame</t>
  </si>
  <si>
    <t>3:10 To Yuma</t>
  </si>
  <si>
    <t>Ein Mann Geht Durch Die Wand</t>
  </si>
  <si>
    <t>King Kong Vs. Godzilla</t>
  </si>
  <si>
    <t>Mothra Vs. Godzilla</t>
  </si>
  <si>
    <t>De Trei Ori Bucuresti</t>
  </si>
  <si>
    <t>Once Upon A Scoundrel</t>
  </si>
  <si>
    <t>Godzilla Vs. Megalon</t>
  </si>
  <si>
    <t>Phantom Of The Paradise</t>
  </si>
  <si>
    <t>Picnic At Hanging Rock</t>
  </si>
  <si>
    <t>Lupin Iii: The Castle Of Cagliostro</t>
  </si>
  <si>
    <t>Dressed To Kill</t>
  </si>
  <si>
    <t>The King And The Mockingbird</t>
  </si>
  <si>
    <t>Psycho Ii</t>
  </si>
  <si>
    <t>The Pope Of Greenwich Village</t>
  </si>
  <si>
    <t>Moscow On The Hudson</t>
  </si>
  <si>
    <t>A Nightmare On Elm Street Part 2: Freddy'S Revenge</t>
  </si>
  <si>
    <t>The Best Of Times</t>
  </si>
  <si>
    <t>Wings Of Desire</t>
  </si>
  <si>
    <t>Running On Empty</t>
  </si>
  <si>
    <t>On The Silver Globe</t>
  </si>
  <si>
    <t>Night On Earth</t>
  </si>
  <si>
    <t>Husbands And Wives</t>
  </si>
  <si>
    <t>Batman: Mask Of The Phantasm</t>
  </si>
  <si>
    <t>Fire In The Sky</t>
  </si>
  <si>
    <t>Sonja Henie: Queen Of The Ice</t>
  </si>
  <si>
    <t>Ghost In The Shell</t>
  </si>
  <si>
    <t>Music Of The Heart</t>
  </si>
  <si>
    <t>Jakob The Liar</t>
  </si>
  <si>
    <t>Harry, He'S Here To Help</t>
  </si>
  <si>
    <t>Dancing At The Blue Iguana</t>
  </si>
  <si>
    <t>Passion Of Mind</t>
  </si>
  <si>
    <t>Ichi The Killer</t>
  </si>
  <si>
    <t>Josie And The Pussycats</t>
  </si>
  <si>
    <t>Son Of The Bride</t>
  </si>
  <si>
    <t>Wilbur Wants To Kill Himself</t>
  </si>
  <si>
    <t>Yves Saint Laurent: 5 Avenue Marceau 75116 Paris</t>
  </si>
  <si>
    <t>Lost In La Mancha</t>
  </si>
  <si>
    <t>The Rules Of Attraction</t>
  </si>
  <si>
    <t>Death To Smoochy</t>
  </si>
  <si>
    <t>It'S All About Love</t>
  </si>
  <si>
    <t>Melinda And Melinda</t>
  </si>
  <si>
    <t>Ghost In The Shell 2: Innocence</t>
  </si>
  <si>
    <t>The Taste Of Tea</t>
  </si>
  <si>
    <t>Pusher Ii</t>
  </si>
  <si>
    <t>Lords Of Dogtown</t>
  </si>
  <si>
    <t>Down In The Valley</t>
  </si>
  <si>
    <t>End Of The Spear</t>
  </si>
  <si>
    <t>In Memory Of Me</t>
  </si>
  <si>
    <t>Mini'S First Time</t>
  </si>
  <si>
    <t>Kettle Of Fish</t>
  </si>
  <si>
    <t>London To Brighton</t>
  </si>
  <si>
    <t>The Road To Guantanamo</t>
  </si>
  <si>
    <t>Over The Hedge</t>
  </si>
  <si>
    <t>Starter For 10</t>
  </si>
  <si>
    <t>Resurrecting The Champ</t>
  </si>
  <si>
    <t>Alvin And The Chipmunks</t>
  </si>
  <si>
    <t>Billy The Kid</t>
  </si>
  <si>
    <t>In Search Of A Midnight Kiss</t>
  </si>
  <si>
    <t>City Of Men</t>
  </si>
  <si>
    <t>Dear Zachary: A Letter To A Son About His Father</t>
  </si>
  <si>
    <t>Hellboy Ii: The Golden Army</t>
  </si>
  <si>
    <t>The Tale Of Despereaux</t>
  </si>
  <si>
    <t>He'S Just Not That Into You</t>
  </si>
  <si>
    <t>Alvin And The Chipmunks: The Squeakquel</t>
  </si>
  <si>
    <t>Letters To Father Jacob</t>
  </si>
  <si>
    <t>Garbo: El Espã­A</t>
  </si>
  <si>
    <t>When You'Re Strange</t>
  </si>
  <si>
    <t>Picture Me: A Model'S Diary</t>
  </si>
  <si>
    <t>Snabba Cash</t>
  </si>
  <si>
    <t>Oranges And Sunshine</t>
  </si>
  <si>
    <t>Burke And Hare</t>
  </si>
  <si>
    <t>The Strange Case Of Angelica</t>
  </si>
  <si>
    <t>Exit Through The Gift Shop</t>
  </si>
  <si>
    <t>The Women On The 6Th Floor</t>
  </si>
  <si>
    <t>Jiro Dreams Of Sushi</t>
  </si>
  <si>
    <t>Diana Vreeland: The Eye Has To Travel</t>
  </si>
  <si>
    <t>Your Sister'S Sister</t>
  </si>
  <si>
    <t>The Kid With A Bike</t>
  </si>
  <si>
    <t>Down The Shore</t>
  </si>
  <si>
    <t>Tt3D: Closer To The Edge</t>
  </si>
  <si>
    <t>A Warrior'S Heart</t>
  </si>
  <si>
    <t>Bucky Larson: Born To Be A Star</t>
  </si>
  <si>
    <t>Seven Days In Utopia</t>
  </si>
  <si>
    <t>Snow Flower And The Secret Fan</t>
  </si>
  <si>
    <t>Beneath The Darkness</t>
  </si>
  <si>
    <t>In The Land Of Blood And Honey</t>
  </si>
  <si>
    <t>Tomorrow You'Re Gone</t>
  </si>
  <si>
    <t>The Perks Of Being A Wallflower</t>
  </si>
  <si>
    <t>Beasts Of The Southern Wild</t>
  </si>
  <si>
    <t>Madagascar 3: Europe'S Most Wanted</t>
  </si>
  <si>
    <t>Won'T Back Down</t>
  </si>
  <si>
    <t>West Of Memphis</t>
  </si>
  <si>
    <t>2 Days In New York</t>
  </si>
  <si>
    <t>The Pirates! In An Adventure With Scientists!</t>
  </si>
  <si>
    <t>Hyde Park On Hudson</t>
  </si>
  <si>
    <t>Life Of Pi</t>
  </si>
  <si>
    <t>Hit And Run</t>
  </si>
  <si>
    <t>House At The End Of The Street</t>
  </si>
  <si>
    <t>What To Expect When You'Re Expecting</t>
  </si>
  <si>
    <t>Easy Money Ii: Hard To Kill</t>
  </si>
  <si>
    <t>John Dies At The End</t>
  </si>
  <si>
    <t>Mosquita Y Mari</t>
  </si>
  <si>
    <t>Rise Of The Guardians</t>
  </si>
  <si>
    <t>Searching For Sugar Man</t>
  </si>
  <si>
    <t>A Glimpse Inside The Mind Of Charles Swan Iii</t>
  </si>
  <si>
    <t>Here Comes The Boom</t>
  </si>
  <si>
    <t>The Place Beyond The Pines</t>
  </si>
  <si>
    <t>In The House</t>
  </si>
  <si>
    <t>To The Wonder</t>
  </si>
  <si>
    <t>Playing For Keeps</t>
  </si>
  <si>
    <t>Lay The Favourite</t>
  </si>
  <si>
    <t>Caroline And Jackie</t>
  </si>
  <si>
    <t>Arthur And Mike</t>
  </si>
  <si>
    <t>Les Misã©Rables</t>
  </si>
  <si>
    <t>Everybody Has A Plan</t>
  </si>
  <si>
    <t>Stuck In Love.</t>
  </si>
  <si>
    <t>Thanks For Sharing</t>
  </si>
  <si>
    <t>Escape From Planet Earth</t>
  </si>
  <si>
    <t>Keep The Lights On</t>
  </si>
  <si>
    <t>Gimme The Loot</t>
  </si>
  <si>
    <t>Can'T Stand Losing You</t>
  </si>
  <si>
    <t>The Pervert'S Guide To Ideology</t>
  </si>
  <si>
    <t>Marina Abramovic: The Artist Is Present</t>
  </si>
  <si>
    <t>Sagrada: The Mystery Of Creation</t>
  </si>
  <si>
    <t>Side By Side</t>
  </si>
  <si>
    <t>Cirque Du Soleil: Worlds Away</t>
  </si>
  <si>
    <t>Cycling With Moliã¨Re</t>
  </si>
  <si>
    <t>I Give It A Year</t>
  </si>
  <si>
    <t>The Look Of Love</t>
  </si>
  <si>
    <t>The Mortal Instruments: City Of Bones</t>
  </si>
  <si>
    <t>Ain'T Them Bodies Saints</t>
  </si>
  <si>
    <t>A Good Day To Die Hard</t>
  </si>
  <si>
    <t>Blue Is The Warmest Colour</t>
  </si>
  <si>
    <t>The Necessary Death Of Charlie Countryman</t>
  </si>
  <si>
    <t>Child'S Pose</t>
  </si>
  <si>
    <t>Summer In February</t>
  </si>
  <si>
    <t>Night Train To Lisbon</t>
  </si>
  <si>
    <t>Red 2</t>
  </si>
  <si>
    <t>The Last Days On Mars</t>
  </si>
  <si>
    <t>Out Of The Furnace</t>
  </si>
  <si>
    <t>Percy Jackson: Sea Of Monsters</t>
  </si>
  <si>
    <t>Mr. Morgan'S Last Love</t>
  </si>
  <si>
    <t>A Case Of You</t>
  </si>
  <si>
    <t>Mandela: Long Walk To Freedom</t>
  </si>
  <si>
    <t>12 Years A Slave</t>
  </si>
  <si>
    <t>The Wolf Of Wall Street</t>
  </si>
  <si>
    <t>Ender'S Game</t>
  </si>
  <si>
    <t>Cold Comes The Night</t>
  </si>
  <si>
    <t>The Inevitable Defeat Of Mister &amp; Pete</t>
  </si>
  <si>
    <t>The Adventurer: The Curse Of The Midas Box</t>
  </si>
  <si>
    <t>Oz The Great And Powerful</t>
  </si>
  <si>
    <t>Welcome To The Jungle</t>
  </si>
  <si>
    <t>In A World...</t>
  </si>
  <si>
    <t>Reaching For The Moon</t>
  </si>
  <si>
    <t>Twenty Feet From Stardom</t>
  </si>
  <si>
    <t>The Right Kind Of Wrong</t>
  </si>
  <si>
    <t>Mother Of George</t>
  </si>
  <si>
    <t>Man Of Steel</t>
  </si>
  <si>
    <t>The Art Of The Steal</t>
  </si>
  <si>
    <t>Cutie And The Boxer</t>
  </si>
  <si>
    <t>A Birder'S Guide To Everything</t>
  </si>
  <si>
    <t>Knights Of Badassdom</t>
  </si>
  <si>
    <t>Andre Gregory: Before And After Dinner</t>
  </si>
  <si>
    <t>Herblock: The Black &amp; The White</t>
  </si>
  <si>
    <t>Jodorowsky'S Dune</t>
  </si>
  <si>
    <t>The Devil'S Violinist</t>
  </si>
  <si>
    <t>Frankenstein'S Army</t>
  </si>
  <si>
    <t>Under The Skin</t>
  </si>
  <si>
    <t>Devil'S Knot</t>
  </si>
  <si>
    <t>The Face Of Love</t>
  </si>
  <si>
    <t>Words And Pictures</t>
  </si>
  <si>
    <t>Shield Of Straw</t>
  </si>
  <si>
    <t>A Touch Of Sin</t>
  </si>
  <si>
    <t>The Secret Life Of Walter Mitty</t>
  </si>
  <si>
    <t>Is The Man Who Is Tall Happy?: An Animated Conversation With Noam Chomsky</t>
  </si>
  <si>
    <t>Jack And The Cuckoo-Clock Heart</t>
  </si>
  <si>
    <t>Jimi: All Is By My Side</t>
  </si>
  <si>
    <t>The Young And Prodigious T.S. Spivet</t>
  </si>
  <si>
    <t>Nymphomaniac: Vol. Ii</t>
  </si>
  <si>
    <t>The Tale Of The Princess Kaguya</t>
  </si>
  <si>
    <t>10 Rules For Sleeping Around</t>
  </si>
  <si>
    <t>The Hobbit: The Desolation Of Smaug</t>
  </si>
  <si>
    <t>The Last Of Robin Hood</t>
  </si>
  <si>
    <t>The Strange Colour Of Your Body'S Tears</t>
  </si>
  <si>
    <t>Seduced And Abandoned</t>
  </si>
  <si>
    <t>The Disappearance Of Eleanor Rigby: Her</t>
  </si>
  <si>
    <t>The Disappearance Of Eleanor Rigby: Him</t>
  </si>
  <si>
    <t>The Dance Of Reality</t>
  </si>
  <si>
    <t>The Galapagos Affair: Satan Came To Eden</t>
  </si>
  <si>
    <t>Department Q: The Keeper Of Lost Causes</t>
  </si>
  <si>
    <t>Hammer Of The Gods</t>
  </si>
  <si>
    <t>Can'T Come Out To Play</t>
  </si>
  <si>
    <t>Drew: The Man Behind The Poster</t>
  </si>
  <si>
    <t>Tom At The Farm</t>
  </si>
  <si>
    <t>May In The Summer</t>
  </si>
  <si>
    <t>Gore Vidal: The United States Of Amnesia</t>
  </si>
  <si>
    <t>A Wolf At The Door</t>
  </si>
  <si>
    <t>The Hundred Year-Old Man Who Climbed Out Of The Window And Disappeared</t>
  </si>
  <si>
    <t>Life Of A King</t>
  </si>
  <si>
    <t>The Kingdom Of Dreams And Madness</t>
  </si>
  <si>
    <t>300: Rise Of An Empire</t>
  </si>
  <si>
    <t>Robocop</t>
  </si>
  <si>
    <t>Tinker Bell And The Pirate Fairy</t>
  </si>
  <si>
    <t>3 Days To Kill</t>
  </si>
  <si>
    <t>Walk Of Shame</t>
  </si>
  <si>
    <t>The Legend Of Hercules</t>
  </si>
  <si>
    <t>In The Blood</t>
  </si>
  <si>
    <t>A New York Winter'S Tale</t>
  </si>
  <si>
    <t>Edge Of Tomorrow</t>
  </si>
  <si>
    <t>Grace Of Monaco</t>
  </si>
  <si>
    <t>Rob The Mob</t>
  </si>
  <si>
    <t>X-Men: Days Of Future Past</t>
  </si>
  <si>
    <t>Need For Speed</t>
  </si>
  <si>
    <t>The Fault In Our Stars</t>
  </si>
  <si>
    <t>Welcome To New York</t>
  </si>
  <si>
    <t>Closer To The Moon</t>
  </si>
  <si>
    <t>Maps To The Stars</t>
  </si>
  <si>
    <t>A Million Ways To Die In The West</t>
  </si>
  <si>
    <t>The Two Faces Of January</t>
  </si>
  <si>
    <t>Transformers: Age Of Extinction</t>
  </si>
  <si>
    <t>Beauty And The Beast</t>
  </si>
  <si>
    <t>White Bird In A Blizzard</t>
  </si>
  <si>
    <t>A Walk Among The Tombstones</t>
  </si>
  <si>
    <t>Cold In July</t>
  </si>
  <si>
    <t>Sin City: A Dame To Kill For</t>
  </si>
  <si>
    <t>Bad Land: Road To Fury</t>
  </si>
  <si>
    <t>Dawn Of The Planet Of The Apes</t>
  </si>
  <si>
    <t>Still The Water</t>
  </si>
  <si>
    <t>God Help The Girl</t>
  </si>
  <si>
    <t>20,000 Days On Earth</t>
  </si>
  <si>
    <t>Jimmy'S Hall</t>
  </si>
  <si>
    <t>Dying Of The Light</t>
  </si>
  <si>
    <t>Magic In The Moonlight</t>
  </si>
  <si>
    <t>Road To Paloma</t>
  </si>
  <si>
    <t>God'S Pocket</t>
  </si>
  <si>
    <t>Before I Go To Sleep</t>
  </si>
  <si>
    <t>Goodbye To Language</t>
  </si>
  <si>
    <t>Murder Of A Cat</t>
  </si>
  <si>
    <t>Two Men In Town</t>
  </si>
  <si>
    <t>Get On Up</t>
  </si>
  <si>
    <t>How To Train Your Dragon 2</t>
  </si>
  <si>
    <t>Into The Woods</t>
  </si>
  <si>
    <t>Life Of Riley</t>
  </si>
  <si>
    <t>Clouds Of Sils Maria</t>
  </si>
  <si>
    <t>The Book Of Life</t>
  </si>
  <si>
    <t>Birdman Or</t>
  </si>
  <si>
    <t>The Hobbit: The Battle Of The Five Armies</t>
  </si>
  <si>
    <t>Son Of A Gun</t>
  </si>
  <si>
    <t>The Best Of Me</t>
  </si>
  <si>
    <t>The Theory Of Everything</t>
  </si>
  <si>
    <t>God'S Not Dead</t>
  </si>
  <si>
    <t>All The Wilderness</t>
  </si>
  <si>
    <t>Night At The Museum: Secret Of The Tomb</t>
  </si>
  <si>
    <t>Kill The Messenger</t>
  </si>
  <si>
    <t>Exodus: Gods And Kings</t>
  </si>
  <si>
    <t>Under The Electric Sky</t>
  </si>
  <si>
    <t>What We Do In The Shadows</t>
  </si>
  <si>
    <t>Set Fire To The Stars</t>
  </si>
  <si>
    <t>In Order Of Disappearance</t>
  </si>
  <si>
    <t>Alex Of Venice</t>
  </si>
  <si>
    <t>Beyond The Reach</t>
  </si>
  <si>
    <t>Amour Fou</t>
  </si>
  <si>
    <t>50 To 1</t>
  </si>
  <si>
    <t>Tales Of The Grim Sleeper</t>
  </si>
  <si>
    <t>Song Of The Sea</t>
  </si>
  <si>
    <t>Black Or White</t>
  </si>
  <si>
    <t>Labyrinth Of Lies</t>
  </si>
  <si>
    <t>Testament Of Youth</t>
  </si>
  <si>
    <t>5 To 7</t>
  </si>
  <si>
    <t>You'Re Not You</t>
  </si>
  <si>
    <t>Suite Franã§Aise</t>
  </si>
  <si>
    <t>The Disappearance Of Eleanor Rigby: Them</t>
  </si>
  <si>
    <t>Welcome To Me</t>
  </si>
  <si>
    <t>Fã©Lix &amp; Meira</t>
  </si>
  <si>
    <t>In The Name Of My Daughter</t>
  </si>
  <si>
    <t>Gett: The Trial Of Viviane Amsalem</t>
  </si>
  <si>
    <t>Earth To Echo</t>
  </si>
  <si>
    <t>The Face Of An Angel</t>
  </si>
  <si>
    <t>The Duke Of Burgundy</t>
  </si>
  <si>
    <t>Margarita With A Straw</t>
  </si>
  <si>
    <t>In The Courtyard</t>
  </si>
  <si>
    <t>Lessons In Love</t>
  </si>
  <si>
    <t>Dior And I</t>
  </si>
  <si>
    <t>Learning To Drive</t>
  </si>
  <si>
    <t>While We'Re Young</t>
  </si>
  <si>
    <t>Time Out Of Mind</t>
  </si>
  <si>
    <t>The 11Th Hour</t>
  </si>
  <si>
    <t>After The Fall</t>
  </si>
  <si>
    <t>Hector And The Search For Happiness</t>
  </si>
  <si>
    <t>An Eye For Beauty</t>
  </si>
  <si>
    <t>The Trip To Italy</t>
  </si>
  <si>
    <t>The Look Of Silence</t>
  </si>
  <si>
    <t>The Search For General Tso</t>
  </si>
  <si>
    <t>Days And Nights</t>
  </si>
  <si>
    <t>She'S Lost Control</t>
  </si>
  <si>
    <t>The Salt Of The Earth</t>
  </si>
  <si>
    <t>The Angriest Man In Brooklyn</t>
  </si>
  <si>
    <t>Magician: The Astonishing Life And Work Of Orson Welles</t>
  </si>
  <si>
    <t>The World Of Kanako</t>
  </si>
  <si>
    <t>A Pigeon Sat On A Branch Reflecting On Existence</t>
  </si>
  <si>
    <t>Beyond The Lights</t>
  </si>
  <si>
    <t>Rocks In My Pockets</t>
  </si>
  <si>
    <t>Heaven Is For Real</t>
  </si>
  <si>
    <t>Battlefield Of Lost Souls</t>
  </si>
  <si>
    <t>Fifty Shades Of Grey</t>
  </si>
  <si>
    <t>Mcfarland</t>
  </si>
  <si>
    <t>The Age Of Adaline</t>
  </si>
  <si>
    <t>Woman In Gold</t>
  </si>
  <si>
    <t>Cobain: Montage Of Heck</t>
  </si>
  <si>
    <t>Far From The Madding Crowd</t>
  </si>
  <si>
    <t>Jenny'S Wedding</t>
  </si>
  <si>
    <t>I'Ll See You In My Dreams</t>
  </si>
  <si>
    <t>Z For Zachariah</t>
  </si>
  <si>
    <t>Self/Less</t>
  </si>
  <si>
    <t>Avengers: Age Of Ultron</t>
  </si>
  <si>
    <t>Steve Jobs: The Man In The Machine</t>
  </si>
  <si>
    <t>Magic Mike Xxl</t>
  </si>
  <si>
    <t>Return To Sender</t>
  </si>
  <si>
    <t>Me And Earl And The Dying Girl</t>
  </si>
  <si>
    <t>Digging For Fire</t>
  </si>
  <si>
    <t>The Measure Of A Man</t>
  </si>
  <si>
    <t>Tale Of Tales</t>
  </si>
  <si>
    <t>Into The Grizzly Maze</t>
  </si>
  <si>
    <t>Going Clear: Scientology &amp; The Prison Of Belief</t>
  </si>
  <si>
    <t>The Man From U.N.C.L.E.</t>
  </si>
  <si>
    <t>Diary Of A Chambermaid</t>
  </si>
  <si>
    <t>Ricki And The Flash</t>
  </si>
  <si>
    <t>90 Minutes In Heaven</t>
  </si>
  <si>
    <t>Beasts Of No Nation</t>
  </si>
  <si>
    <t>The End Of The Tour</t>
  </si>
  <si>
    <t>Bridge Of Spies</t>
  </si>
  <si>
    <t>Valley Of Love</t>
  </si>
  <si>
    <t>A Walk In The Woods</t>
  </si>
  <si>
    <t>The Girl In The Book</t>
  </si>
  <si>
    <t>In The Heart Of The Sea</t>
  </si>
  <si>
    <t>Queen Of Earth</t>
  </si>
  <si>
    <t>The Summer Of Sangaile</t>
  </si>
  <si>
    <t>Star Wars: Episode Vii - The Force Awakens</t>
  </si>
  <si>
    <t>Secret In Their Eyes</t>
  </si>
  <si>
    <t>Knight Of Cups</t>
  </si>
  <si>
    <t>Listen To Me Marlon</t>
  </si>
  <si>
    <t>A Ballerina'S Tale</t>
  </si>
  <si>
    <t>Christmas With The Coopers</t>
  </si>
  <si>
    <t>Winter On Fire: Ukraine'S Fight For Freedom</t>
  </si>
  <si>
    <t>L'Attesa</t>
  </si>
  <si>
    <t>Eisenstein In Guanajuato</t>
  </si>
  <si>
    <t>Jane Got A Gun</t>
  </si>
  <si>
    <t>Queen Of The Desert</t>
  </si>
  <si>
    <t>Cemetery Of Splendour</t>
  </si>
  <si>
    <t>Land Of Mine</t>
  </si>
  <si>
    <t>Eddie The Eagle</t>
  </si>
  <si>
    <t>Born To Be Blue</t>
  </si>
  <si>
    <t>Best Of Enemies</t>
  </si>
  <si>
    <t>The Lady In The Van</t>
  </si>
  <si>
    <t>Eye In The Sky</t>
  </si>
  <si>
    <t>Five Nights In Maine</t>
  </si>
  <si>
    <t>Septembers Of Shiraz</t>
  </si>
  <si>
    <t>Last Days In The Desert</t>
  </si>
  <si>
    <t>Into The Forest</t>
  </si>
  <si>
    <t>The Sea Of Trees</t>
  </si>
  <si>
    <t>The Childhood Of A Leader</t>
  </si>
  <si>
    <t>Son Of Saul</t>
  </si>
  <si>
    <t>I Saw The Light</t>
  </si>
  <si>
    <t>A Monster With A Thousand Heads</t>
  </si>
  <si>
    <t>Henry Gamble'S Birthday Party</t>
  </si>
  <si>
    <t>The People Vs. Fritz Bauer</t>
  </si>
  <si>
    <t>Papa Hemingway In Cuba</t>
  </si>
  <si>
    <t>By The Sea</t>
  </si>
  <si>
    <t>The 5Th Wave</t>
  </si>
  <si>
    <t>Pride And Prejudice And Zombies</t>
  </si>
  <si>
    <t>Crazy About Tiffany'S</t>
  </si>
  <si>
    <t>Gods Of Egypt</t>
  </si>
  <si>
    <t>Mother'S Day</t>
  </si>
  <si>
    <t>Mothers And Daughters</t>
  </si>
  <si>
    <t>Batman V Superman: Dawn Of Justice</t>
  </si>
  <si>
    <t>The Huntsman: Winter'S War</t>
  </si>
  <si>
    <t>Pelã©: Birth Of A Legend</t>
  </si>
  <si>
    <t>A Hologram For The King</t>
  </si>
  <si>
    <t>The Fundamentals Of Caring</t>
  </si>
  <si>
    <t>Approaching The Unknown</t>
  </si>
  <si>
    <t>Free State Of Jones</t>
  </si>
  <si>
    <t>Our Kind Of Traitor</t>
  </si>
  <si>
    <t>Kingsglaive: Final Fantasy Xv</t>
  </si>
  <si>
    <t>Train To Busan</t>
  </si>
  <si>
    <t>The Legend Of Tarzan</t>
  </si>
  <si>
    <t>Hunt For The Wilderpeople</t>
  </si>
  <si>
    <t>Despite The Falling Snow</t>
  </si>
  <si>
    <t>Norman Lear: Just Another Version Of You</t>
  </si>
  <si>
    <t>For The Love Of Spock</t>
  </si>
  <si>
    <t>Miss Peregrine'S Home For Peculiar Children</t>
  </si>
  <si>
    <t>Come And Find Me</t>
  </si>
  <si>
    <t>Pete'S Dragon</t>
  </si>
  <si>
    <t>Things To Come</t>
  </si>
  <si>
    <t>Alice Through The Looking Glass</t>
  </si>
  <si>
    <t>Lo And Behold, Reveries Of The Connected World</t>
  </si>
  <si>
    <t>Kubo And The Two Strings</t>
  </si>
  <si>
    <t>The Secret Life Of Pets</t>
  </si>
  <si>
    <t>In A Valley Of Violence</t>
  </si>
  <si>
    <t>I Am The Pretty Thing That Lives In The House</t>
  </si>
  <si>
    <t>Queen Of Katwe</t>
  </si>
  <si>
    <t>Fantastic Beasts And Where To Find Them</t>
  </si>
  <si>
    <t>The Girl On The Train</t>
  </si>
  <si>
    <t>Uss Indianapolis: Men Of Courage</t>
  </si>
  <si>
    <t>A Kind Of Murder</t>
  </si>
  <si>
    <t>Hands Of Stone</t>
  </si>
  <si>
    <t>Alone In Berlin</t>
  </si>
  <si>
    <t>The King'S Choice</t>
  </si>
  <si>
    <t>After The Storm</t>
  </si>
  <si>
    <t>Outlaws And Angels</t>
  </si>
  <si>
    <t>Keeping Up With The Joneses</t>
  </si>
  <si>
    <t>The Birth Of A Nation</t>
  </si>
  <si>
    <t>Southside With You</t>
  </si>
  <si>
    <t>Manchester By The Sea</t>
  </si>
  <si>
    <t>Claire In Motion</t>
  </si>
  <si>
    <t>The 9Th Life Of Louis Drax</t>
  </si>
  <si>
    <t>The Edge Of Seventeen</t>
  </si>
  <si>
    <t>Bleed For This</t>
  </si>
  <si>
    <t>Shepherds And Butchers</t>
  </si>
  <si>
    <t>The Girl With All The Gifts</t>
  </si>
  <si>
    <t>The Autopsy Of Jane Doe</t>
  </si>
  <si>
    <t>Billy Lynn'S Long Halftime Walk</t>
  </si>
  <si>
    <t>The Bfg</t>
  </si>
  <si>
    <t>Fire At Sea</t>
  </si>
  <si>
    <t>Assassin'S Creed</t>
  </si>
  <si>
    <t>War On Everyone</t>
  </si>
  <si>
    <t>20Th Century Women</t>
  </si>
  <si>
    <t>Live By Night</t>
  </si>
  <si>
    <t>Hell Or High Water</t>
  </si>
  <si>
    <t>13Th</t>
  </si>
  <si>
    <t>It'S Only The End Of The World</t>
  </si>
  <si>
    <t>Rules Don'T Apply</t>
  </si>
  <si>
    <t>Sophie And The Rising Sun</t>
  </si>
  <si>
    <t>Youth In Oregon</t>
  </si>
  <si>
    <t>Bright Lights: Starring Carrie Fisher And Debbie Reynolds</t>
  </si>
  <si>
    <t>Bridget Jones'S Baby</t>
  </si>
  <si>
    <t>Betting On Zero</t>
  </si>
  <si>
    <t>4 Days In France</t>
  </si>
  <si>
    <t>A Cure For Wellness</t>
  </si>
  <si>
    <t>Stefan Zweig: Farewell To Europe</t>
  </si>
  <si>
    <t>The Lost City Of Z</t>
  </si>
  <si>
    <t>Up For Love</t>
  </si>
  <si>
    <t>Book Of Love</t>
  </si>
  <si>
    <t>From The Land Of The Moon</t>
  </si>
  <si>
    <t>Two Lovers And A Bear</t>
  </si>
  <si>
    <t>Mapplethorpe: Look At The Pictures</t>
  </si>
  <si>
    <t>Norman: The Moderate Rise And Tragic Fall Of A New York Fixer</t>
  </si>
  <si>
    <t>Strike A Pose</t>
  </si>
  <si>
    <t>Abacus: Small Enough To Jail</t>
  </si>
  <si>
    <t>Through The Wall</t>
  </si>
  <si>
    <t>My Life As A Courgette</t>
  </si>
  <si>
    <t>Boris Without Bã©Atrice</t>
  </si>
  <si>
    <t>Ali And Nino</t>
  </si>
  <si>
    <t>Lbj</t>
  </si>
  <si>
    <t>In Bed With Victoria</t>
  </si>
  <si>
    <t>Iboy</t>
  </si>
  <si>
    <t>Xx</t>
  </si>
  <si>
    <t>I Don'T Feel At Home In This World Anymore.</t>
  </si>
  <si>
    <t>A Dog'S Purpose</t>
  </si>
  <si>
    <t>The Most Hated Woman In America</t>
  </si>
  <si>
    <t>Lost In Florence</t>
  </si>
  <si>
    <t>Once Upon A Time In Venice</t>
  </si>
  <si>
    <t>The Hunter'S Prayer</t>
  </si>
  <si>
    <t>Song To Song</t>
  </si>
  <si>
    <t>The Zookeeper'S Wife</t>
  </si>
  <si>
    <t>Voice From The Stone</t>
  </si>
  <si>
    <t>Chips</t>
  </si>
  <si>
    <t>The Sense Of An Ending</t>
  </si>
  <si>
    <t>Xxx: Return Of Xander Cage</t>
  </si>
  <si>
    <t>King Arthur: Legend Of The Sword</t>
  </si>
  <si>
    <t>Viceroy'S House</t>
  </si>
  <si>
    <t>Eagles Of Death Metal: Nos Amis</t>
  </si>
  <si>
    <t>Deidra &amp; Laney Rob A Train</t>
  </si>
  <si>
    <t>Person To Person</t>
  </si>
  <si>
    <t>Beatriz At Dinner</t>
  </si>
  <si>
    <t>All Eyez On Me</t>
  </si>
  <si>
    <t>Tom Of Finland</t>
  </si>
  <si>
    <t>Guardians Of The Galaxy: Vol. 2</t>
  </si>
  <si>
    <t>The Hitman'S Bodyguard</t>
  </si>
  <si>
    <t>The Death And Life Of Marsha P. Johnson</t>
  </si>
  <si>
    <t>What Happened To Monday</t>
  </si>
  <si>
    <t>The Only Living Boy In New York</t>
  </si>
  <si>
    <t>Valerian And The City Of A Thousand Planets</t>
  </si>
  <si>
    <t>God'S Own Country</t>
  </si>
  <si>
    <t>Acts Of Vengeance</t>
  </si>
  <si>
    <t>L'Amant Double</t>
  </si>
  <si>
    <t>To The Bone</t>
  </si>
  <si>
    <t>One Of Us</t>
  </si>
  <si>
    <t>War For The Planet Of The Apes</t>
  </si>
  <si>
    <t>120 Bpm</t>
  </si>
  <si>
    <t>24 Hours To Live</t>
  </si>
  <si>
    <t>The Killing Of A Sacred Deer</t>
  </si>
  <si>
    <t>The Tribes Of Palos Verdes</t>
  </si>
  <si>
    <t>Brawl In Cell Block 99</t>
  </si>
  <si>
    <t>Star Wars: Episode Viii - The Last Jedi</t>
  </si>
  <si>
    <t>Battle Of The Sexes</t>
  </si>
  <si>
    <t>Mark Felt: The Man Who Brought Down The White House</t>
  </si>
  <si>
    <t>Call Me By Your Name</t>
  </si>
  <si>
    <t>Borg Mcenroe</t>
  </si>
  <si>
    <t>Rebel In The Rye</t>
  </si>
  <si>
    <t>Professor Marston And The Wonder Women</t>
  </si>
  <si>
    <t>The Shape Of Water</t>
  </si>
  <si>
    <t>Only The Brave</t>
  </si>
  <si>
    <t>Molly'S Game</t>
  </si>
  <si>
    <t>Murder On The Orient Express</t>
  </si>
  <si>
    <t>The Light Of The Moon</t>
  </si>
  <si>
    <t>Lover For A Day</t>
  </si>
  <si>
    <t>The Death Of Stalin</t>
  </si>
  <si>
    <t>Hollow In The Land</t>
  </si>
  <si>
    <t>All The Money In The World</t>
  </si>
  <si>
    <t>In Search Of Fellini</t>
  </si>
  <si>
    <t>Film Stars Don'T Die In Liverpool</t>
  </si>
  <si>
    <t>Acts Of Violence</t>
  </si>
  <si>
    <t>Last Tango In Halifax</t>
  </si>
  <si>
    <t>Movies by Decade</t>
  </si>
  <si>
    <t>Age Restriction</t>
  </si>
  <si>
    <t>PG-13</t>
  </si>
  <si>
    <t>PG</t>
  </si>
  <si>
    <t>R18+</t>
  </si>
  <si>
    <t>R</t>
  </si>
  <si>
    <t>Movie Name (Title)</t>
  </si>
  <si>
    <t>1960s</t>
  </si>
  <si>
    <t>1970s</t>
  </si>
  <si>
    <t>1980s</t>
  </si>
  <si>
    <t>1990s</t>
  </si>
  <si>
    <t>2000s</t>
  </si>
  <si>
    <t>2010s</t>
  </si>
  <si>
    <t>Decade</t>
  </si>
  <si>
    <t>Average of Ratings</t>
  </si>
  <si>
    <t>Highest Grossing Movie Per Decade</t>
  </si>
  <si>
    <t>Highest Grossing Movie By Age Restriction</t>
  </si>
  <si>
    <t xml:space="preserve">Gross Profit Per Age </t>
  </si>
  <si>
    <t>Gross Profit Per Decade</t>
  </si>
  <si>
    <t>Highest Grossing Movies Per Decade and By Age Restriction</t>
  </si>
  <si>
    <t>Highest Grossing Movie (1933 - 2020)</t>
  </si>
  <si>
    <t>Gross Profit</t>
  </si>
  <si>
    <t>IMDB MOVIE INSIGHTS (1933 to 2020)</t>
  </si>
  <si>
    <t>Average of Votes</t>
  </si>
  <si>
    <t>Age Ristriction</t>
  </si>
  <si>
    <t>Average Movie Rating Per Decade</t>
  </si>
  <si>
    <t>Average Movie Rating Per Decade Based on Age Restriction</t>
  </si>
  <si>
    <t xml:space="preserve">Gross Profit &amp; Ratings </t>
  </si>
  <si>
    <t>Gross Profit &amp; Duration</t>
  </si>
  <si>
    <t>Correlation between Gross Profit and Movie Rating ; Gross Profit and Movie Duration</t>
  </si>
  <si>
    <t>Decade With Highest Movie Rating (1960s to 2010s)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</si>
</sst>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Bahnschrift Condensed"/>
      <family val="2"/>
    </font>
    <font>
      <b/>
      <sz val="14"/>
      <color theme="1"/>
      <name val="Bahnschrift Condensed"/>
      <family val="2"/>
    </font>
    <font>
      <b/>
      <sz val="20"/>
      <color theme="1"/>
      <name val="Bahnschrift Condensed"/>
      <family val="2"/>
    </font>
    <font>
      <b/>
      <sz val="36"/>
      <color theme="1"/>
      <name val="Bahnschrift Condensed"/>
      <family val="2"/>
    </font>
    <font>
      <sz val="28"/>
      <color theme="1"/>
      <name val="Bahnschrift Light Condensed"/>
      <family val="2"/>
    </font>
    <font>
      <sz val="26"/>
      <color theme="1"/>
      <name val="Bahnschrift Condensed"/>
      <family val="2"/>
    </font>
    <font>
      <b/>
      <sz val="14"/>
      <name val="Bahnschrift Condensed"/>
      <family val="2"/>
    </font>
    <font>
      <sz val="14"/>
      <name val="Bahnschrift Condensed"/>
      <family val="2"/>
    </font>
    <font>
      <sz val="16"/>
      <color theme="1"/>
      <name val="Bahnschrift Condensed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3" fontId="0" fillId="0" borderId="0" xfId="0" applyNumberFormat="1"/>
    <xf numFmtId="8" fontId="0" fillId="0" borderId="0" xfId="0" applyNumberFormat="1"/>
    <xf numFmtId="20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/>
    <xf numFmtId="0" fontId="18" fillId="36" borderId="0" xfId="0" applyFont="1" applyFill="1"/>
    <xf numFmtId="0" fontId="19" fillId="35" borderId="11" xfId="0" applyFont="1" applyFill="1" applyBorder="1"/>
    <xf numFmtId="0" fontId="19" fillId="35" borderId="12" xfId="0" applyFont="1" applyFill="1" applyBorder="1"/>
    <xf numFmtId="0" fontId="19" fillId="35" borderId="13" xfId="0" applyFont="1" applyFill="1" applyBorder="1"/>
    <xf numFmtId="0" fontId="19" fillId="0" borderId="0" xfId="0" applyFont="1"/>
    <xf numFmtId="0" fontId="19" fillId="36" borderId="0" xfId="0" applyFont="1" applyFill="1"/>
    <xf numFmtId="0" fontId="19" fillId="0" borderId="14" xfId="0" applyFont="1" applyBorder="1"/>
    <xf numFmtId="0" fontId="19" fillId="0" borderId="10" xfId="0" applyFont="1" applyBorder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0" fontId="20" fillId="36" borderId="0" xfId="0" applyFont="1" applyFill="1" applyAlignment="1">
      <alignment horizontal="center"/>
    </xf>
    <xf numFmtId="0" fontId="20" fillId="38" borderId="0" xfId="0" applyFont="1" applyFill="1"/>
    <xf numFmtId="0" fontId="0" fillId="39" borderId="0" xfId="0" applyFill="1"/>
    <xf numFmtId="0" fontId="25" fillId="34" borderId="14" xfId="0" applyFont="1" applyFill="1" applyBorder="1"/>
    <xf numFmtId="0" fontId="25" fillId="34" borderId="10" xfId="0" applyFont="1" applyFill="1" applyBorder="1"/>
    <xf numFmtId="2" fontId="25" fillId="34" borderId="10" xfId="0" applyNumberFormat="1" applyFont="1" applyFill="1" applyBorder="1"/>
    <xf numFmtId="0" fontId="25" fillId="34" borderId="15" xfId="0" applyFont="1" applyFill="1" applyBorder="1"/>
    <xf numFmtId="0" fontId="25" fillId="34" borderId="16" xfId="0" applyFont="1" applyFill="1" applyBorder="1"/>
    <xf numFmtId="0" fontId="25" fillId="34" borderId="17" xfId="0" applyFont="1" applyFill="1" applyBorder="1"/>
    <xf numFmtId="2" fontId="25" fillId="34" borderId="17" xfId="0" applyNumberFormat="1" applyFont="1" applyFill="1" applyBorder="1"/>
    <xf numFmtId="0" fontId="25" fillId="34" borderId="18" xfId="0" applyFont="1" applyFill="1" applyBorder="1"/>
    <xf numFmtId="0" fontId="24" fillId="40" borderId="11" xfId="0" applyFont="1" applyFill="1" applyBorder="1"/>
    <xf numFmtId="0" fontId="24" fillId="40" borderId="12" xfId="0" applyFont="1" applyFill="1" applyBorder="1"/>
    <xf numFmtId="0" fontId="24" fillId="40" borderId="13" xfId="0" applyFont="1" applyFill="1" applyBorder="1"/>
    <xf numFmtId="0" fontId="0" fillId="41" borderId="0" xfId="0" applyFill="1"/>
    <xf numFmtId="0" fontId="22" fillId="37" borderId="0" xfId="0" applyFont="1" applyFill="1"/>
    <xf numFmtId="0" fontId="0" fillId="37" borderId="0" xfId="0" applyFill="1"/>
    <xf numFmtId="0" fontId="23" fillId="39" borderId="0" xfId="0" applyFont="1" applyFill="1" applyAlignment="1">
      <alignment horizontal="center"/>
    </xf>
    <xf numFmtId="0" fontId="20" fillId="39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2" fillId="37" borderId="0" xfId="0" applyFont="1" applyFill="1" applyAlignment="1">
      <alignment horizontal="center"/>
    </xf>
    <xf numFmtId="0" fontId="21" fillId="38" borderId="0" xfId="0" applyFont="1" applyFill="1" applyAlignment="1">
      <alignment horizontal="center"/>
    </xf>
    <xf numFmtId="0" fontId="19" fillId="37" borderId="11" xfId="0" applyFont="1" applyFill="1" applyBorder="1"/>
    <xf numFmtId="0" fontId="19" fillId="37" borderId="12" xfId="0" applyFont="1" applyFill="1" applyBorder="1"/>
    <xf numFmtId="0" fontId="19" fillId="37" borderId="13" xfId="0" applyFont="1" applyFill="1" applyBorder="1"/>
    <xf numFmtId="0" fontId="18" fillId="39" borderId="11" xfId="0" applyFont="1" applyFill="1" applyBorder="1"/>
    <xf numFmtId="0" fontId="18" fillId="39" borderId="13" xfId="0" applyFont="1" applyFill="1" applyBorder="1"/>
    <xf numFmtId="0" fontId="18" fillId="0" borderId="16" xfId="0" applyFont="1" applyBorder="1"/>
    <xf numFmtId="0" fontId="18" fillId="0" borderId="18" xfId="0" applyFont="1" applyBorder="1"/>
    <xf numFmtId="0" fontId="26" fillId="33" borderId="11" xfId="0" applyFont="1" applyFill="1" applyBorder="1"/>
    <xf numFmtId="0" fontId="26" fillId="33" borderId="13" xfId="0" applyFont="1" applyFill="1" applyBorder="1"/>
    <xf numFmtId="0" fontId="26" fillId="0" borderId="16" xfId="0" applyFont="1" applyBorder="1"/>
    <xf numFmtId="0" fontId="26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Condensed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Condensed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ahnschrift Condensed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Condensed"/>
        <family val="2"/>
        <scheme val="none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Condensed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Condensed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Bahnschrift Condensed"/>
        <family val="2"/>
        <scheme val="none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3" formatCode="#,##0"/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2" formatCode="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fill>
        <patternFill patternType="solid">
          <fgColor indexed="64"/>
          <bgColor theme="5" tint="0.79998168889431442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Bahnschrift Condensed"/>
        <family val="2"/>
        <scheme val="none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54582239720035"/>
                  <c:y val="-0.175441455234762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 &amp; Transformed IMDB Movi'!$E$4:$E$1957</c:f>
              <c:numCache>
                <c:formatCode>General</c:formatCode>
                <c:ptCount val="1954"/>
                <c:pt idx="0">
                  <c:v>7.3</c:v>
                </c:pt>
                <c:pt idx="1">
                  <c:v>6.7</c:v>
                </c:pt>
                <c:pt idx="2">
                  <c:v>7.9</c:v>
                </c:pt>
                <c:pt idx="3">
                  <c:v>7.6</c:v>
                </c:pt>
                <c:pt idx="4">
                  <c:v>8.1</c:v>
                </c:pt>
                <c:pt idx="5">
                  <c:v>6.9</c:v>
                </c:pt>
                <c:pt idx="6">
                  <c:v>8.1999999999999993</c:v>
                </c:pt>
                <c:pt idx="7">
                  <c:v>5.7</c:v>
                </c:pt>
                <c:pt idx="8">
                  <c:v>6.5</c:v>
                </c:pt>
                <c:pt idx="9">
                  <c:v>5.2</c:v>
                </c:pt>
                <c:pt idx="10">
                  <c:v>7</c:v>
                </c:pt>
                <c:pt idx="11">
                  <c:v>5.0999999999999996</c:v>
                </c:pt>
                <c:pt idx="12">
                  <c:v>7.6</c:v>
                </c:pt>
                <c:pt idx="13">
                  <c:v>5.7</c:v>
                </c:pt>
                <c:pt idx="14">
                  <c:v>4.8</c:v>
                </c:pt>
                <c:pt idx="15">
                  <c:v>6.9</c:v>
                </c:pt>
                <c:pt idx="16">
                  <c:v>7.3</c:v>
                </c:pt>
                <c:pt idx="17">
                  <c:v>7.4</c:v>
                </c:pt>
                <c:pt idx="18">
                  <c:v>6.5</c:v>
                </c:pt>
                <c:pt idx="19">
                  <c:v>7.4</c:v>
                </c:pt>
                <c:pt idx="20">
                  <c:v>7.7</c:v>
                </c:pt>
                <c:pt idx="21">
                  <c:v>7.5</c:v>
                </c:pt>
                <c:pt idx="22">
                  <c:v>7.6</c:v>
                </c:pt>
                <c:pt idx="23">
                  <c:v>7.1</c:v>
                </c:pt>
                <c:pt idx="24">
                  <c:v>7.7</c:v>
                </c:pt>
                <c:pt idx="25">
                  <c:v>7.3</c:v>
                </c:pt>
                <c:pt idx="26">
                  <c:v>7.4</c:v>
                </c:pt>
                <c:pt idx="27">
                  <c:v>6</c:v>
                </c:pt>
                <c:pt idx="28">
                  <c:v>6.6</c:v>
                </c:pt>
                <c:pt idx="29">
                  <c:v>6.3</c:v>
                </c:pt>
                <c:pt idx="30">
                  <c:v>6.6</c:v>
                </c:pt>
                <c:pt idx="31">
                  <c:v>6.5</c:v>
                </c:pt>
                <c:pt idx="32">
                  <c:v>7.9</c:v>
                </c:pt>
                <c:pt idx="33">
                  <c:v>6.8</c:v>
                </c:pt>
                <c:pt idx="34">
                  <c:v>5.4</c:v>
                </c:pt>
                <c:pt idx="35">
                  <c:v>7.4</c:v>
                </c:pt>
                <c:pt idx="36">
                  <c:v>5.0999999999999996</c:v>
                </c:pt>
                <c:pt idx="37">
                  <c:v>6</c:v>
                </c:pt>
                <c:pt idx="38">
                  <c:v>4.5999999999999996</c:v>
                </c:pt>
                <c:pt idx="39">
                  <c:v>7.9</c:v>
                </c:pt>
                <c:pt idx="40">
                  <c:v>7.2</c:v>
                </c:pt>
                <c:pt idx="41">
                  <c:v>7.6</c:v>
                </c:pt>
                <c:pt idx="42">
                  <c:v>7.2</c:v>
                </c:pt>
                <c:pt idx="43">
                  <c:v>6.9</c:v>
                </c:pt>
                <c:pt idx="44">
                  <c:v>7.7</c:v>
                </c:pt>
                <c:pt idx="45">
                  <c:v>6.8</c:v>
                </c:pt>
                <c:pt idx="46">
                  <c:v>6.7</c:v>
                </c:pt>
                <c:pt idx="47">
                  <c:v>7.5</c:v>
                </c:pt>
                <c:pt idx="48">
                  <c:v>7</c:v>
                </c:pt>
                <c:pt idx="49">
                  <c:v>7.8</c:v>
                </c:pt>
                <c:pt idx="50">
                  <c:v>6.2</c:v>
                </c:pt>
                <c:pt idx="51">
                  <c:v>6.5</c:v>
                </c:pt>
                <c:pt idx="52">
                  <c:v>7.3</c:v>
                </c:pt>
                <c:pt idx="53">
                  <c:v>6.9</c:v>
                </c:pt>
                <c:pt idx="54">
                  <c:v>7.9</c:v>
                </c:pt>
                <c:pt idx="55">
                  <c:v>7</c:v>
                </c:pt>
                <c:pt idx="56">
                  <c:v>6.9</c:v>
                </c:pt>
                <c:pt idx="57">
                  <c:v>4.5999999999999996</c:v>
                </c:pt>
                <c:pt idx="58">
                  <c:v>6.6</c:v>
                </c:pt>
                <c:pt idx="59">
                  <c:v>6.9</c:v>
                </c:pt>
                <c:pt idx="60">
                  <c:v>6.2</c:v>
                </c:pt>
                <c:pt idx="61">
                  <c:v>6.8</c:v>
                </c:pt>
                <c:pt idx="62">
                  <c:v>6.5</c:v>
                </c:pt>
                <c:pt idx="63">
                  <c:v>7.1</c:v>
                </c:pt>
                <c:pt idx="64">
                  <c:v>7.2</c:v>
                </c:pt>
                <c:pt idx="65">
                  <c:v>5.7</c:v>
                </c:pt>
                <c:pt idx="66">
                  <c:v>7.3</c:v>
                </c:pt>
                <c:pt idx="67">
                  <c:v>5.5</c:v>
                </c:pt>
                <c:pt idx="68">
                  <c:v>7.6</c:v>
                </c:pt>
                <c:pt idx="69">
                  <c:v>6.3</c:v>
                </c:pt>
                <c:pt idx="70">
                  <c:v>7</c:v>
                </c:pt>
                <c:pt idx="71">
                  <c:v>7.2</c:v>
                </c:pt>
                <c:pt idx="72">
                  <c:v>6</c:v>
                </c:pt>
                <c:pt idx="73">
                  <c:v>7</c:v>
                </c:pt>
                <c:pt idx="74">
                  <c:v>7.5</c:v>
                </c:pt>
                <c:pt idx="75">
                  <c:v>4.8</c:v>
                </c:pt>
                <c:pt idx="76">
                  <c:v>5.6</c:v>
                </c:pt>
                <c:pt idx="77">
                  <c:v>5.6</c:v>
                </c:pt>
                <c:pt idx="78">
                  <c:v>7.3</c:v>
                </c:pt>
                <c:pt idx="79">
                  <c:v>7.8</c:v>
                </c:pt>
                <c:pt idx="80">
                  <c:v>7.8</c:v>
                </c:pt>
                <c:pt idx="81">
                  <c:v>6</c:v>
                </c:pt>
                <c:pt idx="82">
                  <c:v>7.4</c:v>
                </c:pt>
                <c:pt idx="83">
                  <c:v>5.4</c:v>
                </c:pt>
                <c:pt idx="84">
                  <c:v>7</c:v>
                </c:pt>
                <c:pt idx="85">
                  <c:v>6.9</c:v>
                </c:pt>
                <c:pt idx="86">
                  <c:v>6.6</c:v>
                </c:pt>
                <c:pt idx="87">
                  <c:v>6.8</c:v>
                </c:pt>
                <c:pt idx="88">
                  <c:v>5.8</c:v>
                </c:pt>
                <c:pt idx="89">
                  <c:v>7.3</c:v>
                </c:pt>
                <c:pt idx="90">
                  <c:v>6.6</c:v>
                </c:pt>
                <c:pt idx="91">
                  <c:v>6.9</c:v>
                </c:pt>
                <c:pt idx="92">
                  <c:v>6.3</c:v>
                </c:pt>
                <c:pt idx="93">
                  <c:v>5.3</c:v>
                </c:pt>
                <c:pt idx="94">
                  <c:v>8.4</c:v>
                </c:pt>
                <c:pt idx="95">
                  <c:v>7.3</c:v>
                </c:pt>
                <c:pt idx="96">
                  <c:v>5.4</c:v>
                </c:pt>
                <c:pt idx="97">
                  <c:v>7.9</c:v>
                </c:pt>
                <c:pt idx="98">
                  <c:v>6.4</c:v>
                </c:pt>
                <c:pt idx="99">
                  <c:v>6.2</c:v>
                </c:pt>
                <c:pt idx="100">
                  <c:v>5.0999999999999996</c:v>
                </c:pt>
                <c:pt idx="101">
                  <c:v>7.1</c:v>
                </c:pt>
                <c:pt idx="102">
                  <c:v>6.4</c:v>
                </c:pt>
                <c:pt idx="103">
                  <c:v>7.4</c:v>
                </c:pt>
                <c:pt idx="104">
                  <c:v>7.6</c:v>
                </c:pt>
                <c:pt idx="105">
                  <c:v>8</c:v>
                </c:pt>
                <c:pt idx="106">
                  <c:v>6.4</c:v>
                </c:pt>
                <c:pt idx="107">
                  <c:v>7.3</c:v>
                </c:pt>
                <c:pt idx="108">
                  <c:v>6.9</c:v>
                </c:pt>
                <c:pt idx="109">
                  <c:v>7.1</c:v>
                </c:pt>
                <c:pt idx="110">
                  <c:v>6.4</c:v>
                </c:pt>
                <c:pt idx="111">
                  <c:v>6.2</c:v>
                </c:pt>
                <c:pt idx="112">
                  <c:v>7</c:v>
                </c:pt>
                <c:pt idx="113">
                  <c:v>6.6</c:v>
                </c:pt>
                <c:pt idx="114">
                  <c:v>6.7</c:v>
                </c:pt>
                <c:pt idx="115">
                  <c:v>5.2</c:v>
                </c:pt>
                <c:pt idx="116">
                  <c:v>6.3</c:v>
                </c:pt>
                <c:pt idx="117">
                  <c:v>5.7</c:v>
                </c:pt>
                <c:pt idx="118">
                  <c:v>7.1</c:v>
                </c:pt>
                <c:pt idx="119">
                  <c:v>8.1999999999999993</c:v>
                </c:pt>
                <c:pt idx="120">
                  <c:v>5.8</c:v>
                </c:pt>
                <c:pt idx="121">
                  <c:v>6.2</c:v>
                </c:pt>
                <c:pt idx="122">
                  <c:v>3.7</c:v>
                </c:pt>
                <c:pt idx="123">
                  <c:v>5.2</c:v>
                </c:pt>
                <c:pt idx="124">
                  <c:v>7.3</c:v>
                </c:pt>
                <c:pt idx="125">
                  <c:v>6.9</c:v>
                </c:pt>
                <c:pt idx="126">
                  <c:v>5.6</c:v>
                </c:pt>
                <c:pt idx="127">
                  <c:v>6</c:v>
                </c:pt>
                <c:pt idx="128">
                  <c:v>7.4</c:v>
                </c:pt>
                <c:pt idx="129">
                  <c:v>6.7</c:v>
                </c:pt>
                <c:pt idx="130">
                  <c:v>5.8</c:v>
                </c:pt>
                <c:pt idx="131">
                  <c:v>7.5</c:v>
                </c:pt>
                <c:pt idx="132">
                  <c:v>7.3</c:v>
                </c:pt>
                <c:pt idx="133">
                  <c:v>6.7</c:v>
                </c:pt>
                <c:pt idx="134">
                  <c:v>7.7</c:v>
                </c:pt>
                <c:pt idx="135">
                  <c:v>6.7</c:v>
                </c:pt>
                <c:pt idx="136">
                  <c:v>7.2</c:v>
                </c:pt>
                <c:pt idx="137">
                  <c:v>8</c:v>
                </c:pt>
                <c:pt idx="138">
                  <c:v>5.7</c:v>
                </c:pt>
                <c:pt idx="139">
                  <c:v>5.2</c:v>
                </c:pt>
                <c:pt idx="140">
                  <c:v>6.5</c:v>
                </c:pt>
                <c:pt idx="141">
                  <c:v>7.3</c:v>
                </c:pt>
                <c:pt idx="142">
                  <c:v>6.9</c:v>
                </c:pt>
                <c:pt idx="143">
                  <c:v>7.2</c:v>
                </c:pt>
                <c:pt idx="144">
                  <c:v>7.1</c:v>
                </c:pt>
                <c:pt idx="145">
                  <c:v>6.2</c:v>
                </c:pt>
                <c:pt idx="146">
                  <c:v>7.2</c:v>
                </c:pt>
                <c:pt idx="147">
                  <c:v>5.3</c:v>
                </c:pt>
                <c:pt idx="148">
                  <c:v>7.8</c:v>
                </c:pt>
                <c:pt idx="149">
                  <c:v>7.1</c:v>
                </c:pt>
                <c:pt idx="150">
                  <c:v>7</c:v>
                </c:pt>
                <c:pt idx="151">
                  <c:v>6.7</c:v>
                </c:pt>
                <c:pt idx="152">
                  <c:v>5.8</c:v>
                </c:pt>
                <c:pt idx="153">
                  <c:v>7</c:v>
                </c:pt>
                <c:pt idx="154">
                  <c:v>6.8</c:v>
                </c:pt>
                <c:pt idx="155">
                  <c:v>7.1</c:v>
                </c:pt>
                <c:pt idx="156">
                  <c:v>7.4</c:v>
                </c:pt>
                <c:pt idx="157">
                  <c:v>6.6</c:v>
                </c:pt>
                <c:pt idx="158">
                  <c:v>8.5</c:v>
                </c:pt>
                <c:pt idx="159">
                  <c:v>7</c:v>
                </c:pt>
                <c:pt idx="160">
                  <c:v>5.7</c:v>
                </c:pt>
                <c:pt idx="161">
                  <c:v>6.1</c:v>
                </c:pt>
                <c:pt idx="162">
                  <c:v>7.7</c:v>
                </c:pt>
                <c:pt idx="163">
                  <c:v>6.9</c:v>
                </c:pt>
                <c:pt idx="164">
                  <c:v>6.9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6.4</c:v>
                </c:pt>
                <c:pt idx="169">
                  <c:v>5.9</c:v>
                </c:pt>
                <c:pt idx="170">
                  <c:v>6.1</c:v>
                </c:pt>
                <c:pt idx="171">
                  <c:v>4.5</c:v>
                </c:pt>
                <c:pt idx="172">
                  <c:v>6.6</c:v>
                </c:pt>
                <c:pt idx="173">
                  <c:v>7</c:v>
                </c:pt>
                <c:pt idx="174">
                  <c:v>7.3</c:v>
                </c:pt>
                <c:pt idx="175">
                  <c:v>6.1</c:v>
                </c:pt>
                <c:pt idx="176">
                  <c:v>7.9</c:v>
                </c:pt>
                <c:pt idx="177">
                  <c:v>7.2</c:v>
                </c:pt>
                <c:pt idx="178">
                  <c:v>7.6</c:v>
                </c:pt>
                <c:pt idx="179">
                  <c:v>5.8</c:v>
                </c:pt>
                <c:pt idx="180">
                  <c:v>6.9</c:v>
                </c:pt>
                <c:pt idx="181">
                  <c:v>6.2</c:v>
                </c:pt>
                <c:pt idx="182">
                  <c:v>6.7</c:v>
                </c:pt>
                <c:pt idx="183">
                  <c:v>5.6</c:v>
                </c:pt>
                <c:pt idx="184">
                  <c:v>8</c:v>
                </c:pt>
                <c:pt idx="185">
                  <c:v>7.1</c:v>
                </c:pt>
                <c:pt idx="186">
                  <c:v>6.1</c:v>
                </c:pt>
                <c:pt idx="187">
                  <c:v>6.1</c:v>
                </c:pt>
                <c:pt idx="188">
                  <c:v>6.2</c:v>
                </c:pt>
                <c:pt idx="189">
                  <c:v>6.6</c:v>
                </c:pt>
                <c:pt idx="190">
                  <c:v>6.3</c:v>
                </c:pt>
                <c:pt idx="191">
                  <c:v>7.4</c:v>
                </c:pt>
                <c:pt idx="192">
                  <c:v>7.5</c:v>
                </c:pt>
                <c:pt idx="193">
                  <c:v>6.5</c:v>
                </c:pt>
                <c:pt idx="194">
                  <c:v>7.7</c:v>
                </c:pt>
                <c:pt idx="195">
                  <c:v>6.5</c:v>
                </c:pt>
                <c:pt idx="196">
                  <c:v>7</c:v>
                </c:pt>
                <c:pt idx="197">
                  <c:v>5.6</c:v>
                </c:pt>
                <c:pt idx="198">
                  <c:v>7.9</c:v>
                </c:pt>
                <c:pt idx="199">
                  <c:v>7.1</c:v>
                </c:pt>
                <c:pt idx="200">
                  <c:v>7.1</c:v>
                </c:pt>
                <c:pt idx="201">
                  <c:v>5.4</c:v>
                </c:pt>
                <c:pt idx="202">
                  <c:v>6.8</c:v>
                </c:pt>
                <c:pt idx="203">
                  <c:v>6.3</c:v>
                </c:pt>
                <c:pt idx="204">
                  <c:v>6.4</c:v>
                </c:pt>
                <c:pt idx="205">
                  <c:v>7</c:v>
                </c:pt>
                <c:pt idx="206">
                  <c:v>7.8</c:v>
                </c:pt>
                <c:pt idx="207">
                  <c:v>7.5</c:v>
                </c:pt>
                <c:pt idx="208">
                  <c:v>8.4</c:v>
                </c:pt>
                <c:pt idx="209">
                  <c:v>5.6</c:v>
                </c:pt>
                <c:pt idx="210">
                  <c:v>7.7</c:v>
                </c:pt>
                <c:pt idx="211">
                  <c:v>6.7</c:v>
                </c:pt>
                <c:pt idx="212">
                  <c:v>6</c:v>
                </c:pt>
                <c:pt idx="213">
                  <c:v>6.8</c:v>
                </c:pt>
                <c:pt idx="214">
                  <c:v>7.4</c:v>
                </c:pt>
                <c:pt idx="215">
                  <c:v>7.2</c:v>
                </c:pt>
                <c:pt idx="216">
                  <c:v>5.9</c:v>
                </c:pt>
                <c:pt idx="217">
                  <c:v>6</c:v>
                </c:pt>
                <c:pt idx="218">
                  <c:v>5.0999999999999996</c:v>
                </c:pt>
                <c:pt idx="219">
                  <c:v>5.4</c:v>
                </c:pt>
                <c:pt idx="220">
                  <c:v>5.7</c:v>
                </c:pt>
                <c:pt idx="221">
                  <c:v>6.5</c:v>
                </c:pt>
                <c:pt idx="222">
                  <c:v>5.2</c:v>
                </c:pt>
                <c:pt idx="223">
                  <c:v>7.9</c:v>
                </c:pt>
                <c:pt idx="224">
                  <c:v>4.7</c:v>
                </c:pt>
                <c:pt idx="225">
                  <c:v>6.6</c:v>
                </c:pt>
                <c:pt idx="226">
                  <c:v>5.3</c:v>
                </c:pt>
                <c:pt idx="227">
                  <c:v>5.0999999999999996</c:v>
                </c:pt>
                <c:pt idx="228">
                  <c:v>6.1</c:v>
                </c:pt>
                <c:pt idx="229">
                  <c:v>5.2</c:v>
                </c:pt>
                <c:pt idx="230">
                  <c:v>5.2</c:v>
                </c:pt>
                <c:pt idx="231">
                  <c:v>7.6</c:v>
                </c:pt>
                <c:pt idx="232">
                  <c:v>5.9</c:v>
                </c:pt>
                <c:pt idx="233">
                  <c:v>3.3</c:v>
                </c:pt>
                <c:pt idx="234">
                  <c:v>6.1</c:v>
                </c:pt>
                <c:pt idx="235">
                  <c:v>4.0999999999999996</c:v>
                </c:pt>
                <c:pt idx="236">
                  <c:v>6.1</c:v>
                </c:pt>
                <c:pt idx="237">
                  <c:v>6.7</c:v>
                </c:pt>
                <c:pt idx="238">
                  <c:v>7.2</c:v>
                </c:pt>
                <c:pt idx="239">
                  <c:v>7.6</c:v>
                </c:pt>
                <c:pt idx="240">
                  <c:v>4.5</c:v>
                </c:pt>
                <c:pt idx="241">
                  <c:v>6</c:v>
                </c:pt>
                <c:pt idx="242">
                  <c:v>6.3</c:v>
                </c:pt>
                <c:pt idx="243">
                  <c:v>7.9</c:v>
                </c:pt>
                <c:pt idx="244">
                  <c:v>5.8</c:v>
                </c:pt>
                <c:pt idx="245">
                  <c:v>5.2</c:v>
                </c:pt>
                <c:pt idx="246">
                  <c:v>4.7</c:v>
                </c:pt>
                <c:pt idx="247">
                  <c:v>6.4</c:v>
                </c:pt>
                <c:pt idx="248">
                  <c:v>3.6</c:v>
                </c:pt>
                <c:pt idx="249">
                  <c:v>6.3</c:v>
                </c:pt>
                <c:pt idx="250">
                  <c:v>5.8</c:v>
                </c:pt>
                <c:pt idx="251">
                  <c:v>7.5</c:v>
                </c:pt>
                <c:pt idx="252">
                  <c:v>7.1</c:v>
                </c:pt>
                <c:pt idx="253">
                  <c:v>6.3</c:v>
                </c:pt>
                <c:pt idx="254">
                  <c:v>5.9</c:v>
                </c:pt>
                <c:pt idx="255">
                  <c:v>7.9</c:v>
                </c:pt>
                <c:pt idx="256">
                  <c:v>7.2</c:v>
                </c:pt>
                <c:pt idx="257">
                  <c:v>6.1</c:v>
                </c:pt>
                <c:pt idx="258">
                  <c:v>6.3</c:v>
                </c:pt>
                <c:pt idx="259">
                  <c:v>7.1</c:v>
                </c:pt>
                <c:pt idx="260">
                  <c:v>7.1</c:v>
                </c:pt>
                <c:pt idx="261">
                  <c:v>6.9</c:v>
                </c:pt>
                <c:pt idx="262">
                  <c:v>5.3</c:v>
                </c:pt>
                <c:pt idx="263">
                  <c:v>7.1</c:v>
                </c:pt>
                <c:pt idx="264">
                  <c:v>7.8</c:v>
                </c:pt>
                <c:pt idx="265">
                  <c:v>6.8</c:v>
                </c:pt>
                <c:pt idx="266">
                  <c:v>7.3</c:v>
                </c:pt>
                <c:pt idx="267">
                  <c:v>7.3</c:v>
                </c:pt>
                <c:pt idx="268">
                  <c:v>7.5</c:v>
                </c:pt>
                <c:pt idx="269">
                  <c:v>7.4</c:v>
                </c:pt>
                <c:pt idx="270">
                  <c:v>7.8</c:v>
                </c:pt>
                <c:pt idx="271">
                  <c:v>6.2</c:v>
                </c:pt>
                <c:pt idx="272">
                  <c:v>6.6</c:v>
                </c:pt>
                <c:pt idx="273">
                  <c:v>6.8</c:v>
                </c:pt>
                <c:pt idx="274">
                  <c:v>4.5</c:v>
                </c:pt>
                <c:pt idx="275">
                  <c:v>7.7</c:v>
                </c:pt>
                <c:pt idx="276">
                  <c:v>6.4</c:v>
                </c:pt>
                <c:pt idx="277">
                  <c:v>6.3</c:v>
                </c:pt>
                <c:pt idx="278">
                  <c:v>4.5999999999999996</c:v>
                </c:pt>
                <c:pt idx="279">
                  <c:v>4.7</c:v>
                </c:pt>
                <c:pt idx="280">
                  <c:v>7</c:v>
                </c:pt>
                <c:pt idx="281">
                  <c:v>7.1</c:v>
                </c:pt>
                <c:pt idx="282">
                  <c:v>5.7</c:v>
                </c:pt>
                <c:pt idx="283">
                  <c:v>7.9</c:v>
                </c:pt>
                <c:pt idx="284">
                  <c:v>6.5</c:v>
                </c:pt>
                <c:pt idx="285">
                  <c:v>6.2</c:v>
                </c:pt>
                <c:pt idx="286">
                  <c:v>6.9</c:v>
                </c:pt>
                <c:pt idx="287">
                  <c:v>7.2</c:v>
                </c:pt>
                <c:pt idx="288">
                  <c:v>7</c:v>
                </c:pt>
                <c:pt idx="289">
                  <c:v>6</c:v>
                </c:pt>
                <c:pt idx="290">
                  <c:v>7.4</c:v>
                </c:pt>
                <c:pt idx="291">
                  <c:v>6.4</c:v>
                </c:pt>
                <c:pt idx="292">
                  <c:v>7</c:v>
                </c:pt>
                <c:pt idx="293">
                  <c:v>6.7</c:v>
                </c:pt>
                <c:pt idx="294">
                  <c:v>6.7</c:v>
                </c:pt>
                <c:pt idx="295">
                  <c:v>4.8</c:v>
                </c:pt>
                <c:pt idx="296">
                  <c:v>5.9</c:v>
                </c:pt>
                <c:pt idx="297">
                  <c:v>6.1</c:v>
                </c:pt>
                <c:pt idx="298">
                  <c:v>7.9</c:v>
                </c:pt>
                <c:pt idx="299">
                  <c:v>7.1</c:v>
                </c:pt>
                <c:pt idx="300">
                  <c:v>7</c:v>
                </c:pt>
                <c:pt idx="301">
                  <c:v>6.1</c:v>
                </c:pt>
                <c:pt idx="302">
                  <c:v>5.3</c:v>
                </c:pt>
                <c:pt idx="303">
                  <c:v>7</c:v>
                </c:pt>
                <c:pt idx="304">
                  <c:v>6.6</c:v>
                </c:pt>
                <c:pt idx="305">
                  <c:v>6.2</c:v>
                </c:pt>
                <c:pt idx="306">
                  <c:v>6.5</c:v>
                </c:pt>
                <c:pt idx="307">
                  <c:v>5.5</c:v>
                </c:pt>
                <c:pt idx="308">
                  <c:v>7.7</c:v>
                </c:pt>
                <c:pt idx="309">
                  <c:v>5.5</c:v>
                </c:pt>
                <c:pt idx="310">
                  <c:v>5.7</c:v>
                </c:pt>
                <c:pt idx="311">
                  <c:v>5.7</c:v>
                </c:pt>
                <c:pt idx="312">
                  <c:v>5.7</c:v>
                </c:pt>
                <c:pt idx="313">
                  <c:v>6.2</c:v>
                </c:pt>
                <c:pt idx="314">
                  <c:v>6.3</c:v>
                </c:pt>
                <c:pt idx="315">
                  <c:v>6.8</c:v>
                </c:pt>
                <c:pt idx="316">
                  <c:v>7.1</c:v>
                </c:pt>
                <c:pt idx="317">
                  <c:v>5.5</c:v>
                </c:pt>
                <c:pt idx="318">
                  <c:v>6.1</c:v>
                </c:pt>
                <c:pt idx="319">
                  <c:v>7.1</c:v>
                </c:pt>
                <c:pt idx="320">
                  <c:v>5.0999999999999996</c:v>
                </c:pt>
                <c:pt idx="321">
                  <c:v>6.3</c:v>
                </c:pt>
                <c:pt idx="322">
                  <c:v>5.2</c:v>
                </c:pt>
                <c:pt idx="323">
                  <c:v>7.2</c:v>
                </c:pt>
                <c:pt idx="324">
                  <c:v>4.8</c:v>
                </c:pt>
                <c:pt idx="325">
                  <c:v>8.1999999999999993</c:v>
                </c:pt>
                <c:pt idx="326">
                  <c:v>7.9</c:v>
                </c:pt>
                <c:pt idx="327">
                  <c:v>7.1</c:v>
                </c:pt>
                <c:pt idx="328">
                  <c:v>4.5999999999999996</c:v>
                </c:pt>
                <c:pt idx="329">
                  <c:v>6.4</c:v>
                </c:pt>
                <c:pt idx="330">
                  <c:v>7</c:v>
                </c:pt>
                <c:pt idx="331">
                  <c:v>6.2</c:v>
                </c:pt>
                <c:pt idx="332">
                  <c:v>5.2</c:v>
                </c:pt>
                <c:pt idx="333">
                  <c:v>6.4</c:v>
                </c:pt>
                <c:pt idx="334">
                  <c:v>7.3</c:v>
                </c:pt>
                <c:pt idx="335">
                  <c:v>7.4</c:v>
                </c:pt>
                <c:pt idx="336">
                  <c:v>5.8</c:v>
                </c:pt>
                <c:pt idx="337">
                  <c:v>5.7</c:v>
                </c:pt>
                <c:pt idx="338">
                  <c:v>4.8</c:v>
                </c:pt>
                <c:pt idx="339">
                  <c:v>6.5</c:v>
                </c:pt>
                <c:pt idx="340">
                  <c:v>6.5</c:v>
                </c:pt>
                <c:pt idx="341">
                  <c:v>6.3</c:v>
                </c:pt>
                <c:pt idx="342">
                  <c:v>6.8</c:v>
                </c:pt>
                <c:pt idx="343">
                  <c:v>6.4</c:v>
                </c:pt>
                <c:pt idx="344">
                  <c:v>4.8</c:v>
                </c:pt>
                <c:pt idx="345">
                  <c:v>6.5</c:v>
                </c:pt>
                <c:pt idx="346">
                  <c:v>6.6</c:v>
                </c:pt>
                <c:pt idx="347">
                  <c:v>7.4</c:v>
                </c:pt>
                <c:pt idx="348">
                  <c:v>6.4</c:v>
                </c:pt>
                <c:pt idx="349">
                  <c:v>6.2</c:v>
                </c:pt>
                <c:pt idx="350">
                  <c:v>5.7</c:v>
                </c:pt>
                <c:pt idx="351">
                  <c:v>6.2</c:v>
                </c:pt>
                <c:pt idx="352">
                  <c:v>7.5</c:v>
                </c:pt>
                <c:pt idx="353">
                  <c:v>5.6</c:v>
                </c:pt>
                <c:pt idx="354">
                  <c:v>7.6</c:v>
                </c:pt>
                <c:pt idx="355">
                  <c:v>7.5</c:v>
                </c:pt>
                <c:pt idx="356">
                  <c:v>5.6</c:v>
                </c:pt>
                <c:pt idx="357">
                  <c:v>6.3</c:v>
                </c:pt>
                <c:pt idx="358">
                  <c:v>5.9</c:v>
                </c:pt>
                <c:pt idx="359">
                  <c:v>5.7</c:v>
                </c:pt>
                <c:pt idx="360">
                  <c:v>6.9</c:v>
                </c:pt>
                <c:pt idx="361">
                  <c:v>6</c:v>
                </c:pt>
                <c:pt idx="362">
                  <c:v>5.9</c:v>
                </c:pt>
                <c:pt idx="363">
                  <c:v>7.4</c:v>
                </c:pt>
                <c:pt idx="364">
                  <c:v>8.3000000000000007</c:v>
                </c:pt>
                <c:pt idx="365">
                  <c:v>7.2</c:v>
                </c:pt>
                <c:pt idx="366">
                  <c:v>7.3</c:v>
                </c:pt>
                <c:pt idx="367">
                  <c:v>6</c:v>
                </c:pt>
                <c:pt idx="368">
                  <c:v>6.4</c:v>
                </c:pt>
                <c:pt idx="369">
                  <c:v>7.5</c:v>
                </c:pt>
                <c:pt idx="370">
                  <c:v>5.8</c:v>
                </c:pt>
                <c:pt idx="371">
                  <c:v>7.1</c:v>
                </c:pt>
                <c:pt idx="372">
                  <c:v>7.1</c:v>
                </c:pt>
                <c:pt idx="373">
                  <c:v>7.5</c:v>
                </c:pt>
                <c:pt idx="374">
                  <c:v>7.1</c:v>
                </c:pt>
                <c:pt idx="375">
                  <c:v>5.8</c:v>
                </c:pt>
                <c:pt idx="376">
                  <c:v>6.4</c:v>
                </c:pt>
                <c:pt idx="377">
                  <c:v>7.3</c:v>
                </c:pt>
                <c:pt idx="378">
                  <c:v>6.6</c:v>
                </c:pt>
                <c:pt idx="379">
                  <c:v>7.6</c:v>
                </c:pt>
                <c:pt idx="380">
                  <c:v>7.1</c:v>
                </c:pt>
                <c:pt idx="381">
                  <c:v>6.6</c:v>
                </c:pt>
                <c:pt idx="382">
                  <c:v>7.8</c:v>
                </c:pt>
                <c:pt idx="383">
                  <c:v>6.9</c:v>
                </c:pt>
                <c:pt idx="384">
                  <c:v>7.6</c:v>
                </c:pt>
                <c:pt idx="385">
                  <c:v>6</c:v>
                </c:pt>
                <c:pt idx="386">
                  <c:v>7.8</c:v>
                </c:pt>
                <c:pt idx="387">
                  <c:v>6.1</c:v>
                </c:pt>
                <c:pt idx="388">
                  <c:v>6.2</c:v>
                </c:pt>
                <c:pt idx="389">
                  <c:v>6.5</c:v>
                </c:pt>
                <c:pt idx="390">
                  <c:v>6.3</c:v>
                </c:pt>
                <c:pt idx="391">
                  <c:v>7.4</c:v>
                </c:pt>
                <c:pt idx="392">
                  <c:v>7.6</c:v>
                </c:pt>
                <c:pt idx="393">
                  <c:v>7</c:v>
                </c:pt>
                <c:pt idx="394">
                  <c:v>6.4</c:v>
                </c:pt>
                <c:pt idx="395">
                  <c:v>7.6</c:v>
                </c:pt>
                <c:pt idx="396">
                  <c:v>5.2</c:v>
                </c:pt>
                <c:pt idx="397">
                  <c:v>6.7</c:v>
                </c:pt>
                <c:pt idx="398">
                  <c:v>5.7</c:v>
                </c:pt>
                <c:pt idx="399">
                  <c:v>6.6</c:v>
                </c:pt>
                <c:pt idx="400">
                  <c:v>6.7</c:v>
                </c:pt>
                <c:pt idx="401">
                  <c:v>6.2</c:v>
                </c:pt>
                <c:pt idx="402">
                  <c:v>7.1</c:v>
                </c:pt>
                <c:pt idx="403">
                  <c:v>5.0999999999999996</c:v>
                </c:pt>
                <c:pt idx="404">
                  <c:v>6.3</c:v>
                </c:pt>
                <c:pt idx="405">
                  <c:v>6.1</c:v>
                </c:pt>
                <c:pt idx="406">
                  <c:v>5.6</c:v>
                </c:pt>
                <c:pt idx="407">
                  <c:v>7</c:v>
                </c:pt>
                <c:pt idx="408">
                  <c:v>5.8</c:v>
                </c:pt>
                <c:pt idx="409">
                  <c:v>7.1</c:v>
                </c:pt>
                <c:pt idx="410">
                  <c:v>6.1</c:v>
                </c:pt>
                <c:pt idx="411">
                  <c:v>6.6</c:v>
                </c:pt>
                <c:pt idx="412">
                  <c:v>6.2</c:v>
                </c:pt>
                <c:pt idx="413">
                  <c:v>5.8</c:v>
                </c:pt>
                <c:pt idx="414">
                  <c:v>6.2</c:v>
                </c:pt>
                <c:pt idx="415">
                  <c:v>6.6</c:v>
                </c:pt>
                <c:pt idx="416">
                  <c:v>5.7</c:v>
                </c:pt>
                <c:pt idx="417">
                  <c:v>6.4</c:v>
                </c:pt>
                <c:pt idx="418">
                  <c:v>5.7</c:v>
                </c:pt>
                <c:pt idx="419">
                  <c:v>5.9</c:v>
                </c:pt>
                <c:pt idx="420">
                  <c:v>5.3</c:v>
                </c:pt>
                <c:pt idx="421">
                  <c:v>7.2</c:v>
                </c:pt>
                <c:pt idx="422">
                  <c:v>6.5</c:v>
                </c:pt>
                <c:pt idx="423">
                  <c:v>5.3</c:v>
                </c:pt>
                <c:pt idx="424">
                  <c:v>5.7</c:v>
                </c:pt>
                <c:pt idx="425">
                  <c:v>7.2</c:v>
                </c:pt>
                <c:pt idx="426">
                  <c:v>6.6</c:v>
                </c:pt>
                <c:pt idx="427">
                  <c:v>5.7</c:v>
                </c:pt>
                <c:pt idx="428">
                  <c:v>6.2</c:v>
                </c:pt>
                <c:pt idx="429">
                  <c:v>7.2</c:v>
                </c:pt>
                <c:pt idx="430">
                  <c:v>5.6</c:v>
                </c:pt>
                <c:pt idx="431">
                  <c:v>6.4</c:v>
                </c:pt>
                <c:pt idx="432">
                  <c:v>6.1</c:v>
                </c:pt>
                <c:pt idx="433">
                  <c:v>6</c:v>
                </c:pt>
                <c:pt idx="434">
                  <c:v>5.6</c:v>
                </c:pt>
                <c:pt idx="435">
                  <c:v>6.9</c:v>
                </c:pt>
                <c:pt idx="436">
                  <c:v>6.6</c:v>
                </c:pt>
                <c:pt idx="437">
                  <c:v>7</c:v>
                </c:pt>
                <c:pt idx="438">
                  <c:v>4.8</c:v>
                </c:pt>
                <c:pt idx="439">
                  <c:v>7.2</c:v>
                </c:pt>
                <c:pt idx="440">
                  <c:v>6.4</c:v>
                </c:pt>
                <c:pt idx="441">
                  <c:v>6.8</c:v>
                </c:pt>
                <c:pt idx="442">
                  <c:v>5.8</c:v>
                </c:pt>
                <c:pt idx="443">
                  <c:v>6.4</c:v>
                </c:pt>
                <c:pt idx="444">
                  <c:v>5.2</c:v>
                </c:pt>
                <c:pt idx="445">
                  <c:v>6.9</c:v>
                </c:pt>
                <c:pt idx="446">
                  <c:v>6</c:v>
                </c:pt>
                <c:pt idx="447">
                  <c:v>6.4</c:v>
                </c:pt>
                <c:pt idx="448">
                  <c:v>7.7</c:v>
                </c:pt>
                <c:pt idx="449">
                  <c:v>5.6</c:v>
                </c:pt>
                <c:pt idx="450">
                  <c:v>6.4</c:v>
                </c:pt>
                <c:pt idx="451">
                  <c:v>5.6</c:v>
                </c:pt>
                <c:pt idx="452">
                  <c:v>5.6</c:v>
                </c:pt>
                <c:pt idx="453">
                  <c:v>7.7</c:v>
                </c:pt>
                <c:pt idx="454">
                  <c:v>6.4</c:v>
                </c:pt>
                <c:pt idx="455">
                  <c:v>8.1</c:v>
                </c:pt>
                <c:pt idx="456">
                  <c:v>4.4000000000000004</c:v>
                </c:pt>
                <c:pt idx="457">
                  <c:v>6.3</c:v>
                </c:pt>
                <c:pt idx="458">
                  <c:v>7.4</c:v>
                </c:pt>
                <c:pt idx="459">
                  <c:v>5.6</c:v>
                </c:pt>
                <c:pt idx="460">
                  <c:v>6.2</c:v>
                </c:pt>
                <c:pt idx="461">
                  <c:v>6.8</c:v>
                </c:pt>
                <c:pt idx="462">
                  <c:v>6.6</c:v>
                </c:pt>
                <c:pt idx="463">
                  <c:v>5.7</c:v>
                </c:pt>
                <c:pt idx="464">
                  <c:v>3.5</c:v>
                </c:pt>
                <c:pt idx="465">
                  <c:v>7</c:v>
                </c:pt>
                <c:pt idx="466">
                  <c:v>5.5</c:v>
                </c:pt>
                <c:pt idx="467">
                  <c:v>6.4</c:v>
                </c:pt>
                <c:pt idx="468">
                  <c:v>6.7</c:v>
                </c:pt>
                <c:pt idx="469">
                  <c:v>6.5</c:v>
                </c:pt>
                <c:pt idx="470">
                  <c:v>5.7</c:v>
                </c:pt>
                <c:pt idx="471">
                  <c:v>7.5</c:v>
                </c:pt>
                <c:pt idx="472">
                  <c:v>7.8</c:v>
                </c:pt>
                <c:pt idx="473">
                  <c:v>7.4</c:v>
                </c:pt>
                <c:pt idx="474">
                  <c:v>7.7</c:v>
                </c:pt>
                <c:pt idx="475">
                  <c:v>6.7</c:v>
                </c:pt>
                <c:pt idx="476">
                  <c:v>6.3</c:v>
                </c:pt>
                <c:pt idx="477">
                  <c:v>5.9</c:v>
                </c:pt>
                <c:pt idx="478">
                  <c:v>5.7</c:v>
                </c:pt>
                <c:pt idx="479">
                  <c:v>6.4</c:v>
                </c:pt>
                <c:pt idx="480">
                  <c:v>5.6</c:v>
                </c:pt>
                <c:pt idx="481">
                  <c:v>5.7</c:v>
                </c:pt>
                <c:pt idx="482">
                  <c:v>5.8</c:v>
                </c:pt>
                <c:pt idx="483">
                  <c:v>5.6</c:v>
                </c:pt>
                <c:pt idx="484">
                  <c:v>6.4</c:v>
                </c:pt>
                <c:pt idx="485">
                  <c:v>6.7</c:v>
                </c:pt>
                <c:pt idx="486">
                  <c:v>6.3</c:v>
                </c:pt>
                <c:pt idx="487">
                  <c:v>5</c:v>
                </c:pt>
                <c:pt idx="488">
                  <c:v>7.8</c:v>
                </c:pt>
                <c:pt idx="489">
                  <c:v>7.2</c:v>
                </c:pt>
                <c:pt idx="490">
                  <c:v>6.9</c:v>
                </c:pt>
                <c:pt idx="491">
                  <c:v>7.7</c:v>
                </c:pt>
                <c:pt idx="492">
                  <c:v>6.9</c:v>
                </c:pt>
                <c:pt idx="493">
                  <c:v>7.1</c:v>
                </c:pt>
                <c:pt idx="494">
                  <c:v>6.4</c:v>
                </c:pt>
                <c:pt idx="495">
                  <c:v>7.5</c:v>
                </c:pt>
                <c:pt idx="496">
                  <c:v>5.6</c:v>
                </c:pt>
                <c:pt idx="497">
                  <c:v>8.1</c:v>
                </c:pt>
                <c:pt idx="498">
                  <c:v>8.1999999999999993</c:v>
                </c:pt>
                <c:pt idx="499">
                  <c:v>7.2</c:v>
                </c:pt>
                <c:pt idx="500">
                  <c:v>7.9</c:v>
                </c:pt>
                <c:pt idx="501">
                  <c:v>6.6</c:v>
                </c:pt>
                <c:pt idx="502">
                  <c:v>6.7</c:v>
                </c:pt>
                <c:pt idx="503">
                  <c:v>5.9</c:v>
                </c:pt>
                <c:pt idx="504">
                  <c:v>5.7</c:v>
                </c:pt>
                <c:pt idx="505">
                  <c:v>7.4</c:v>
                </c:pt>
                <c:pt idx="506">
                  <c:v>8</c:v>
                </c:pt>
                <c:pt idx="507">
                  <c:v>5.6</c:v>
                </c:pt>
                <c:pt idx="508">
                  <c:v>7.5</c:v>
                </c:pt>
                <c:pt idx="509">
                  <c:v>7.9</c:v>
                </c:pt>
                <c:pt idx="510">
                  <c:v>8</c:v>
                </c:pt>
                <c:pt idx="511">
                  <c:v>5.8</c:v>
                </c:pt>
                <c:pt idx="512">
                  <c:v>6.5</c:v>
                </c:pt>
                <c:pt idx="513">
                  <c:v>5.3</c:v>
                </c:pt>
                <c:pt idx="514">
                  <c:v>7.8</c:v>
                </c:pt>
                <c:pt idx="515">
                  <c:v>5.4</c:v>
                </c:pt>
                <c:pt idx="516">
                  <c:v>5.7</c:v>
                </c:pt>
                <c:pt idx="517">
                  <c:v>5.4</c:v>
                </c:pt>
                <c:pt idx="518">
                  <c:v>8.1</c:v>
                </c:pt>
                <c:pt idx="519">
                  <c:v>6.4</c:v>
                </c:pt>
                <c:pt idx="520">
                  <c:v>6.5</c:v>
                </c:pt>
                <c:pt idx="521">
                  <c:v>6.3</c:v>
                </c:pt>
                <c:pt idx="522">
                  <c:v>4.9000000000000004</c:v>
                </c:pt>
                <c:pt idx="523">
                  <c:v>6.4</c:v>
                </c:pt>
                <c:pt idx="524">
                  <c:v>6.6</c:v>
                </c:pt>
                <c:pt idx="525">
                  <c:v>6.5</c:v>
                </c:pt>
                <c:pt idx="526">
                  <c:v>6.7</c:v>
                </c:pt>
                <c:pt idx="527">
                  <c:v>7.3</c:v>
                </c:pt>
                <c:pt idx="528">
                  <c:v>7</c:v>
                </c:pt>
                <c:pt idx="529">
                  <c:v>7.4</c:v>
                </c:pt>
                <c:pt idx="530">
                  <c:v>7</c:v>
                </c:pt>
                <c:pt idx="531">
                  <c:v>6.1</c:v>
                </c:pt>
                <c:pt idx="532">
                  <c:v>6.5</c:v>
                </c:pt>
                <c:pt idx="533">
                  <c:v>7.1</c:v>
                </c:pt>
                <c:pt idx="534">
                  <c:v>5.0999999999999996</c:v>
                </c:pt>
                <c:pt idx="535">
                  <c:v>6.3</c:v>
                </c:pt>
                <c:pt idx="536">
                  <c:v>6.5</c:v>
                </c:pt>
                <c:pt idx="537">
                  <c:v>5.8</c:v>
                </c:pt>
                <c:pt idx="538">
                  <c:v>6.4</c:v>
                </c:pt>
                <c:pt idx="539">
                  <c:v>7.2</c:v>
                </c:pt>
                <c:pt idx="540">
                  <c:v>6.5</c:v>
                </c:pt>
                <c:pt idx="541">
                  <c:v>6.6</c:v>
                </c:pt>
                <c:pt idx="542">
                  <c:v>5.9</c:v>
                </c:pt>
                <c:pt idx="543">
                  <c:v>6.9</c:v>
                </c:pt>
                <c:pt idx="544">
                  <c:v>7.1</c:v>
                </c:pt>
                <c:pt idx="545">
                  <c:v>6.1</c:v>
                </c:pt>
                <c:pt idx="546">
                  <c:v>7</c:v>
                </c:pt>
                <c:pt idx="547">
                  <c:v>5.9</c:v>
                </c:pt>
                <c:pt idx="548">
                  <c:v>6.2</c:v>
                </c:pt>
                <c:pt idx="549">
                  <c:v>7.2</c:v>
                </c:pt>
                <c:pt idx="550">
                  <c:v>6.3</c:v>
                </c:pt>
                <c:pt idx="551">
                  <c:v>7.2</c:v>
                </c:pt>
                <c:pt idx="552">
                  <c:v>5.4</c:v>
                </c:pt>
                <c:pt idx="553">
                  <c:v>6.2</c:v>
                </c:pt>
                <c:pt idx="554">
                  <c:v>6.1</c:v>
                </c:pt>
                <c:pt idx="555">
                  <c:v>7.2</c:v>
                </c:pt>
                <c:pt idx="556">
                  <c:v>5.6</c:v>
                </c:pt>
                <c:pt idx="557">
                  <c:v>7.3</c:v>
                </c:pt>
                <c:pt idx="558">
                  <c:v>6.8</c:v>
                </c:pt>
                <c:pt idx="559">
                  <c:v>6.4</c:v>
                </c:pt>
                <c:pt idx="560">
                  <c:v>6.6</c:v>
                </c:pt>
                <c:pt idx="561">
                  <c:v>6.4</c:v>
                </c:pt>
                <c:pt idx="562">
                  <c:v>6.1</c:v>
                </c:pt>
                <c:pt idx="563">
                  <c:v>6.5</c:v>
                </c:pt>
                <c:pt idx="564">
                  <c:v>7.5</c:v>
                </c:pt>
                <c:pt idx="565">
                  <c:v>7.1</c:v>
                </c:pt>
                <c:pt idx="566">
                  <c:v>5.9</c:v>
                </c:pt>
                <c:pt idx="567">
                  <c:v>6.2</c:v>
                </c:pt>
                <c:pt idx="568">
                  <c:v>7.5</c:v>
                </c:pt>
                <c:pt idx="569">
                  <c:v>8</c:v>
                </c:pt>
                <c:pt idx="570">
                  <c:v>4.9000000000000004</c:v>
                </c:pt>
                <c:pt idx="571">
                  <c:v>6</c:v>
                </c:pt>
                <c:pt idx="572">
                  <c:v>6.4</c:v>
                </c:pt>
                <c:pt idx="573">
                  <c:v>6.7</c:v>
                </c:pt>
                <c:pt idx="574">
                  <c:v>4.8</c:v>
                </c:pt>
                <c:pt idx="575">
                  <c:v>7.5</c:v>
                </c:pt>
                <c:pt idx="576">
                  <c:v>7.1</c:v>
                </c:pt>
                <c:pt idx="577">
                  <c:v>6.4</c:v>
                </c:pt>
                <c:pt idx="578">
                  <c:v>6.1</c:v>
                </c:pt>
                <c:pt idx="579">
                  <c:v>6.1</c:v>
                </c:pt>
                <c:pt idx="580">
                  <c:v>5.4</c:v>
                </c:pt>
                <c:pt idx="581">
                  <c:v>6.1</c:v>
                </c:pt>
                <c:pt idx="582">
                  <c:v>6.9</c:v>
                </c:pt>
                <c:pt idx="583">
                  <c:v>6.1</c:v>
                </c:pt>
                <c:pt idx="584">
                  <c:v>6.8</c:v>
                </c:pt>
                <c:pt idx="585">
                  <c:v>6.2</c:v>
                </c:pt>
                <c:pt idx="586">
                  <c:v>6.8</c:v>
                </c:pt>
                <c:pt idx="587">
                  <c:v>7.3</c:v>
                </c:pt>
                <c:pt idx="588">
                  <c:v>6</c:v>
                </c:pt>
                <c:pt idx="589">
                  <c:v>5.4</c:v>
                </c:pt>
                <c:pt idx="590">
                  <c:v>4.5999999999999996</c:v>
                </c:pt>
                <c:pt idx="591">
                  <c:v>7.5</c:v>
                </c:pt>
                <c:pt idx="592">
                  <c:v>6.2</c:v>
                </c:pt>
                <c:pt idx="593">
                  <c:v>5.9</c:v>
                </c:pt>
                <c:pt idx="594">
                  <c:v>7.8</c:v>
                </c:pt>
                <c:pt idx="595">
                  <c:v>6.5</c:v>
                </c:pt>
                <c:pt idx="596">
                  <c:v>6.3</c:v>
                </c:pt>
                <c:pt idx="597">
                  <c:v>6.5</c:v>
                </c:pt>
                <c:pt idx="598">
                  <c:v>6.3</c:v>
                </c:pt>
                <c:pt idx="599">
                  <c:v>6.3</c:v>
                </c:pt>
                <c:pt idx="600">
                  <c:v>7.1</c:v>
                </c:pt>
                <c:pt idx="601">
                  <c:v>7.3</c:v>
                </c:pt>
                <c:pt idx="602">
                  <c:v>5.9</c:v>
                </c:pt>
                <c:pt idx="603">
                  <c:v>6.1</c:v>
                </c:pt>
                <c:pt idx="604">
                  <c:v>7.2</c:v>
                </c:pt>
                <c:pt idx="605">
                  <c:v>6.2</c:v>
                </c:pt>
                <c:pt idx="606">
                  <c:v>7.3</c:v>
                </c:pt>
                <c:pt idx="607">
                  <c:v>7.6</c:v>
                </c:pt>
                <c:pt idx="608">
                  <c:v>6.1</c:v>
                </c:pt>
                <c:pt idx="609">
                  <c:v>6.6</c:v>
                </c:pt>
                <c:pt idx="610">
                  <c:v>7.4</c:v>
                </c:pt>
                <c:pt idx="611">
                  <c:v>7</c:v>
                </c:pt>
                <c:pt idx="612">
                  <c:v>6.3</c:v>
                </c:pt>
                <c:pt idx="613">
                  <c:v>6.1</c:v>
                </c:pt>
                <c:pt idx="614">
                  <c:v>7.5</c:v>
                </c:pt>
                <c:pt idx="615">
                  <c:v>6.2</c:v>
                </c:pt>
                <c:pt idx="616">
                  <c:v>6.2</c:v>
                </c:pt>
                <c:pt idx="617">
                  <c:v>7.1</c:v>
                </c:pt>
                <c:pt idx="618">
                  <c:v>7.3</c:v>
                </c:pt>
                <c:pt idx="619">
                  <c:v>6.4</c:v>
                </c:pt>
                <c:pt idx="620">
                  <c:v>7.6</c:v>
                </c:pt>
                <c:pt idx="621">
                  <c:v>7.3</c:v>
                </c:pt>
                <c:pt idx="622">
                  <c:v>6</c:v>
                </c:pt>
                <c:pt idx="623">
                  <c:v>6.9</c:v>
                </c:pt>
                <c:pt idx="624">
                  <c:v>6.1</c:v>
                </c:pt>
                <c:pt idx="625">
                  <c:v>6.1</c:v>
                </c:pt>
                <c:pt idx="626">
                  <c:v>7.1</c:v>
                </c:pt>
                <c:pt idx="627">
                  <c:v>6.1</c:v>
                </c:pt>
                <c:pt idx="628">
                  <c:v>7.3</c:v>
                </c:pt>
                <c:pt idx="629">
                  <c:v>6.9</c:v>
                </c:pt>
                <c:pt idx="630">
                  <c:v>6.9</c:v>
                </c:pt>
                <c:pt idx="631">
                  <c:v>6.6</c:v>
                </c:pt>
                <c:pt idx="632">
                  <c:v>6.4</c:v>
                </c:pt>
                <c:pt idx="633">
                  <c:v>7.2</c:v>
                </c:pt>
                <c:pt idx="634">
                  <c:v>7</c:v>
                </c:pt>
                <c:pt idx="635">
                  <c:v>6.3</c:v>
                </c:pt>
                <c:pt idx="636">
                  <c:v>5.3</c:v>
                </c:pt>
                <c:pt idx="637">
                  <c:v>7.2</c:v>
                </c:pt>
                <c:pt idx="638">
                  <c:v>5.7</c:v>
                </c:pt>
                <c:pt idx="639">
                  <c:v>4.9000000000000004</c:v>
                </c:pt>
                <c:pt idx="640">
                  <c:v>6.9</c:v>
                </c:pt>
                <c:pt idx="641">
                  <c:v>6.7</c:v>
                </c:pt>
                <c:pt idx="642">
                  <c:v>6.6</c:v>
                </c:pt>
                <c:pt idx="643">
                  <c:v>6.3</c:v>
                </c:pt>
                <c:pt idx="644">
                  <c:v>6.7</c:v>
                </c:pt>
                <c:pt idx="645">
                  <c:v>5.7</c:v>
                </c:pt>
                <c:pt idx="646">
                  <c:v>7</c:v>
                </c:pt>
                <c:pt idx="647">
                  <c:v>6.1</c:v>
                </c:pt>
                <c:pt idx="648">
                  <c:v>6</c:v>
                </c:pt>
                <c:pt idx="649">
                  <c:v>6.9</c:v>
                </c:pt>
                <c:pt idx="650">
                  <c:v>6.6</c:v>
                </c:pt>
                <c:pt idx="651">
                  <c:v>5.5</c:v>
                </c:pt>
                <c:pt idx="652">
                  <c:v>6.3</c:v>
                </c:pt>
                <c:pt idx="653">
                  <c:v>8</c:v>
                </c:pt>
                <c:pt idx="654">
                  <c:v>7.4</c:v>
                </c:pt>
                <c:pt idx="655">
                  <c:v>7.5</c:v>
                </c:pt>
                <c:pt idx="656">
                  <c:v>3.6</c:v>
                </c:pt>
                <c:pt idx="657">
                  <c:v>5.6</c:v>
                </c:pt>
                <c:pt idx="658">
                  <c:v>7.8</c:v>
                </c:pt>
                <c:pt idx="659">
                  <c:v>6.9</c:v>
                </c:pt>
                <c:pt idx="660">
                  <c:v>5.7</c:v>
                </c:pt>
                <c:pt idx="661">
                  <c:v>4.5</c:v>
                </c:pt>
                <c:pt idx="662">
                  <c:v>5.9</c:v>
                </c:pt>
                <c:pt idx="663">
                  <c:v>7</c:v>
                </c:pt>
                <c:pt idx="664">
                  <c:v>6.6</c:v>
                </c:pt>
                <c:pt idx="665">
                  <c:v>7.4</c:v>
                </c:pt>
                <c:pt idx="666">
                  <c:v>6.9</c:v>
                </c:pt>
                <c:pt idx="667">
                  <c:v>6.8</c:v>
                </c:pt>
                <c:pt idx="668">
                  <c:v>7.5</c:v>
                </c:pt>
                <c:pt idx="669">
                  <c:v>6.7</c:v>
                </c:pt>
                <c:pt idx="670">
                  <c:v>7.2</c:v>
                </c:pt>
                <c:pt idx="671">
                  <c:v>4.5</c:v>
                </c:pt>
                <c:pt idx="672">
                  <c:v>7.4</c:v>
                </c:pt>
                <c:pt idx="673">
                  <c:v>6.1</c:v>
                </c:pt>
                <c:pt idx="674">
                  <c:v>7.1</c:v>
                </c:pt>
                <c:pt idx="675">
                  <c:v>6.7</c:v>
                </c:pt>
                <c:pt idx="676">
                  <c:v>7.4</c:v>
                </c:pt>
                <c:pt idx="677">
                  <c:v>7.5</c:v>
                </c:pt>
                <c:pt idx="678">
                  <c:v>7.3</c:v>
                </c:pt>
                <c:pt idx="679">
                  <c:v>6</c:v>
                </c:pt>
                <c:pt idx="680">
                  <c:v>6.9</c:v>
                </c:pt>
                <c:pt idx="681">
                  <c:v>5.7</c:v>
                </c:pt>
                <c:pt idx="682">
                  <c:v>7.7</c:v>
                </c:pt>
                <c:pt idx="683">
                  <c:v>5.3</c:v>
                </c:pt>
                <c:pt idx="684">
                  <c:v>7.7</c:v>
                </c:pt>
                <c:pt idx="685">
                  <c:v>7.4</c:v>
                </c:pt>
                <c:pt idx="686">
                  <c:v>6.2</c:v>
                </c:pt>
                <c:pt idx="687">
                  <c:v>7.7</c:v>
                </c:pt>
                <c:pt idx="688">
                  <c:v>8.1</c:v>
                </c:pt>
                <c:pt idx="689">
                  <c:v>4.5</c:v>
                </c:pt>
                <c:pt idx="690">
                  <c:v>6.3</c:v>
                </c:pt>
                <c:pt idx="691">
                  <c:v>5.2</c:v>
                </c:pt>
                <c:pt idx="692">
                  <c:v>7</c:v>
                </c:pt>
                <c:pt idx="693">
                  <c:v>6.8</c:v>
                </c:pt>
                <c:pt idx="694">
                  <c:v>6.9</c:v>
                </c:pt>
                <c:pt idx="695">
                  <c:v>5.2</c:v>
                </c:pt>
                <c:pt idx="696">
                  <c:v>6.2</c:v>
                </c:pt>
                <c:pt idx="697">
                  <c:v>5.6</c:v>
                </c:pt>
                <c:pt idx="698">
                  <c:v>6.2</c:v>
                </c:pt>
                <c:pt idx="699">
                  <c:v>6.5</c:v>
                </c:pt>
                <c:pt idx="700">
                  <c:v>6.4</c:v>
                </c:pt>
                <c:pt idx="701">
                  <c:v>7.4</c:v>
                </c:pt>
                <c:pt idx="702">
                  <c:v>7.3</c:v>
                </c:pt>
                <c:pt idx="703">
                  <c:v>4.3</c:v>
                </c:pt>
                <c:pt idx="704">
                  <c:v>5.7</c:v>
                </c:pt>
                <c:pt idx="705">
                  <c:v>6.4</c:v>
                </c:pt>
                <c:pt idx="706">
                  <c:v>6.5</c:v>
                </c:pt>
                <c:pt idx="707">
                  <c:v>7.7</c:v>
                </c:pt>
                <c:pt idx="708">
                  <c:v>6.6</c:v>
                </c:pt>
                <c:pt idx="709">
                  <c:v>6.2</c:v>
                </c:pt>
                <c:pt idx="710">
                  <c:v>5.0999999999999996</c:v>
                </c:pt>
                <c:pt idx="711">
                  <c:v>8.1</c:v>
                </c:pt>
                <c:pt idx="712">
                  <c:v>6.2</c:v>
                </c:pt>
                <c:pt idx="713">
                  <c:v>6.3</c:v>
                </c:pt>
                <c:pt idx="714">
                  <c:v>5.7</c:v>
                </c:pt>
                <c:pt idx="715">
                  <c:v>6.2</c:v>
                </c:pt>
                <c:pt idx="716">
                  <c:v>6.7</c:v>
                </c:pt>
                <c:pt idx="717">
                  <c:v>6.2</c:v>
                </c:pt>
                <c:pt idx="718">
                  <c:v>5.2</c:v>
                </c:pt>
                <c:pt idx="719">
                  <c:v>5</c:v>
                </c:pt>
                <c:pt idx="720">
                  <c:v>6.1</c:v>
                </c:pt>
                <c:pt idx="721">
                  <c:v>6.6</c:v>
                </c:pt>
                <c:pt idx="722">
                  <c:v>6.1</c:v>
                </c:pt>
                <c:pt idx="723">
                  <c:v>5.5</c:v>
                </c:pt>
                <c:pt idx="724">
                  <c:v>6.2</c:v>
                </c:pt>
                <c:pt idx="725">
                  <c:v>6</c:v>
                </c:pt>
                <c:pt idx="726">
                  <c:v>4.2</c:v>
                </c:pt>
                <c:pt idx="727">
                  <c:v>6.5</c:v>
                </c:pt>
                <c:pt idx="728">
                  <c:v>6.2</c:v>
                </c:pt>
                <c:pt idx="729">
                  <c:v>5.4</c:v>
                </c:pt>
                <c:pt idx="730">
                  <c:v>5.7</c:v>
                </c:pt>
                <c:pt idx="731">
                  <c:v>6</c:v>
                </c:pt>
                <c:pt idx="732">
                  <c:v>6.1</c:v>
                </c:pt>
                <c:pt idx="733">
                  <c:v>6</c:v>
                </c:pt>
                <c:pt idx="734">
                  <c:v>6.2</c:v>
                </c:pt>
                <c:pt idx="735">
                  <c:v>6.9</c:v>
                </c:pt>
                <c:pt idx="736">
                  <c:v>7.9</c:v>
                </c:pt>
                <c:pt idx="737">
                  <c:v>5.8</c:v>
                </c:pt>
                <c:pt idx="738">
                  <c:v>6.6</c:v>
                </c:pt>
                <c:pt idx="739">
                  <c:v>5.7</c:v>
                </c:pt>
                <c:pt idx="740">
                  <c:v>6.4</c:v>
                </c:pt>
                <c:pt idx="741">
                  <c:v>6.8</c:v>
                </c:pt>
                <c:pt idx="742">
                  <c:v>6.6</c:v>
                </c:pt>
                <c:pt idx="743">
                  <c:v>5.7</c:v>
                </c:pt>
                <c:pt idx="744">
                  <c:v>6.3</c:v>
                </c:pt>
                <c:pt idx="745">
                  <c:v>7.9</c:v>
                </c:pt>
                <c:pt idx="746">
                  <c:v>6.4</c:v>
                </c:pt>
                <c:pt idx="747">
                  <c:v>6.2</c:v>
                </c:pt>
                <c:pt idx="748">
                  <c:v>7.7</c:v>
                </c:pt>
                <c:pt idx="749">
                  <c:v>6</c:v>
                </c:pt>
                <c:pt idx="750">
                  <c:v>6.6</c:v>
                </c:pt>
                <c:pt idx="751">
                  <c:v>6.4</c:v>
                </c:pt>
                <c:pt idx="752">
                  <c:v>6.4</c:v>
                </c:pt>
                <c:pt idx="753">
                  <c:v>6.4</c:v>
                </c:pt>
                <c:pt idx="754">
                  <c:v>4.5999999999999996</c:v>
                </c:pt>
                <c:pt idx="755">
                  <c:v>5.6</c:v>
                </c:pt>
                <c:pt idx="756">
                  <c:v>6.1</c:v>
                </c:pt>
                <c:pt idx="757">
                  <c:v>6.7</c:v>
                </c:pt>
                <c:pt idx="758">
                  <c:v>7.3</c:v>
                </c:pt>
                <c:pt idx="759">
                  <c:v>6.9</c:v>
                </c:pt>
                <c:pt idx="760">
                  <c:v>6.4</c:v>
                </c:pt>
                <c:pt idx="761">
                  <c:v>5.8</c:v>
                </c:pt>
                <c:pt idx="762">
                  <c:v>6.2</c:v>
                </c:pt>
                <c:pt idx="763">
                  <c:v>6.2</c:v>
                </c:pt>
                <c:pt idx="764">
                  <c:v>6.1</c:v>
                </c:pt>
                <c:pt idx="765">
                  <c:v>6.3</c:v>
                </c:pt>
                <c:pt idx="766">
                  <c:v>6.2</c:v>
                </c:pt>
                <c:pt idx="767">
                  <c:v>5.5</c:v>
                </c:pt>
                <c:pt idx="768">
                  <c:v>6.6</c:v>
                </c:pt>
                <c:pt idx="769">
                  <c:v>6.3</c:v>
                </c:pt>
                <c:pt idx="770">
                  <c:v>5.6</c:v>
                </c:pt>
                <c:pt idx="771">
                  <c:v>6.4</c:v>
                </c:pt>
                <c:pt idx="772">
                  <c:v>7</c:v>
                </c:pt>
                <c:pt idx="773">
                  <c:v>6.4</c:v>
                </c:pt>
                <c:pt idx="774">
                  <c:v>5.3</c:v>
                </c:pt>
                <c:pt idx="775">
                  <c:v>6</c:v>
                </c:pt>
                <c:pt idx="776">
                  <c:v>6.6</c:v>
                </c:pt>
                <c:pt idx="777">
                  <c:v>6.5</c:v>
                </c:pt>
                <c:pt idx="778">
                  <c:v>6.7</c:v>
                </c:pt>
                <c:pt idx="779">
                  <c:v>6.5</c:v>
                </c:pt>
                <c:pt idx="780">
                  <c:v>5.8</c:v>
                </c:pt>
                <c:pt idx="781">
                  <c:v>3.1</c:v>
                </c:pt>
                <c:pt idx="782">
                  <c:v>6.3</c:v>
                </c:pt>
                <c:pt idx="783">
                  <c:v>7.6</c:v>
                </c:pt>
                <c:pt idx="784">
                  <c:v>7.4</c:v>
                </c:pt>
                <c:pt idx="785">
                  <c:v>6.7</c:v>
                </c:pt>
                <c:pt idx="786">
                  <c:v>6.7</c:v>
                </c:pt>
                <c:pt idx="787">
                  <c:v>6.4</c:v>
                </c:pt>
                <c:pt idx="788">
                  <c:v>7.4</c:v>
                </c:pt>
                <c:pt idx="789">
                  <c:v>6</c:v>
                </c:pt>
                <c:pt idx="790">
                  <c:v>5.8</c:v>
                </c:pt>
                <c:pt idx="791">
                  <c:v>7.3</c:v>
                </c:pt>
                <c:pt idx="792">
                  <c:v>7</c:v>
                </c:pt>
                <c:pt idx="793">
                  <c:v>6.4</c:v>
                </c:pt>
                <c:pt idx="794">
                  <c:v>6.2</c:v>
                </c:pt>
                <c:pt idx="795">
                  <c:v>6.9</c:v>
                </c:pt>
                <c:pt idx="796">
                  <c:v>7.4</c:v>
                </c:pt>
                <c:pt idx="797">
                  <c:v>6.6</c:v>
                </c:pt>
                <c:pt idx="798">
                  <c:v>6.8</c:v>
                </c:pt>
                <c:pt idx="799">
                  <c:v>5.4</c:v>
                </c:pt>
                <c:pt idx="800">
                  <c:v>6</c:v>
                </c:pt>
                <c:pt idx="801">
                  <c:v>5.4</c:v>
                </c:pt>
                <c:pt idx="802">
                  <c:v>7.1</c:v>
                </c:pt>
                <c:pt idx="803">
                  <c:v>6.2</c:v>
                </c:pt>
                <c:pt idx="804">
                  <c:v>6.7</c:v>
                </c:pt>
                <c:pt idx="805">
                  <c:v>7.2</c:v>
                </c:pt>
                <c:pt idx="806">
                  <c:v>6.7</c:v>
                </c:pt>
                <c:pt idx="807">
                  <c:v>5.9</c:v>
                </c:pt>
                <c:pt idx="808">
                  <c:v>6.6</c:v>
                </c:pt>
                <c:pt idx="809">
                  <c:v>4.5</c:v>
                </c:pt>
                <c:pt idx="810">
                  <c:v>7.4</c:v>
                </c:pt>
                <c:pt idx="811">
                  <c:v>6.8</c:v>
                </c:pt>
                <c:pt idx="812">
                  <c:v>6.5</c:v>
                </c:pt>
                <c:pt idx="813">
                  <c:v>7.8</c:v>
                </c:pt>
                <c:pt idx="814">
                  <c:v>7.2</c:v>
                </c:pt>
                <c:pt idx="815">
                  <c:v>6.7</c:v>
                </c:pt>
                <c:pt idx="816">
                  <c:v>6.1</c:v>
                </c:pt>
                <c:pt idx="817">
                  <c:v>6.6</c:v>
                </c:pt>
                <c:pt idx="818">
                  <c:v>7.6</c:v>
                </c:pt>
                <c:pt idx="819">
                  <c:v>6</c:v>
                </c:pt>
                <c:pt idx="820">
                  <c:v>7.3</c:v>
                </c:pt>
                <c:pt idx="821">
                  <c:v>8.1</c:v>
                </c:pt>
                <c:pt idx="822">
                  <c:v>6.2</c:v>
                </c:pt>
                <c:pt idx="823">
                  <c:v>7.2</c:v>
                </c:pt>
                <c:pt idx="824">
                  <c:v>6.1</c:v>
                </c:pt>
                <c:pt idx="825">
                  <c:v>5.4</c:v>
                </c:pt>
                <c:pt idx="826">
                  <c:v>7.3</c:v>
                </c:pt>
                <c:pt idx="827">
                  <c:v>7.9</c:v>
                </c:pt>
                <c:pt idx="828">
                  <c:v>6.3</c:v>
                </c:pt>
                <c:pt idx="829">
                  <c:v>7.8</c:v>
                </c:pt>
                <c:pt idx="830">
                  <c:v>8.1999999999999993</c:v>
                </c:pt>
                <c:pt idx="831">
                  <c:v>6.1</c:v>
                </c:pt>
                <c:pt idx="832">
                  <c:v>5.8</c:v>
                </c:pt>
                <c:pt idx="833">
                  <c:v>5.3</c:v>
                </c:pt>
                <c:pt idx="834">
                  <c:v>7.9</c:v>
                </c:pt>
                <c:pt idx="835">
                  <c:v>5.5</c:v>
                </c:pt>
                <c:pt idx="836">
                  <c:v>6.3</c:v>
                </c:pt>
                <c:pt idx="837">
                  <c:v>5.7</c:v>
                </c:pt>
                <c:pt idx="838">
                  <c:v>6.5</c:v>
                </c:pt>
                <c:pt idx="839">
                  <c:v>5.3</c:v>
                </c:pt>
                <c:pt idx="840">
                  <c:v>6.2</c:v>
                </c:pt>
                <c:pt idx="841">
                  <c:v>8</c:v>
                </c:pt>
                <c:pt idx="842">
                  <c:v>6.9</c:v>
                </c:pt>
                <c:pt idx="843">
                  <c:v>7.8</c:v>
                </c:pt>
                <c:pt idx="844">
                  <c:v>6.7</c:v>
                </c:pt>
                <c:pt idx="845">
                  <c:v>7</c:v>
                </c:pt>
                <c:pt idx="846">
                  <c:v>7.8</c:v>
                </c:pt>
                <c:pt idx="847">
                  <c:v>7.7</c:v>
                </c:pt>
                <c:pt idx="848">
                  <c:v>6.8</c:v>
                </c:pt>
                <c:pt idx="849">
                  <c:v>5.9</c:v>
                </c:pt>
                <c:pt idx="850">
                  <c:v>7.4</c:v>
                </c:pt>
                <c:pt idx="851">
                  <c:v>6</c:v>
                </c:pt>
                <c:pt idx="852">
                  <c:v>7.5</c:v>
                </c:pt>
                <c:pt idx="853">
                  <c:v>6.8</c:v>
                </c:pt>
                <c:pt idx="854">
                  <c:v>7.3</c:v>
                </c:pt>
                <c:pt idx="855">
                  <c:v>7.8</c:v>
                </c:pt>
                <c:pt idx="856">
                  <c:v>6.8</c:v>
                </c:pt>
                <c:pt idx="857">
                  <c:v>7.2</c:v>
                </c:pt>
                <c:pt idx="858">
                  <c:v>8.5</c:v>
                </c:pt>
                <c:pt idx="859">
                  <c:v>7.7</c:v>
                </c:pt>
                <c:pt idx="860">
                  <c:v>8.6999999999999993</c:v>
                </c:pt>
                <c:pt idx="861">
                  <c:v>6.4</c:v>
                </c:pt>
                <c:pt idx="862">
                  <c:v>6.2</c:v>
                </c:pt>
                <c:pt idx="863">
                  <c:v>7.8</c:v>
                </c:pt>
                <c:pt idx="864">
                  <c:v>7.2</c:v>
                </c:pt>
                <c:pt idx="865">
                  <c:v>5.2</c:v>
                </c:pt>
                <c:pt idx="866">
                  <c:v>5.0999999999999996</c:v>
                </c:pt>
                <c:pt idx="867">
                  <c:v>6.3</c:v>
                </c:pt>
                <c:pt idx="868">
                  <c:v>6</c:v>
                </c:pt>
                <c:pt idx="869">
                  <c:v>7.4</c:v>
                </c:pt>
                <c:pt idx="870">
                  <c:v>6.5</c:v>
                </c:pt>
                <c:pt idx="871">
                  <c:v>6.4</c:v>
                </c:pt>
                <c:pt idx="872">
                  <c:v>6.3</c:v>
                </c:pt>
                <c:pt idx="873">
                  <c:v>6.7</c:v>
                </c:pt>
                <c:pt idx="874">
                  <c:v>5.9</c:v>
                </c:pt>
                <c:pt idx="875">
                  <c:v>6.3</c:v>
                </c:pt>
                <c:pt idx="876">
                  <c:v>7</c:v>
                </c:pt>
                <c:pt idx="877">
                  <c:v>6.6</c:v>
                </c:pt>
                <c:pt idx="878">
                  <c:v>7.5</c:v>
                </c:pt>
                <c:pt idx="879">
                  <c:v>5.6</c:v>
                </c:pt>
                <c:pt idx="880">
                  <c:v>7.7</c:v>
                </c:pt>
                <c:pt idx="881">
                  <c:v>4.5999999999999996</c:v>
                </c:pt>
                <c:pt idx="882">
                  <c:v>6.5</c:v>
                </c:pt>
                <c:pt idx="883">
                  <c:v>5.8</c:v>
                </c:pt>
                <c:pt idx="884">
                  <c:v>6.2</c:v>
                </c:pt>
                <c:pt idx="885">
                  <c:v>7.2</c:v>
                </c:pt>
                <c:pt idx="886">
                  <c:v>6.4</c:v>
                </c:pt>
                <c:pt idx="887">
                  <c:v>6.1</c:v>
                </c:pt>
                <c:pt idx="888">
                  <c:v>7.1</c:v>
                </c:pt>
                <c:pt idx="889">
                  <c:v>6.9</c:v>
                </c:pt>
                <c:pt idx="890">
                  <c:v>6.4</c:v>
                </c:pt>
                <c:pt idx="891">
                  <c:v>7</c:v>
                </c:pt>
                <c:pt idx="892">
                  <c:v>6</c:v>
                </c:pt>
                <c:pt idx="893">
                  <c:v>6.4</c:v>
                </c:pt>
                <c:pt idx="894">
                  <c:v>6.8</c:v>
                </c:pt>
                <c:pt idx="895">
                  <c:v>6.5</c:v>
                </c:pt>
                <c:pt idx="896">
                  <c:v>6.4</c:v>
                </c:pt>
                <c:pt idx="897">
                  <c:v>7.6</c:v>
                </c:pt>
                <c:pt idx="898">
                  <c:v>5.5</c:v>
                </c:pt>
                <c:pt idx="899">
                  <c:v>6.6</c:v>
                </c:pt>
                <c:pt idx="900">
                  <c:v>6.3</c:v>
                </c:pt>
                <c:pt idx="901">
                  <c:v>8</c:v>
                </c:pt>
                <c:pt idx="902">
                  <c:v>6.2</c:v>
                </c:pt>
                <c:pt idx="903">
                  <c:v>5.8</c:v>
                </c:pt>
                <c:pt idx="904">
                  <c:v>8.1</c:v>
                </c:pt>
                <c:pt idx="905">
                  <c:v>5.8</c:v>
                </c:pt>
                <c:pt idx="906">
                  <c:v>5.6</c:v>
                </c:pt>
                <c:pt idx="907">
                  <c:v>6.6</c:v>
                </c:pt>
                <c:pt idx="908">
                  <c:v>7.1</c:v>
                </c:pt>
                <c:pt idx="909">
                  <c:v>6.7</c:v>
                </c:pt>
                <c:pt idx="910">
                  <c:v>5.8</c:v>
                </c:pt>
                <c:pt idx="911">
                  <c:v>6.3</c:v>
                </c:pt>
                <c:pt idx="912">
                  <c:v>5.5</c:v>
                </c:pt>
                <c:pt idx="913">
                  <c:v>5.8</c:v>
                </c:pt>
                <c:pt idx="914">
                  <c:v>5.9</c:v>
                </c:pt>
                <c:pt idx="915">
                  <c:v>7.2</c:v>
                </c:pt>
                <c:pt idx="916">
                  <c:v>6</c:v>
                </c:pt>
                <c:pt idx="917">
                  <c:v>6.3</c:v>
                </c:pt>
                <c:pt idx="918">
                  <c:v>7.1</c:v>
                </c:pt>
                <c:pt idx="919">
                  <c:v>5.9</c:v>
                </c:pt>
                <c:pt idx="920">
                  <c:v>6.6</c:v>
                </c:pt>
                <c:pt idx="921">
                  <c:v>7.1</c:v>
                </c:pt>
                <c:pt idx="922">
                  <c:v>7.4</c:v>
                </c:pt>
                <c:pt idx="923">
                  <c:v>5.8</c:v>
                </c:pt>
                <c:pt idx="924">
                  <c:v>5.6</c:v>
                </c:pt>
                <c:pt idx="925">
                  <c:v>6.1</c:v>
                </c:pt>
                <c:pt idx="926">
                  <c:v>6</c:v>
                </c:pt>
                <c:pt idx="927">
                  <c:v>6</c:v>
                </c:pt>
                <c:pt idx="928">
                  <c:v>7.7</c:v>
                </c:pt>
                <c:pt idx="929">
                  <c:v>6.9</c:v>
                </c:pt>
                <c:pt idx="930">
                  <c:v>6.4</c:v>
                </c:pt>
                <c:pt idx="931">
                  <c:v>6.1</c:v>
                </c:pt>
                <c:pt idx="932">
                  <c:v>5.7</c:v>
                </c:pt>
                <c:pt idx="933">
                  <c:v>6.8</c:v>
                </c:pt>
                <c:pt idx="934">
                  <c:v>7</c:v>
                </c:pt>
                <c:pt idx="935">
                  <c:v>6.3</c:v>
                </c:pt>
                <c:pt idx="936">
                  <c:v>5.8</c:v>
                </c:pt>
                <c:pt idx="937">
                  <c:v>7.7</c:v>
                </c:pt>
                <c:pt idx="938">
                  <c:v>7</c:v>
                </c:pt>
                <c:pt idx="939">
                  <c:v>6.7</c:v>
                </c:pt>
                <c:pt idx="940">
                  <c:v>6.4</c:v>
                </c:pt>
                <c:pt idx="941">
                  <c:v>6.4</c:v>
                </c:pt>
                <c:pt idx="942">
                  <c:v>7</c:v>
                </c:pt>
                <c:pt idx="943">
                  <c:v>8</c:v>
                </c:pt>
                <c:pt idx="944">
                  <c:v>6.6</c:v>
                </c:pt>
                <c:pt idx="945">
                  <c:v>6.5</c:v>
                </c:pt>
                <c:pt idx="946">
                  <c:v>6.4</c:v>
                </c:pt>
                <c:pt idx="947">
                  <c:v>7.3</c:v>
                </c:pt>
                <c:pt idx="948">
                  <c:v>6.8</c:v>
                </c:pt>
                <c:pt idx="949">
                  <c:v>6.1</c:v>
                </c:pt>
                <c:pt idx="950">
                  <c:v>7.2</c:v>
                </c:pt>
                <c:pt idx="951">
                  <c:v>6.3</c:v>
                </c:pt>
                <c:pt idx="952">
                  <c:v>6.7</c:v>
                </c:pt>
                <c:pt idx="953">
                  <c:v>7.1</c:v>
                </c:pt>
                <c:pt idx="954">
                  <c:v>7.3</c:v>
                </c:pt>
                <c:pt idx="955">
                  <c:v>7.2</c:v>
                </c:pt>
                <c:pt idx="956">
                  <c:v>7.3</c:v>
                </c:pt>
                <c:pt idx="957">
                  <c:v>5.2</c:v>
                </c:pt>
                <c:pt idx="958">
                  <c:v>5.7</c:v>
                </c:pt>
                <c:pt idx="959">
                  <c:v>3.7</c:v>
                </c:pt>
                <c:pt idx="960">
                  <c:v>7</c:v>
                </c:pt>
                <c:pt idx="961">
                  <c:v>6.4</c:v>
                </c:pt>
                <c:pt idx="962">
                  <c:v>5.8</c:v>
                </c:pt>
                <c:pt idx="963">
                  <c:v>6.5</c:v>
                </c:pt>
                <c:pt idx="964">
                  <c:v>6.2</c:v>
                </c:pt>
                <c:pt idx="965">
                  <c:v>6.3</c:v>
                </c:pt>
                <c:pt idx="966">
                  <c:v>6.8</c:v>
                </c:pt>
                <c:pt idx="967">
                  <c:v>5.9</c:v>
                </c:pt>
                <c:pt idx="968">
                  <c:v>7</c:v>
                </c:pt>
                <c:pt idx="969">
                  <c:v>7</c:v>
                </c:pt>
                <c:pt idx="970">
                  <c:v>6.7</c:v>
                </c:pt>
                <c:pt idx="971">
                  <c:v>6.1</c:v>
                </c:pt>
                <c:pt idx="972">
                  <c:v>5.9</c:v>
                </c:pt>
                <c:pt idx="973">
                  <c:v>7.7</c:v>
                </c:pt>
                <c:pt idx="974">
                  <c:v>6.8</c:v>
                </c:pt>
                <c:pt idx="975">
                  <c:v>5.7</c:v>
                </c:pt>
                <c:pt idx="976">
                  <c:v>4.5999999999999996</c:v>
                </c:pt>
                <c:pt idx="977">
                  <c:v>8.1</c:v>
                </c:pt>
                <c:pt idx="978">
                  <c:v>6.1</c:v>
                </c:pt>
                <c:pt idx="979">
                  <c:v>6.7</c:v>
                </c:pt>
                <c:pt idx="980">
                  <c:v>6.8</c:v>
                </c:pt>
                <c:pt idx="981">
                  <c:v>6.6</c:v>
                </c:pt>
                <c:pt idx="982">
                  <c:v>6.7</c:v>
                </c:pt>
                <c:pt idx="983">
                  <c:v>3.9</c:v>
                </c:pt>
                <c:pt idx="984">
                  <c:v>5</c:v>
                </c:pt>
                <c:pt idx="985">
                  <c:v>4.9000000000000004</c:v>
                </c:pt>
                <c:pt idx="986">
                  <c:v>6.7</c:v>
                </c:pt>
                <c:pt idx="987">
                  <c:v>8</c:v>
                </c:pt>
                <c:pt idx="988">
                  <c:v>7.1</c:v>
                </c:pt>
                <c:pt idx="989">
                  <c:v>4.9000000000000004</c:v>
                </c:pt>
                <c:pt idx="990">
                  <c:v>6.5</c:v>
                </c:pt>
                <c:pt idx="991">
                  <c:v>7.1</c:v>
                </c:pt>
                <c:pt idx="992">
                  <c:v>7.2</c:v>
                </c:pt>
                <c:pt idx="993">
                  <c:v>6.8</c:v>
                </c:pt>
                <c:pt idx="994">
                  <c:v>6.8</c:v>
                </c:pt>
                <c:pt idx="995">
                  <c:v>7.2</c:v>
                </c:pt>
                <c:pt idx="996">
                  <c:v>6.9</c:v>
                </c:pt>
                <c:pt idx="997">
                  <c:v>7.4</c:v>
                </c:pt>
                <c:pt idx="998">
                  <c:v>6.8</c:v>
                </c:pt>
                <c:pt idx="999">
                  <c:v>7.1</c:v>
                </c:pt>
                <c:pt idx="1000">
                  <c:v>6.3</c:v>
                </c:pt>
                <c:pt idx="1001">
                  <c:v>6.7</c:v>
                </c:pt>
                <c:pt idx="1002">
                  <c:v>6.7</c:v>
                </c:pt>
                <c:pt idx="1003">
                  <c:v>5.9</c:v>
                </c:pt>
                <c:pt idx="1004">
                  <c:v>5.8</c:v>
                </c:pt>
                <c:pt idx="1005">
                  <c:v>5.7</c:v>
                </c:pt>
                <c:pt idx="1006">
                  <c:v>6.3</c:v>
                </c:pt>
                <c:pt idx="1007">
                  <c:v>6</c:v>
                </c:pt>
                <c:pt idx="1008">
                  <c:v>5.7</c:v>
                </c:pt>
                <c:pt idx="1009">
                  <c:v>6.5</c:v>
                </c:pt>
                <c:pt idx="1010">
                  <c:v>7.2</c:v>
                </c:pt>
                <c:pt idx="1011">
                  <c:v>7.2</c:v>
                </c:pt>
                <c:pt idx="1012">
                  <c:v>6.4</c:v>
                </c:pt>
                <c:pt idx="1013">
                  <c:v>6</c:v>
                </c:pt>
                <c:pt idx="1014">
                  <c:v>6.6</c:v>
                </c:pt>
                <c:pt idx="1015">
                  <c:v>5.3</c:v>
                </c:pt>
                <c:pt idx="1016">
                  <c:v>6.3</c:v>
                </c:pt>
                <c:pt idx="1017">
                  <c:v>6.3</c:v>
                </c:pt>
                <c:pt idx="1018">
                  <c:v>7.6</c:v>
                </c:pt>
                <c:pt idx="1019">
                  <c:v>5.7</c:v>
                </c:pt>
                <c:pt idx="1020">
                  <c:v>7.1</c:v>
                </c:pt>
                <c:pt idx="1021">
                  <c:v>6.3</c:v>
                </c:pt>
                <c:pt idx="1022">
                  <c:v>4.5999999999999996</c:v>
                </c:pt>
                <c:pt idx="1023">
                  <c:v>7.5</c:v>
                </c:pt>
                <c:pt idx="1024">
                  <c:v>5.3</c:v>
                </c:pt>
                <c:pt idx="1025">
                  <c:v>7</c:v>
                </c:pt>
                <c:pt idx="1026">
                  <c:v>5</c:v>
                </c:pt>
                <c:pt idx="1027">
                  <c:v>4.3</c:v>
                </c:pt>
                <c:pt idx="1028">
                  <c:v>6.9</c:v>
                </c:pt>
                <c:pt idx="1029">
                  <c:v>7.2</c:v>
                </c:pt>
                <c:pt idx="1030">
                  <c:v>7.3</c:v>
                </c:pt>
                <c:pt idx="1031">
                  <c:v>6</c:v>
                </c:pt>
                <c:pt idx="1032">
                  <c:v>6.2</c:v>
                </c:pt>
                <c:pt idx="1033">
                  <c:v>5.0999999999999996</c:v>
                </c:pt>
                <c:pt idx="1034">
                  <c:v>5.9</c:v>
                </c:pt>
                <c:pt idx="1035">
                  <c:v>6</c:v>
                </c:pt>
                <c:pt idx="1036">
                  <c:v>4.3</c:v>
                </c:pt>
                <c:pt idx="1037">
                  <c:v>6.4</c:v>
                </c:pt>
                <c:pt idx="1038">
                  <c:v>6.9</c:v>
                </c:pt>
                <c:pt idx="1039">
                  <c:v>6.2</c:v>
                </c:pt>
                <c:pt idx="1040">
                  <c:v>7.2</c:v>
                </c:pt>
                <c:pt idx="1041">
                  <c:v>5.5</c:v>
                </c:pt>
                <c:pt idx="1042">
                  <c:v>5.0999999999999996</c:v>
                </c:pt>
                <c:pt idx="1043">
                  <c:v>6.6</c:v>
                </c:pt>
                <c:pt idx="1044">
                  <c:v>6.8</c:v>
                </c:pt>
                <c:pt idx="1045">
                  <c:v>7</c:v>
                </c:pt>
                <c:pt idx="1046">
                  <c:v>6.9</c:v>
                </c:pt>
                <c:pt idx="1047">
                  <c:v>6.1</c:v>
                </c:pt>
                <c:pt idx="1048">
                  <c:v>6.3</c:v>
                </c:pt>
                <c:pt idx="1049">
                  <c:v>7.1</c:v>
                </c:pt>
                <c:pt idx="1050">
                  <c:v>6.2</c:v>
                </c:pt>
                <c:pt idx="1051">
                  <c:v>5.0999999999999996</c:v>
                </c:pt>
                <c:pt idx="1052">
                  <c:v>5.9</c:v>
                </c:pt>
                <c:pt idx="1053">
                  <c:v>8.3000000000000007</c:v>
                </c:pt>
                <c:pt idx="1054">
                  <c:v>7.6</c:v>
                </c:pt>
                <c:pt idx="1055">
                  <c:v>6.9</c:v>
                </c:pt>
                <c:pt idx="1056">
                  <c:v>5.7</c:v>
                </c:pt>
                <c:pt idx="1057">
                  <c:v>4.5999999999999996</c:v>
                </c:pt>
                <c:pt idx="1058">
                  <c:v>5.6</c:v>
                </c:pt>
                <c:pt idx="1059">
                  <c:v>7</c:v>
                </c:pt>
                <c:pt idx="1060">
                  <c:v>5.0999999999999996</c:v>
                </c:pt>
                <c:pt idx="1061">
                  <c:v>5.2</c:v>
                </c:pt>
                <c:pt idx="1062">
                  <c:v>8.4</c:v>
                </c:pt>
                <c:pt idx="1063">
                  <c:v>7.4</c:v>
                </c:pt>
                <c:pt idx="1064">
                  <c:v>7</c:v>
                </c:pt>
                <c:pt idx="1065">
                  <c:v>5.5</c:v>
                </c:pt>
                <c:pt idx="1066">
                  <c:v>6.2</c:v>
                </c:pt>
                <c:pt idx="1067">
                  <c:v>6.8</c:v>
                </c:pt>
                <c:pt idx="1068">
                  <c:v>8.1999999999999993</c:v>
                </c:pt>
                <c:pt idx="1069">
                  <c:v>5.7</c:v>
                </c:pt>
                <c:pt idx="1070">
                  <c:v>7.5</c:v>
                </c:pt>
                <c:pt idx="1071">
                  <c:v>6.9</c:v>
                </c:pt>
                <c:pt idx="1072">
                  <c:v>5.0999999999999996</c:v>
                </c:pt>
                <c:pt idx="1073">
                  <c:v>6.5</c:v>
                </c:pt>
                <c:pt idx="1074">
                  <c:v>7.1</c:v>
                </c:pt>
                <c:pt idx="1075">
                  <c:v>5.7</c:v>
                </c:pt>
                <c:pt idx="1076">
                  <c:v>6.8</c:v>
                </c:pt>
                <c:pt idx="1077">
                  <c:v>6.9</c:v>
                </c:pt>
                <c:pt idx="1078">
                  <c:v>6.2</c:v>
                </c:pt>
                <c:pt idx="1079">
                  <c:v>6.4</c:v>
                </c:pt>
                <c:pt idx="1080">
                  <c:v>6.8</c:v>
                </c:pt>
                <c:pt idx="1081">
                  <c:v>6.8</c:v>
                </c:pt>
                <c:pt idx="1082">
                  <c:v>6.3</c:v>
                </c:pt>
                <c:pt idx="1083">
                  <c:v>7.1</c:v>
                </c:pt>
                <c:pt idx="1084">
                  <c:v>5.6</c:v>
                </c:pt>
                <c:pt idx="1085">
                  <c:v>6.8</c:v>
                </c:pt>
                <c:pt idx="1086">
                  <c:v>6.5</c:v>
                </c:pt>
                <c:pt idx="1087">
                  <c:v>5.8</c:v>
                </c:pt>
                <c:pt idx="1088">
                  <c:v>6.8</c:v>
                </c:pt>
                <c:pt idx="1089">
                  <c:v>7.1</c:v>
                </c:pt>
                <c:pt idx="1090">
                  <c:v>5</c:v>
                </c:pt>
                <c:pt idx="1091">
                  <c:v>4.8</c:v>
                </c:pt>
                <c:pt idx="1092">
                  <c:v>4.9000000000000004</c:v>
                </c:pt>
                <c:pt idx="1093">
                  <c:v>7.4</c:v>
                </c:pt>
                <c:pt idx="1094">
                  <c:v>6.9</c:v>
                </c:pt>
                <c:pt idx="1095">
                  <c:v>5.8</c:v>
                </c:pt>
                <c:pt idx="1096">
                  <c:v>7.2</c:v>
                </c:pt>
                <c:pt idx="1097">
                  <c:v>5.7</c:v>
                </c:pt>
                <c:pt idx="1098">
                  <c:v>5.6</c:v>
                </c:pt>
                <c:pt idx="1099">
                  <c:v>4.5999999999999996</c:v>
                </c:pt>
                <c:pt idx="1100">
                  <c:v>5.3</c:v>
                </c:pt>
                <c:pt idx="1101">
                  <c:v>5.9</c:v>
                </c:pt>
                <c:pt idx="1102">
                  <c:v>4.7</c:v>
                </c:pt>
                <c:pt idx="1103">
                  <c:v>6.1</c:v>
                </c:pt>
                <c:pt idx="1104">
                  <c:v>7</c:v>
                </c:pt>
                <c:pt idx="1105">
                  <c:v>6.2</c:v>
                </c:pt>
                <c:pt idx="1106">
                  <c:v>4.2</c:v>
                </c:pt>
                <c:pt idx="1107">
                  <c:v>5.4</c:v>
                </c:pt>
                <c:pt idx="1108">
                  <c:v>4.2</c:v>
                </c:pt>
                <c:pt idx="1109">
                  <c:v>5.5</c:v>
                </c:pt>
                <c:pt idx="1110">
                  <c:v>5.6</c:v>
                </c:pt>
                <c:pt idx="1111">
                  <c:v>7.4</c:v>
                </c:pt>
                <c:pt idx="1112">
                  <c:v>7.2</c:v>
                </c:pt>
                <c:pt idx="1113">
                  <c:v>7.2</c:v>
                </c:pt>
                <c:pt idx="1114">
                  <c:v>6.6</c:v>
                </c:pt>
                <c:pt idx="1115">
                  <c:v>5.2</c:v>
                </c:pt>
                <c:pt idx="1116">
                  <c:v>6.8</c:v>
                </c:pt>
                <c:pt idx="1117">
                  <c:v>5.6</c:v>
                </c:pt>
                <c:pt idx="1118">
                  <c:v>7</c:v>
                </c:pt>
                <c:pt idx="1119">
                  <c:v>4.8</c:v>
                </c:pt>
                <c:pt idx="1120">
                  <c:v>7.3</c:v>
                </c:pt>
                <c:pt idx="1121">
                  <c:v>6.2</c:v>
                </c:pt>
                <c:pt idx="1122">
                  <c:v>5.5</c:v>
                </c:pt>
                <c:pt idx="1123">
                  <c:v>7.5</c:v>
                </c:pt>
                <c:pt idx="1124">
                  <c:v>6.9</c:v>
                </c:pt>
                <c:pt idx="1125">
                  <c:v>4.9000000000000004</c:v>
                </c:pt>
                <c:pt idx="1126">
                  <c:v>7.1</c:v>
                </c:pt>
                <c:pt idx="1127">
                  <c:v>5.5</c:v>
                </c:pt>
                <c:pt idx="1128">
                  <c:v>5.8</c:v>
                </c:pt>
                <c:pt idx="1129">
                  <c:v>5.5</c:v>
                </c:pt>
                <c:pt idx="1130">
                  <c:v>6.4</c:v>
                </c:pt>
                <c:pt idx="1131">
                  <c:v>7.1</c:v>
                </c:pt>
                <c:pt idx="1132">
                  <c:v>6.3</c:v>
                </c:pt>
                <c:pt idx="1133">
                  <c:v>5.0999999999999996</c:v>
                </c:pt>
                <c:pt idx="1134">
                  <c:v>6.1</c:v>
                </c:pt>
                <c:pt idx="1135">
                  <c:v>5.5</c:v>
                </c:pt>
                <c:pt idx="1136">
                  <c:v>8.1</c:v>
                </c:pt>
                <c:pt idx="1137">
                  <c:v>5.6</c:v>
                </c:pt>
                <c:pt idx="1138">
                  <c:v>6.9</c:v>
                </c:pt>
                <c:pt idx="1139">
                  <c:v>5.8</c:v>
                </c:pt>
                <c:pt idx="1140">
                  <c:v>6.9</c:v>
                </c:pt>
                <c:pt idx="1141">
                  <c:v>5.2</c:v>
                </c:pt>
                <c:pt idx="1142">
                  <c:v>5.8</c:v>
                </c:pt>
                <c:pt idx="1143">
                  <c:v>5.0999999999999996</c:v>
                </c:pt>
                <c:pt idx="1144">
                  <c:v>5.4</c:v>
                </c:pt>
                <c:pt idx="1145">
                  <c:v>6.2</c:v>
                </c:pt>
                <c:pt idx="1146">
                  <c:v>6.8</c:v>
                </c:pt>
                <c:pt idx="1147">
                  <c:v>6.7</c:v>
                </c:pt>
                <c:pt idx="1148">
                  <c:v>7.8</c:v>
                </c:pt>
                <c:pt idx="1149">
                  <c:v>6</c:v>
                </c:pt>
                <c:pt idx="1150">
                  <c:v>6.5</c:v>
                </c:pt>
                <c:pt idx="1151">
                  <c:v>7.3</c:v>
                </c:pt>
                <c:pt idx="1152">
                  <c:v>6.5</c:v>
                </c:pt>
                <c:pt idx="1153">
                  <c:v>4.3</c:v>
                </c:pt>
                <c:pt idx="1154">
                  <c:v>6.9</c:v>
                </c:pt>
                <c:pt idx="1155">
                  <c:v>5.8</c:v>
                </c:pt>
                <c:pt idx="1156">
                  <c:v>6.2</c:v>
                </c:pt>
                <c:pt idx="1157">
                  <c:v>6.1</c:v>
                </c:pt>
                <c:pt idx="1158">
                  <c:v>5.6</c:v>
                </c:pt>
                <c:pt idx="1159">
                  <c:v>6</c:v>
                </c:pt>
                <c:pt idx="1160">
                  <c:v>5.0999999999999996</c:v>
                </c:pt>
                <c:pt idx="1161">
                  <c:v>6.5</c:v>
                </c:pt>
                <c:pt idx="1162">
                  <c:v>7.7</c:v>
                </c:pt>
                <c:pt idx="1163">
                  <c:v>7.4</c:v>
                </c:pt>
                <c:pt idx="1164">
                  <c:v>6.4</c:v>
                </c:pt>
                <c:pt idx="1165">
                  <c:v>5.9</c:v>
                </c:pt>
                <c:pt idx="1166">
                  <c:v>5.8</c:v>
                </c:pt>
                <c:pt idx="1167">
                  <c:v>7.3</c:v>
                </c:pt>
                <c:pt idx="1168">
                  <c:v>7.2</c:v>
                </c:pt>
                <c:pt idx="1169">
                  <c:v>6.2</c:v>
                </c:pt>
                <c:pt idx="1170">
                  <c:v>4.4000000000000004</c:v>
                </c:pt>
                <c:pt idx="1171">
                  <c:v>6.8</c:v>
                </c:pt>
                <c:pt idx="1172">
                  <c:v>5.8</c:v>
                </c:pt>
                <c:pt idx="1173">
                  <c:v>6.8</c:v>
                </c:pt>
                <c:pt idx="1174">
                  <c:v>6.4</c:v>
                </c:pt>
                <c:pt idx="1175">
                  <c:v>6.8</c:v>
                </c:pt>
                <c:pt idx="1176">
                  <c:v>6.4</c:v>
                </c:pt>
                <c:pt idx="1177">
                  <c:v>4.7</c:v>
                </c:pt>
                <c:pt idx="1178">
                  <c:v>6.2</c:v>
                </c:pt>
                <c:pt idx="1179">
                  <c:v>6.5</c:v>
                </c:pt>
                <c:pt idx="1180">
                  <c:v>5.4</c:v>
                </c:pt>
                <c:pt idx="1181">
                  <c:v>5.7</c:v>
                </c:pt>
                <c:pt idx="1182">
                  <c:v>5.3</c:v>
                </c:pt>
                <c:pt idx="1183">
                  <c:v>7.3</c:v>
                </c:pt>
                <c:pt idx="1184">
                  <c:v>4.4000000000000004</c:v>
                </c:pt>
                <c:pt idx="1185">
                  <c:v>6.4</c:v>
                </c:pt>
                <c:pt idx="1186">
                  <c:v>8</c:v>
                </c:pt>
                <c:pt idx="1187">
                  <c:v>7.2</c:v>
                </c:pt>
                <c:pt idx="1188">
                  <c:v>4.8</c:v>
                </c:pt>
                <c:pt idx="1189">
                  <c:v>6.3</c:v>
                </c:pt>
                <c:pt idx="1190">
                  <c:v>6.1</c:v>
                </c:pt>
                <c:pt idx="1191">
                  <c:v>5.5</c:v>
                </c:pt>
                <c:pt idx="1192">
                  <c:v>6.2</c:v>
                </c:pt>
                <c:pt idx="1193">
                  <c:v>7.1</c:v>
                </c:pt>
                <c:pt idx="1194">
                  <c:v>6</c:v>
                </c:pt>
                <c:pt idx="1195">
                  <c:v>6.7</c:v>
                </c:pt>
                <c:pt idx="1196">
                  <c:v>7</c:v>
                </c:pt>
                <c:pt idx="1197">
                  <c:v>7</c:v>
                </c:pt>
                <c:pt idx="1198">
                  <c:v>6</c:v>
                </c:pt>
                <c:pt idx="1199">
                  <c:v>6.5</c:v>
                </c:pt>
                <c:pt idx="1200">
                  <c:v>6.6</c:v>
                </c:pt>
                <c:pt idx="1201">
                  <c:v>8</c:v>
                </c:pt>
                <c:pt idx="1202">
                  <c:v>5.5</c:v>
                </c:pt>
                <c:pt idx="1203">
                  <c:v>7.3</c:v>
                </c:pt>
                <c:pt idx="1204">
                  <c:v>7.1</c:v>
                </c:pt>
                <c:pt idx="1205">
                  <c:v>7.6</c:v>
                </c:pt>
                <c:pt idx="1206">
                  <c:v>6.4</c:v>
                </c:pt>
                <c:pt idx="1207">
                  <c:v>6.7</c:v>
                </c:pt>
                <c:pt idx="1208">
                  <c:v>6.9</c:v>
                </c:pt>
                <c:pt idx="1209">
                  <c:v>4.9000000000000004</c:v>
                </c:pt>
                <c:pt idx="1210">
                  <c:v>7.8</c:v>
                </c:pt>
                <c:pt idx="1211">
                  <c:v>6.3</c:v>
                </c:pt>
                <c:pt idx="1212">
                  <c:v>7.7</c:v>
                </c:pt>
                <c:pt idx="1213">
                  <c:v>5.8</c:v>
                </c:pt>
                <c:pt idx="1214">
                  <c:v>5.8</c:v>
                </c:pt>
                <c:pt idx="1215">
                  <c:v>6.9</c:v>
                </c:pt>
                <c:pt idx="1216">
                  <c:v>5.0999999999999996</c:v>
                </c:pt>
                <c:pt idx="1217">
                  <c:v>6.9</c:v>
                </c:pt>
                <c:pt idx="1218">
                  <c:v>6.6</c:v>
                </c:pt>
                <c:pt idx="1219">
                  <c:v>4.9000000000000004</c:v>
                </c:pt>
                <c:pt idx="1220">
                  <c:v>6.3</c:v>
                </c:pt>
                <c:pt idx="1221">
                  <c:v>5.6</c:v>
                </c:pt>
                <c:pt idx="1222">
                  <c:v>5.8</c:v>
                </c:pt>
                <c:pt idx="1223">
                  <c:v>7.2</c:v>
                </c:pt>
                <c:pt idx="1224">
                  <c:v>7.2</c:v>
                </c:pt>
                <c:pt idx="1225">
                  <c:v>7.6</c:v>
                </c:pt>
                <c:pt idx="1226">
                  <c:v>7.3</c:v>
                </c:pt>
                <c:pt idx="1227">
                  <c:v>6.8</c:v>
                </c:pt>
                <c:pt idx="1228">
                  <c:v>5.7</c:v>
                </c:pt>
                <c:pt idx="1229">
                  <c:v>4.0999999999999996</c:v>
                </c:pt>
                <c:pt idx="1230">
                  <c:v>7.3</c:v>
                </c:pt>
                <c:pt idx="1231">
                  <c:v>6.1</c:v>
                </c:pt>
                <c:pt idx="1232">
                  <c:v>6.4</c:v>
                </c:pt>
                <c:pt idx="1233">
                  <c:v>7.5</c:v>
                </c:pt>
                <c:pt idx="1234">
                  <c:v>8.1</c:v>
                </c:pt>
                <c:pt idx="1235">
                  <c:v>7.1</c:v>
                </c:pt>
                <c:pt idx="1236">
                  <c:v>6.1</c:v>
                </c:pt>
                <c:pt idx="1237">
                  <c:v>7.1</c:v>
                </c:pt>
                <c:pt idx="1238">
                  <c:v>6.9</c:v>
                </c:pt>
                <c:pt idx="1239">
                  <c:v>7.1</c:v>
                </c:pt>
                <c:pt idx="1240">
                  <c:v>6.1</c:v>
                </c:pt>
                <c:pt idx="1241">
                  <c:v>6.9</c:v>
                </c:pt>
                <c:pt idx="1242">
                  <c:v>4.8</c:v>
                </c:pt>
                <c:pt idx="1243">
                  <c:v>7.1</c:v>
                </c:pt>
                <c:pt idx="1244">
                  <c:v>8.1</c:v>
                </c:pt>
                <c:pt idx="1245">
                  <c:v>5.4</c:v>
                </c:pt>
                <c:pt idx="1246">
                  <c:v>6.2</c:v>
                </c:pt>
                <c:pt idx="1247">
                  <c:v>7.6</c:v>
                </c:pt>
                <c:pt idx="1248">
                  <c:v>6.4</c:v>
                </c:pt>
                <c:pt idx="1249">
                  <c:v>6.3</c:v>
                </c:pt>
                <c:pt idx="1250">
                  <c:v>6</c:v>
                </c:pt>
                <c:pt idx="1251">
                  <c:v>7.7</c:v>
                </c:pt>
                <c:pt idx="1252">
                  <c:v>7.8</c:v>
                </c:pt>
                <c:pt idx="1253">
                  <c:v>6.6</c:v>
                </c:pt>
                <c:pt idx="1254">
                  <c:v>7.6</c:v>
                </c:pt>
                <c:pt idx="1255">
                  <c:v>7.2</c:v>
                </c:pt>
                <c:pt idx="1256">
                  <c:v>5.4</c:v>
                </c:pt>
                <c:pt idx="1257">
                  <c:v>7.1</c:v>
                </c:pt>
                <c:pt idx="1258">
                  <c:v>6.4</c:v>
                </c:pt>
                <c:pt idx="1259">
                  <c:v>6.9</c:v>
                </c:pt>
                <c:pt idx="1260">
                  <c:v>7.8</c:v>
                </c:pt>
                <c:pt idx="1261">
                  <c:v>6.2</c:v>
                </c:pt>
                <c:pt idx="1262">
                  <c:v>5.2</c:v>
                </c:pt>
                <c:pt idx="1263">
                  <c:v>6.1</c:v>
                </c:pt>
                <c:pt idx="1264">
                  <c:v>6.6</c:v>
                </c:pt>
                <c:pt idx="1265">
                  <c:v>6.8</c:v>
                </c:pt>
                <c:pt idx="1266">
                  <c:v>6.6</c:v>
                </c:pt>
                <c:pt idx="1267">
                  <c:v>6.6</c:v>
                </c:pt>
                <c:pt idx="1268">
                  <c:v>6.7</c:v>
                </c:pt>
                <c:pt idx="1269">
                  <c:v>6.8</c:v>
                </c:pt>
                <c:pt idx="1270">
                  <c:v>7.4</c:v>
                </c:pt>
                <c:pt idx="1271">
                  <c:v>6.7</c:v>
                </c:pt>
                <c:pt idx="1272">
                  <c:v>6.4</c:v>
                </c:pt>
                <c:pt idx="1273">
                  <c:v>6.7</c:v>
                </c:pt>
                <c:pt idx="1274">
                  <c:v>6.5</c:v>
                </c:pt>
                <c:pt idx="1275">
                  <c:v>5.6</c:v>
                </c:pt>
                <c:pt idx="1276">
                  <c:v>7.8</c:v>
                </c:pt>
                <c:pt idx="1277">
                  <c:v>6.3</c:v>
                </c:pt>
                <c:pt idx="1278">
                  <c:v>6.8</c:v>
                </c:pt>
                <c:pt idx="1279">
                  <c:v>7.1</c:v>
                </c:pt>
                <c:pt idx="1280">
                  <c:v>5.9</c:v>
                </c:pt>
                <c:pt idx="1281">
                  <c:v>5.9</c:v>
                </c:pt>
                <c:pt idx="1282">
                  <c:v>8</c:v>
                </c:pt>
                <c:pt idx="1283">
                  <c:v>5.6</c:v>
                </c:pt>
                <c:pt idx="1284">
                  <c:v>6.2</c:v>
                </c:pt>
                <c:pt idx="1285">
                  <c:v>7.3</c:v>
                </c:pt>
                <c:pt idx="1286">
                  <c:v>7.2</c:v>
                </c:pt>
                <c:pt idx="1287">
                  <c:v>6.6</c:v>
                </c:pt>
                <c:pt idx="1288">
                  <c:v>7</c:v>
                </c:pt>
                <c:pt idx="1289">
                  <c:v>7.5</c:v>
                </c:pt>
                <c:pt idx="1290">
                  <c:v>7</c:v>
                </c:pt>
                <c:pt idx="1291">
                  <c:v>8.1</c:v>
                </c:pt>
                <c:pt idx="1292">
                  <c:v>6.4</c:v>
                </c:pt>
                <c:pt idx="1293">
                  <c:v>7.6</c:v>
                </c:pt>
                <c:pt idx="1294">
                  <c:v>7</c:v>
                </c:pt>
                <c:pt idx="1295">
                  <c:v>5.9</c:v>
                </c:pt>
                <c:pt idx="1296">
                  <c:v>7.2</c:v>
                </c:pt>
                <c:pt idx="1297">
                  <c:v>5.8</c:v>
                </c:pt>
                <c:pt idx="1298">
                  <c:v>6.3</c:v>
                </c:pt>
                <c:pt idx="1299">
                  <c:v>5.7</c:v>
                </c:pt>
                <c:pt idx="1300">
                  <c:v>6.5</c:v>
                </c:pt>
                <c:pt idx="1301">
                  <c:v>8.3000000000000007</c:v>
                </c:pt>
                <c:pt idx="1302">
                  <c:v>7.4</c:v>
                </c:pt>
                <c:pt idx="1303">
                  <c:v>6.2</c:v>
                </c:pt>
                <c:pt idx="1304">
                  <c:v>7.3</c:v>
                </c:pt>
                <c:pt idx="1305">
                  <c:v>7.1</c:v>
                </c:pt>
                <c:pt idx="1306">
                  <c:v>6.6</c:v>
                </c:pt>
                <c:pt idx="1307">
                  <c:v>6.4</c:v>
                </c:pt>
                <c:pt idx="1308">
                  <c:v>7.1</c:v>
                </c:pt>
                <c:pt idx="1309">
                  <c:v>7.1</c:v>
                </c:pt>
                <c:pt idx="1310">
                  <c:v>6.9</c:v>
                </c:pt>
                <c:pt idx="1311">
                  <c:v>6.5</c:v>
                </c:pt>
                <c:pt idx="1312">
                  <c:v>5.3</c:v>
                </c:pt>
                <c:pt idx="1313">
                  <c:v>6.3</c:v>
                </c:pt>
                <c:pt idx="1314">
                  <c:v>6.1</c:v>
                </c:pt>
                <c:pt idx="1315">
                  <c:v>5.9</c:v>
                </c:pt>
                <c:pt idx="1316">
                  <c:v>7.2</c:v>
                </c:pt>
                <c:pt idx="1317">
                  <c:v>5.7</c:v>
                </c:pt>
                <c:pt idx="1318">
                  <c:v>6.6</c:v>
                </c:pt>
                <c:pt idx="1319">
                  <c:v>6.8</c:v>
                </c:pt>
                <c:pt idx="1320">
                  <c:v>6.1</c:v>
                </c:pt>
                <c:pt idx="1321">
                  <c:v>7.4</c:v>
                </c:pt>
                <c:pt idx="1322">
                  <c:v>7.4</c:v>
                </c:pt>
                <c:pt idx="1323">
                  <c:v>6</c:v>
                </c:pt>
                <c:pt idx="1324">
                  <c:v>6.6</c:v>
                </c:pt>
                <c:pt idx="1325">
                  <c:v>7.3</c:v>
                </c:pt>
                <c:pt idx="1326">
                  <c:v>6.6</c:v>
                </c:pt>
                <c:pt idx="1327">
                  <c:v>6.1</c:v>
                </c:pt>
                <c:pt idx="1328">
                  <c:v>7.5</c:v>
                </c:pt>
                <c:pt idx="1329">
                  <c:v>5.8</c:v>
                </c:pt>
                <c:pt idx="1330">
                  <c:v>5.0999999999999996</c:v>
                </c:pt>
                <c:pt idx="1331">
                  <c:v>7.8</c:v>
                </c:pt>
                <c:pt idx="1332">
                  <c:v>7.7</c:v>
                </c:pt>
                <c:pt idx="1333">
                  <c:v>6.3</c:v>
                </c:pt>
                <c:pt idx="1334">
                  <c:v>7.1</c:v>
                </c:pt>
                <c:pt idx="1335">
                  <c:v>6.6</c:v>
                </c:pt>
                <c:pt idx="1336">
                  <c:v>6.7</c:v>
                </c:pt>
                <c:pt idx="1337">
                  <c:v>6.7</c:v>
                </c:pt>
                <c:pt idx="1338">
                  <c:v>5.5</c:v>
                </c:pt>
                <c:pt idx="1339">
                  <c:v>5.2</c:v>
                </c:pt>
                <c:pt idx="1340">
                  <c:v>5.4</c:v>
                </c:pt>
                <c:pt idx="1341">
                  <c:v>6.7</c:v>
                </c:pt>
                <c:pt idx="1342">
                  <c:v>7.3</c:v>
                </c:pt>
                <c:pt idx="1343">
                  <c:v>5.9</c:v>
                </c:pt>
                <c:pt idx="1344">
                  <c:v>6.4</c:v>
                </c:pt>
                <c:pt idx="1345">
                  <c:v>6.1</c:v>
                </c:pt>
                <c:pt idx="1346">
                  <c:v>6.8</c:v>
                </c:pt>
                <c:pt idx="1347">
                  <c:v>7.6</c:v>
                </c:pt>
                <c:pt idx="1348">
                  <c:v>6.3</c:v>
                </c:pt>
                <c:pt idx="1349">
                  <c:v>6.7</c:v>
                </c:pt>
                <c:pt idx="1350">
                  <c:v>6.4</c:v>
                </c:pt>
                <c:pt idx="1351">
                  <c:v>6.7</c:v>
                </c:pt>
                <c:pt idx="1352">
                  <c:v>7.7</c:v>
                </c:pt>
                <c:pt idx="1353">
                  <c:v>6.7</c:v>
                </c:pt>
                <c:pt idx="1354">
                  <c:v>7.2</c:v>
                </c:pt>
                <c:pt idx="1355">
                  <c:v>7.3</c:v>
                </c:pt>
                <c:pt idx="1356">
                  <c:v>7</c:v>
                </c:pt>
                <c:pt idx="1357">
                  <c:v>6</c:v>
                </c:pt>
                <c:pt idx="1358">
                  <c:v>7</c:v>
                </c:pt>
                <c:pt idx="1359">
                  <c:v>6.1</c:v>
                </c:pt>
                <c:pt idx="1360">
                  <c:v>4.0999999999999996</c:v>
                </c:pt>
                <c:pt idx="1361">
                  <c:v>4.9000000000000004</c:v>
                </c:pt>
                <c:pt idx="1362">
                  <c:v>6.1</c:v>
                </c:pt>
                <c:pt idx="1363">
                  <c:v>6.2</c:v>
                </c:pt>
                <c:pt idx="1364">
                  <c:v>7</c:v>
                </c:pt>
                <c:pt idx="1365">
                  <c:v>6.6</c:v>
                </c:pt>
                <c:pt idx="1366">
                  <c:v>7.4</c:v>
                </c:pt>
                <c:pt idx="1367">
                  <c:v>6.1</c:v>
                </c:pt>
                <c:pt idx="1368">
                  <c:v>5.6</c:v>
                </c:pt>
                <c:pt idx="1369">
                  <c:v>5.8</c:v>
                </c:pt>
                <c:pt idx="1370">
                  <c:v>7</c:v>
                </c:pt>
                <c:pt idx="1371">
                  <c:v>6.1</c:v>
                </c:pt>
                <c:pt idx="1372">
                  <c:v>6.3</c:v>
                </c:pt>
                <c:pt idx="1373">
                  <c:v>5.5</c:v>
                </c:pt>
                <c:pt idx="1374">
                  <c:v>6.1</c:v>
                </c:pt>
                <c:pt idx="1375">
                  <c:v>5.0999999999999996</c:v>
                </c:pt>
                <c:pt idx="1376">
                  <c:v>7.4</c:v>
                </c:pt>
                <c:pt idx="1377">
                  <c:v>6.2</c:v>
                </c:pt>
                <c:pt idx="1378">
                  <c:v>6.3</c:v>
                </c:pt>
                <c:pt idx="1379">
                  <c:v>6.1</c:v>
                </c:pt>
                <c:pt idx="1380">
                  <c:v>6.8</c:v>
                </c:pt>
                <c:pt idx="1381">
                  <c:v>6.5</c:v>
                </c:pt>
                <c:pt idx="1382">
                  <c:v>5.4</c:v>
                </c:pt>
                <c:pt idx="1383">
                  <c:v>7.6</c:v>
                </c:pt>
                <c:pt idx="1384">
                  <c:v>6.4</c:v>
                </c:pt>
                <c:pt idx="1385">
                  <c:v>7.4</c:v>
                </c:pt>
                <c:pt idx="1386">
                  <c:v>5.8</c:v>
                </c:pt>
                <c:pt idx="1387">
                  <c:v>6.1</c:v>
                </c:pt>
                <c:pt idx="1388">
                  <c:v>6.5</c:v>
                </c:pt>
                <c:pt idx="1389">
                  <c:v>6.6</c:v>
                </c:pt>
                <c:pt idx="1390">
                  <c:v>6.5</c:v>
                </c:pt>
                <c:pt idx="1391">
                  <c:v>6.5</c:v>
                </c:pt>
                <c:pt idx="1392">
                  <c:v>6.1</c:v>
                </c:pt>
                <c:pt idx="1393">
                  <c:v>7.1</c:v>
                </c:pt>
                <c:pt idx="1394">
                  <c:v>7.6</c:v>
                </c:pt>
                <c:pt idx="1395">
                  <c:v>8.1</c:v>
                </c:pt>
                <c:pt idx="1396">
                  <c:v>6.1</c:v>
                </c:pt>
                <c:pt idx="1397">
                  <c:v>6.3</c:v>
                </c:pt>
                <c:pt idx="1398">
                  <c:v>6.6</c:v>
                </c:pt>
                <c:pt idx="1399">
                  <c:v>6.9</c:v>
                </c:pt>
                <c:pt idx="1400">
                  <c:v>6.7</c:v>
                </c:pt>
                <c:pt idx="1401">
                  <c:v>7.7</c:v>
                </c:pt>
                <c:pt idx="1402">
                  <c:v>6.3</c:v>
                </c:pt>
                <c:pt idx="1403">
                  <c:v>6</c:v>
                </c:pt>
                <c:pt idx="1404">
                  <c:v>5.6</c:v>
                </c:pt>
                <c:pt idx="1405">
                  <c:v>7.5</c:v>
                </c:pt>
                <c:pt idx="1406">
                  <c:v>7</c:v>
                </c:pt>
                <c:pt idx="1407">
                  <c:v>5.2</c:v>
                </c:pt>
                <c:pt idx="1408">
                  <c:v>5.3</c:v>
                </c:pt>
                <c:pt idx="1409">
                  <c:v>7.2</c:v>
                </c:pt>
                <c:pt idx="1410">
                  <c:v>6.1</c:v>
                </c:pt>
                <c:pt idx="1411">
                  <c:v>7.2</c:v>
                </c:pt>
                <c:pt idx="1412">
                  <c:v>5.6</c:v>
                </c:pt>
                <c:pt idx="1413">
                  <c:v>6.6</c:v>
                </c:pt>
                <c:pt idx="1414">
                  <c:v>7.5</c:v>
                </c:pt>
                <c:pt idx="1415">
                  <c:v>6.3</c:v>
                </c:pt>
                <c:pt idx="1416">
                  <c:v>6</c:v>
                </c:pt>
                <c:pt idx="1417">
                  <c:v>5.5</c:v>
                </c:pt>
                <c:pt idx="1418">
                  <c:v>6.1</c:v>
                </c:pt>
                <c:pt idx="1419">
                  <c:v>7.4</c:v>
                </c:pt>
                <c:pt idx="1420">
                  <c:v>4.8</c:v>
                </c:pt>
                <c:pt idx="1421">
                  <c:v>7.1</c:v>
                </c:pt>
                <c:pt idx="1422">
                  <c:v>4.3</c:v>
                </c:pt>
                <c:pt idx="1423">
                  <c:v>5.3</c:v>
                </c:pt>
                <c:pt idx="1424">
                  <c:v>5.2</c:v>
                </c:pt>
                <c:pt idx="1425">
                  <c:v>8</c:v>
                </c:pt>
                <c:pt idx="1426">
                  <c:v>5.8</c:v>
                </c:pt>
                <c:pt idx="1427">
                  <c:v>4.4000000000000004</c:v>
                </c:pt>
                <c:pt idx="1428">
                  <c:v>6.3</c:v>
                </c:pt>
                <c:pt idx="1429">
                  <c:v>6.4</c:v>
                </c:pt>
                <c:pt idx="1430">
                  <c:v>5.9</c:v>
                </c:pt>
                <c:pt idx="1431">
                  <c:v>5.4</c:v>
                </c:pt>
                <c:pt idx="1432">
                  <c:v>4.5999999999999996</c:v>
                </c:pt>
                <c:pt idx="1433">
                  <c:v>6.7</c:v>
                </c:pt>
                <c:pt idx="1434">
                  <c:v>6.5</c:v>
                </c:pt>
                <c:pt idx="1435">
                  <c:v>6.3</c:v>
                </c:pt>
                <c:pt idx="1436">
                  <c:v>5.4</c:v>
                </c:pt>
                <c:pt idx="1437">
                  <c:v>6.3</c:v>
                </c:pt>
                <c:pt idx="1438">
                  <c:v>5.7</c:v>
                </c:pt>
                <c:pt idx="1439">
                  <c:v>4.4000000000000004</c:v>
                </c:pt>
                <c:pt idx="1440">
                  <c:v>7.1</c:v>
                </c:pt>
                <c:pt idx="1441">
                  <c:v>7.2</c:v>
                </c:pt>
                <c:pt idx="1442">
                  <c:v>5.9</c:v>
                </c:pt>
                <c:pt idx="1443">
                  <c:v>6.6</c:v>
                </c:pt>
                <c:pt idx="1444">
                  <c:v>5.7</c:v>
                </c:pt>
                <c:pt idx="1445">
                  <c:v>6.3</c:v>
                </c:pt>
                <c:pt idx="1446">
                  <c:v>5.4</c:v>
                </c:pt>
                <c:pt idx="1447">
                  <c:v>6.4</c:v>
                </c:pt>
                <c:pt idx="1448">
                  <c:v>6.5</c:v>
                </c:pt>
                <c:pt idx="1449">
                  <c:v>7.4</c:v>
                </c:pt>
                <c:pt idx="1450">
                  <c:v>6</c:v>
                </c:pt>
                <c:pt idx="1451">
                  <c:v>6.9</c:v>
                </c:pt>
                <c:pt idx="1452">
                  <c:v>6.2</c:v>
                </c:pt>
                <c:pt idx="1453">
                  <c:v>6.7</c:v>
                </c:pt>
                <c:pt idx="1454">
                  <c:v>5.6</c:v>
                </c:pt>
                <c:pt idx="1455">
                  <c:v>4.9000000000000004</c:v>
                </c:pt>
                <c:pt idx="1456">
                  <c:v>6.6</c:v>
                </c:pt>
                <c:pt idx="1457">
                  <c:v>5.8</c:v>
                </c:pt>
                <c:pt idx="1458">
                  <c:v>5.2</c:v>
                </c:pt>
                <c:pt idx="1459">
                  <c:v>5.2</c:v>
                </c:pt>
                <c:pt idx="1460">
                  <c:v>6.7</c:v>
                </c:pt>
                <c:pt idx="1461">
                  <c:v>6.7</c:v>
                </c:pt>
                <c:pt idx="1462">
                  <c:v>6.5</c:v>
                </c:pt>
                <c:pt idx="1463">
                  <c:v>6.1</c:v>
                </c:pt>
                <c:pt idx="1464">
                  <c:v>7.1</c:v>
                </c:pt>
                <c:pt idx="1465">
                  <c:v>6.1</c:v>
                </c:pt>
                <c:pt idx="1466">
                  <c:v>6.3</c:v>
                </c:pt>
                <c:pt idx="1467">
                  <c:v>5.5</c:v>
                </c:pt>
                <c:pt idx="1468">
                  <c:v>6.5</c:v>
                </c:pt>
                <c:pt idx="1469">
                  <c:v>4.9000000000000004</c:v>
                </c:pt>
                <c:pt idx="1470">
                  <c:v>6.2</c:v>
                </c:pt>
                <c:pt idx="1471">
                  <c:v>7.3</c:v>
                </c:pt>
                <c:pt idx="1472">
                  <c:v>6.4</c:v>
                </c:pt>
                <c:pt idx="1473">
                  <c:v>5.7</c:v>
                </c:pt>
                <c:pt idx="1474">
                  <c:v>4.9000000000000004</c:v>
                </c:pt>
                <c:pt idx="1475">
                  <c:v>7.4</c:v>
                </c:pt>
                <c:pt idx="1476">
                  <c:v>6.9</c:v>
                </c:pt>
                <c:pt idx="1477">
                  <c:v>6.1</c:v>
                </c:pt>
                <c:pt idx="1478">
                  <c:v>6.2</c:v>
                </c:pt>
                <c:pt idx="1479">
                  <c:v>6</c:v>
                </c:pt>
                <c:pt idx="1480">
                  <c:v>6.3</c:v>
                </c:pt>
                <c:pt idx="1481">
                  <c:v>7.8</c:v>
                </c:pt>
                <c:pt idx="1482">
                  <c:v>6.4</c:v>
                </c:pt>
                <c:pt idx="1483">
                  <c:v>6.4</c:v>
                </c:pt>
                <c:pt idx="1484">
                  <c:v>6.7</c:v>
                </c:pt>
                <c:pt idx="1485">
                  <c:v>6</c:v>
                </c:pt>
                <c:pt idx="1486">
                  <c:v>5.7</c:v>
                </c:pt>
                <c:pt idx="1487">
                  <c:v>5.8</c:v>
                </c:pt>
                <c:pt idx="1488">
                  <c:v>7.6</c:v>
                </c:pt>
                <c:pt idx="1489">
                  <c:v>6.3</c:v>
                </c:pt>
                <c:pt idx="1490">
                  <c:v>6.8</c:v>
                </c:pt>
                <c:pt idx="1491">
                  <c:v>6.2</c:v>
                </c:pt>
                <c:pt idx="1492">
                  <c:v>6.6</c:v>
                </c:pt>
                <c:pt idx="1493">
                  <c:v>7.8</c:v>
                </c:pt>
                <c:pt idx="1494">
                  <c:v>6.8</c:v>
                </c:pt>
                <c:pt idx="1495">
                  <c:v>5.8</c:v>
                </c:pt>
                <c:pt idx="1496">
                  <c:v>7</c:v>
                </c:pt>
                <c:pt idx="1497">
                  <c:v>6.1</c:v>
                </c:pt>
                <c:pt idx="1498">
                  <c:v>7.6</c:v>
                </c:pt>
                <c:pt idx="1499">
                  <c:v>7.2</c:v>
                </c:pt>
                <c:pt idx="1500">
                  <c:v>6.6</c:v>
                </c:pt>
                <c:pt idx="1501">
                  <c:v>5.5</c:v>
                </c:pt>
                <c:pt idx="1502">
                  <c:v>5.4</c:v>
                </c:pt>
                <c:pt idx="1503">
                  <c:v>7.3</c:v>
                </c:pt>
                <c:pt idx="1504">
                  <c:v>6.1</c:v>
                </c:pt>
                <c:pt idx="1505">
                  <c:v>7.6</c:v>
                </c:pt>
                <c:pt idx="1506">
                  <c:v>6.7</c:v>
                </c:pt>
                <c:pt idx="1507">
                  <c:v>7.8</c:v>
                </c:pt>
                <c:pt idx="1508">
                  <c:v>5.4</c:v>
                </c:pt>
                <c:pt idx="1509">
                  <c:v>5.7</c:v>
                </c:pt>
                <c:pt idx="1510">
                  <c:v>4.8</c:v>
                </c:pt>
                <c:pt idx="1511">
                  <c:v>7.4</c:v>
                </c:pt>
                <c:pt idx="1512">
                  <c:v>6.7</c:v>
                </c:pt>
                <c:pt idx="1513">
                  <c:v>6.4</c:v>
                </c:pt>
                <c:pt idx="1514">
                  <c:v>6.9</c:v>
                </c:pt>
                <c:pt idx="1515">
                  <c:v>7.4</c:v>
                </c:pt>
                <c:pt idx="1516">
                  <c:v>6.2</c:v>
                </c:pt>
                <c:pt idx="1517">
                  <c:v>7.2</c:v>
                </c:pt>
                <c:pt idx="1518">
                  <c:v>5.6</c:v>
                </c:pt>
                <c:pt idx="1519">
                  <c:v>7.3</c:v>
                </c:pt>
                <c:pt idx="1520">
                  <c:v>5.7</c:v>
                </c:pt>
                <c:pt idx="1521">
                  <c:v>6.2</c:v>
                </c:pt>
                <c:pt idx="1522">
                  <c:v>5.8</c:v>
                </c:pt>
                <c:pt idx="1523">
                  <c:v>7.4</c:v>
                </c:pt>
                <c:pt idx="1524">
                  <c:v>7.1</c:v>
                </c:pt>
                <c:pt idx="1525">
                  <c:v>6.3</c:v>
                </c:pt>
                <c:pt idx="1526">
                  <c:v>6.8</c:v>
                </c:pt>
                <c:pt idx="1527">
                  <c:v>6.5</c:v>
                </c:pt>
                <c:pt idx="1528">
                  <c:v>6.8</c:v>
                </c:pt>
                <c:pt idx="1529">
                  <c:v>5.6</c:v>
                </c:pt>
                <c:pt idx="1530">
                  <c:v>5.9</c:v>
                </c:pt>
                <c:pt idx="1531">
                  <c:v>6.9</c:v>
                </c:pt>
                <c:pt idx="1532">
                  <c:v>6.7</c:v>
                </c:pt>
                <c:pt idx="1533">
                  <c:v>7</c:v>
                </c:pt>
                <c:pt idx="1534">
                  <c:v>7.3</c:v>
                </c:pt>
                <c:pt idx="1535">
                  <c:v>6.8</c:v>
                </c:pt>
                <c:pt idx="1536">
                  <c:v>7.7</c:v>
                </c:pt>
                <c:pt idx="1537">
                  <c:v>6.5</c:v>
                </c:pt>
                <c:pt idx="1538">
                  <c:v>8</c:v>
                </c:pt>
                <c:pt idx="1539">
                  <c:v>7.4</c:v>
                </c:pt>
                <c:pt idx="1540">
                  <c:v>6.4</c:v>
                </c:pt>
                <c:pt idx="1541">
                  <c:v>6.1</c:v>
                </c:pt>
                <c:pt idx="1542">
                  <c:v>4.5999999999999996</c:v>
                </c:pt>
                <c:pt idx="1543">
                  <c:v>7.3</c:v>
                </c:pt>
                <c:pt idx="1544">
                  <c:v>6.9</c:v>
                </c:pt>
                <c:pt idx="1545">
                  <c:v>7.4</c:v>
                </c:pt>
                <c:pt idx="1546">
                  <c:v>7.9</c:v>
                </c:pt>
                <c:pt idx="1547">
                  <c:v>7.2</c:v>
                </c:pt>
                <c:pt idx="1548">
                  <c:v>6.5</c:v>
                </c:pt>
                <c:pt idx="1549">
                  <c:v>5.3</c:v>
                </c:pt>
                <c:pt idx="1550">
                  <c:v>8.1</c:v>
                </c:pt>
                <c:pt idx="1551">
                  <c:v>7.2</c:v>
                </c:pt>
                <c:pt idx="1552">
                  <c:v>7</c:v>
                </c:pt>
                <c:pt idx="1553">
                  <c:v>5.8</c:v>
                </c:pt>
                <c:pt idx="1554">
                  <c:v>5.3</c:v>
                </c:pt>
                <c:pt idx="1555">
                  <c:v>6.6</c:v>
                </c:pt>
                <c:pt idx="1556">
                  <c:v>6.5</c:v>
                </c:pt>
                <c:pt idx="1557">
                  <c:v>8.1</c:v>
                </c:pt>
                <c:pt idx="1558">
                  <c:v>7.1</c:v>
                </c:pt>
                <c:pt idx="1559">
                  <c:v>7.4</c:v>
                </c:pt>
                <c:pt idx="1560">
                  <c:v>5.4</c:v>
                </c:pt>
                <c:pt idx="1561">
                  <c:v>5.9</c:v>
                </c:pt>
                <c:pt idx="1562">
                  <c:v>6.7</c:v>
                </c:pt>
                <c:pt idx="1563">
                  <c:v>6.5</c:v>
                </c:pt>
                <c:pt idx="1564">
                  <c:v>7.8</c:v>
                </c:pt>
                <c:pt idx="1565">
                  <c:v>7.5</c:v>
                </c:pt>
                <c:pt idx="1566">
                  <c:v>6</c:v>
                </c:pt>
                <c:pt idx="1567">
                  <c:v>6.6</c:v>
                </c:pt>
                <c:pt idx="1568">
                  <c:v>6.3</c:v>
                </c:pt>
                <c:pt idx="1569">
                  <c:v>4.7</c:v>
                </c:pt>
                <c:pt idx="1570">
                  <c:v>7.6</c:v>
                </c:pt>
                <c:pt idx="1571">
                  <c:v>7.8</c:v>
                </c:pt>
                <c:pt idx="1572">
                  <c:v>5.7</c:v>
                </c:pt>
                <c:pt idx="1573">
                  <c:v>7.2</c:v>
                </c:pt>
                <c:pt idx="1574">
                  <c:v>7</c:v>
                </c:pt>
                <c:pt idx="1575">
                  <c:v>4.5</c:v>
                </c:pt>
                <c:pt idx="1576">
                  <c:v>7.5</c:v>
                </c:pt>
                <c:pt idx="1577">
                  <c:v>6.3</c:v>
                </c:pt>
                <c:pt idx="1578">
                  <c:v>7.3</c:v>
                </c:pt>
                <c:pt idx="1579">
                  <c:v>6.8</c:v>
                </c:pt>
                <c:pt idx="1580">
                  <c:v>6.8</c:v>
                </c:pt>
                <c:pt idx="1581">
                  <c:v>6.6</c:v>
                </c:pt>
                <c:pt idx="1582">
                  <c:v>6.1</c:v>
                </c:pt>
                <c:pt idx="1583">
                  <c:v>6.1</c:v>
                </c:pt>
                <c:pt idx="1584">
                  <c:v>6.8</c:v>
                </c:pt>
                <c:pt idx="1585">
                  <c:v>6.2</c:v>
                </c:pt>
                <c:pt idx="1586">
                  <c:v>7</c:v>
                </c:pt>
                <c:pt idx="1587">
                  <c:v>7.3</c:v>
                </c:pt>
                <c:pt idx="1588">
                  <c:v>7.2</c:v>
                </c:pt>
                <c:pt idx="1589">
                  <c:v>6.3</c:v>
                </c:pt>
                <c:pt idx="1590">
                  <c:v>5.9</c:v>
                </c:pt>
                <c:pt idx="1591">
                  <c:v>7.5</c:v>
                </c:pt>
                <c:pt idx="1592">
                  <c:v>8</c:v>
                </c:pt>
                <c:pt idx="1593">
                  <c:v>6.7</c:v>
                </c:pt>
                <c:pt idx="1594">
                  <c:v>7.2</c:v>
                </c:pt>
                <c:pt idx="1595">
                  <c:v>5.4</c:v>
                </c:pt>
                <c:pt idx="1596">
                  <c:v>7.1</c:v>
                </c:pt>
                <c:pt idx="1597">
                  <c:v>6.1</c:v>
                </c:pt>
                <c:pt idx="1598">
                  <c:v>6.3</c:v>
                </c:pt>
                <c:pt idx="1599">
                  <c:v>7.4</c:v>
                </c:pt>
                <c:pt idx="1600">
                  <c:v>6.7</c:v>
                </c:pt>
                <c:pt idx="1601">
                  <c:v>7.4</c:v>
                </c:pt>
                <c:pt idx="1602">
                  <c:v>6.8</c:v>
                </c:pt>
                <c:pt idx="1603">
                  <c:v>7.9</c:v>
                </c:pt>
                <c:pt idx="1604">
                  <c:v>5.6</c:v>
                </c:pt>
                <c:pt idx="1605">
                  <c:v>7.4</c:v>
                </c:pt>
                <c:pt idx="1606">
                  <c:v>6.4</c:v>
                </c:pt>
                <c:pt idx="1607">
                  <c:v>7.5</c:v>
                </c:pt>
                <c:pt idx="1608">
                  <c:v>5.8</c:v>
                </c:pt>
                <c:pt idx="1609">
                  <c:v>6.9</c:v>
                </c:pt>
                <c:pt idx="1610">
                  <c:v>7.7</c:v>
                </c:pt>
                <c:pt idx="1611">
                  <c:v>7.3</c:v>
                </c:pt>
                <c:pt idx="1612">
                  <c:v>5.7</c:v>
                </c:pt>
                <c:pt idx="1613">
                  <c:v>6.4</c:v>
                </c:pt>
                <c:pt idx="1614">
                  <c:v>6.8</c:v>
                </c:pt>
                <c:pt idx="1615">
                  <c:v>5.3</c:v>
                </c:pt>
                <c:pt idx="1616">
                  <c:v>7.2</c:v>
                </c:pt>
                <c:pt idx="1617">
                  <c:v>7.1</c:v>
                </c:pt>
                <c:pt idx="1618">
                  <c:v>7</c:v>
                </c:pt>
                <c:pt idx="1619">
                  <c:v>7.8</c:v>
                </c:pt>
                <c:pt idx="1620">
                  <c:v>5.3</c:v>
                </c:pt>
                <c:pt idx="1621">
                  <c:v>7.8</c:v>
                </c:pt>
                <c:pt idx="1622">
                  <c:v>6.7</c:v>
                </c:pt>
                <c:pt idx="1623">
                  <c:v>7.6</c:v>
                </c:pt>
                <c:pt idx="1624">
                  <c:v>8.1999999999999993</c:v>
                </c:pt>
                <c:pt idx="1625">
                  <c:v>5.8</c:v>
                </c:pt>
                <c:pt idx="1626">
                  <c:v>5.8</c:v>
                </c:pt>
                <c:pt idx="1627">
                  <c:v>6.1</c:v>
                </c:pt>
                <c:pt idx="1628">
                  <c:v>7.3</c:v>
                </c:pt>
                <c:pt idx="1629">
                  <c:v>7</c:v>
                </c:pt>
                <c:pt idx="1630">
                  <c:v>6.5</c:v>
                </c:pt>
                <c:pt idx="1631">
                  <c:v>7.4</c:v>
                </c:pt>
                <c:pt idx="1632">
                  <c:v>6</c:v>
                </c:pt>
                <c:pt idx="1633">
                  <c:v>8</c:v>
                </c:pt>
                <c:pt idx="1634">
                  <c:v>6.8</c:v>
                </c:pt>
                <c:pt idx="1635">
                  <c:v>7.3</c:v>
                </c:pt>
                <c:pt idx="1636">
                  <c:v>7.2</c:v>
                </c:pt>
                <c:pt idx="1637">
                  <c:v>5.7</c:v>
                </c:pt>
                <c:pt idx="1638">
                  <c:v>6.6</c:v>
                </c:pt>
                <c:pt idx="1639">
                  <c:v>5.8</c:v>
                </c:pt>
                <c:pt idx="1640">
                  <c:v>7.9</c:v>
                </c:pt>
                <c:pt idx="1641">
                  <c:v>5.7</c:v>
                </c:pt>
                <c:pt idx="1642">
                  <c:v>6.5</c:v>
                </c:pt>
                <c:pt idx="1643">
                  <c:v>5.5</c:v>
                </c:pt>
                <c:pt idx="1644">
                  <c:v>5.4</c:v>
                </c:pt>
                <c:pt idx="1645">
                  <c:v>6.9</c:v>
                </c:pt>
                <c:pt idx="1646">
                  <c:v>7</c:v>
                </c:pt>
                <c:pt idx="1647">
                  <c:v>4.7</c:v>
                </c:pt>
                <c:pt idx="1648">
                  <c:v>5.8</c:v>
                </c:pt>
                <c:pt idx="1649">
                  <c:v>6.2</c:v>
                </c:pt>
                <c:pt idx="1650">
                  <c:v>7.1</c:v>
                </c:pt>
                <c:pt idx="1651">
                  <c:v>6.6</c:v>
                </c:pt>
                <c:pt idx="1652">
                  <c:v>5.4</c:v>
                </c:pt>
                <c:pt idx="1653">
                  <c:v>6.5</c:v>
                </c:pt>
                <c:pt idx="1654">
                  <c:v>6.2</c:v>
                </c:pt>
                <c:pt idx="1655">
                  <c:v>5.5</c:v>
                </c:pt>
                <c:pt idx="1656">
                  <c:v>5.9</c:v>
                </c:pt>
                <c:pt idx="1657">
                  <c:v>6.3</c:v>
                </c:pt>
                <c:pt idx="1658">
                  <c:v>7.3</c:v>
                </c:pt>
                <c:pt idx="1659">
                  <c:v>6.9</c:v>
                </c:pt>
                <c:pt idx="1660">
                  <c:v>7.3</c:v>
                </c:pt>
                <c:pt idx="1661">
                  <c:v>6.4</c:v>
                </c:pt>
                <c:pt idx="1662">
                  <c:v>6.1</c:v>
                </c:pt>
                <c:pt idx="1663">
                  <c:v>7.4</c:v>
                </c:pt>
                <c:pt idx="1664">
                  <c:v>6.5</c:v>
                </c:pt>
                <c:pt idx="1665">
                  <c:v>6.6</c:v>
                </c:pt>
                <c:pt idx="1666">
                  <c:v>7.2</c:v>
                </c:pt>
                <c:pt idx="1667">
                  <c:v>7.3</c:v>
                </c:pt>
                <c:pt idx="1668">
                  <c:v>6.4</c:v>
                </c:pt>
                <c:pt idx="1669">
                  <c:v>6.2</c:v>
                </c:pt>
                <c:pt idx="1670">
                  <c:v>7.9</c:v>
                </c:pt>
                <c:pt idx="1671">
                  <c:v>6.3</c:v>
                </c:pt>
                <c:pt idx="1672">
                  <c:v>6.8</c:v>
                </c:pt>
                <c:pt idx="1673">
                  <c:v>4.5999999999999996</c:v>
                </c:pt>
                <c:pt idx="1674">
                  <c:v>7.3</c:v>
                </c:pt>
                <c:pt idx="1675">
                  <c:v>6.4</c:v>
                </c:pt>
                <c:pt idx="1676">
                  <c:v>5.8</c:v>
                </c:pt>
                <c:pt idx="1677">
                  <c:v>5.9</c:v>
                </c:pt>
                <c:pt idx="1678">
                  <c:v>7.5</c:v>
                </c:pt>
                <c:pt idx="1679">
                  <c:v>5.9</c:v>
                </c:pt>
                <c:pt idx="1680">
                  <c:v>6.4</c:v>
                </c:pt>
                <c:pt idx="1681">
                  <c:v>6.7</c:v>
                </c:pt>
                <c:pt idx="1682">
                  <c:v>6.5</c:v>
                </c:pt>
                <c:pt idx="1683">
                  <c:v>6.1</c:v>
                </c:pt>
                <c:pt idx="1684">
                  <c:v>6.6</c:v>
                </c:pt>
                <c:pt idx="1685">
                  <c:v>5.6</c:v>
                </c:pt>
                <c:pt idx="1686">
                  <c:v>6.3</c:v>
                </c:pt>
                <c:pt idx="1687">
                  <c:v>6.3</c:v>
                </c:pt>
                <c:pt idx="1688">
                  <c:v>5.6</c:v>
                </c:pt>
                <c:pt idx="1689">
                  <c:v>5.8</c:v>
                </c:pt>
                <c:pt idx="1690">
                  <c:v>5.8</c:v>
                </c:pt>
                <c:pt idx="1691">
                  <c:v>5.6</c:v>
                </c:pt>
                <c:pt idx="1692">
                  <c:v>6.3</c:v>
                </c:pt>
                <c:pt idx="1693">
                  <c:v>6</c:v>
                </c:pt>
                <c:pt idx="1694">
                  <c:v>7.3</c:v>
                </c:pt>
                <c:pt idx="1695">
                  <c:v>4.8</c:v>
                </c:pt>
                <c:pt idx="1696">
                  <c:v>5.4</c:v>
                </c:pt>
                <c:pt idx="1697">
                  <c:v>5.7</c:v>
                </c:pt>
                <c:pt idx="1698">
                  <c:v>7</c:v>
                </c:pt>
                <c:pt idx="1699">
                  <c:v>5.7</c:v>
                </c:pt>
                <c:pt idx="1700">
                  <c:v>7.4</c:v>
                </c:pt>
                <c:pt idx="1701">
                  <c:v>7.2</c:v>
                </c:pt>
                <c:pt idx="1702">
                  <c:v>6.5</c:v>
                </c:pt>
                <c:pt idx="1703">
                  <c:v>5.2</c:v>
                </c:pt>
                <c:pt idx="1704">
                  <c:v>6.2</c:v>
                </c:pt>
                <c:pt idx="1705">
                  <c:v>6.6</c:v>
                </c:pt>
                <c:pt idx="1706">
                  <c:v>7.3</c:v>
                </c:pt>
                <c:pt idx="1707">
                  <c:v>6.3</c:v>
                </c:pt>
                <c:pt idx="1708">
                  <c:v>6</c:v>
                </c:pt>
                <c:pt idx="1709">
                  <c:v>7.5</c:v>
                </c:pt>
                <c:pt idx="1710">
                  <c:v>6.5</c:v>
                </c:pt>
                <c:pt idx="1711">
                  <c:v>5.5</c:v>
                </c:pt>
                <c:pt idx="1712">
                  <c:v>5.8</c:v>
                </c:pt>
                <c:pt idx="1713">
                  <c:v>6.1</c:v>
                </c:pt>
                <c:pt idx="1714">
                  <c:v>7.2</c:v>
                </c:pt>
                <c:pt idx="1715">
                  <c:v>7.3</c:v>
                </c:pt>
                <c:pt idx="1716">
                  <c:v>7.5</c:v>
                </c:pt>
                <c:pt idx="1717">
                  <c:v>6.5</c:v>
                </c:pt>
                <c:pt idx="1718">
                  <c:v>5.8</c:v>
                </c:pt>
                <c:pt idx="1719">
                  <c:v>5.9</c:v>
                </c:pt>
                <c:pt idx="1720">
                  <c:v>7.1</c:v>
                </c:pt>
                <c:pt idx="1721">
                  <c:v>6.9</c:v>
                </c:pt>
                <c:pt idx="1722">
                  <c:v>7.6</c:v>
                </c:pt>
                <c:pt idx="1723">
                  <c:v>6.5</c:v>
                </c:pt>
                <c:pt idx="1724">
                  <c:v>5.9</c:v>
                </c:pt>
                <c:pt idx="1725">
                  <c:v>6.2</c:v>
                </c:pt>
                <c:pt idx="1726">
                  <c:v>6.5</c:v>
                </c:pt>
                <c:pt idx="1727">
                  <c:v>7.8</c:v>
                </c:pt>
                <c:pt idx="1728">
                  <c:v>6.1</c:v>
                </c:pt>
                <c:pt idx="1729">
                  <c:v>6.9</c:v>
                </c:pt>
                <c:pt idx="1730">
                  <c:v>6.8</c:v>
                </c:pt>
                <c:pt idx="1731">
                  <c:v>5.9</c:v>
                </c:pt>
                <c:pt idx="1732">
                  <c:v>7.4</c:v>
                </c:pt>
                <c:pt idx="1733">
                  <c:v>6.1</c:v>
                </c:pt>
                <c:pt idx="1734">
                  <c:v>5.6</c:v>
                </c:pt>
                <c:pt idx="1735">
                  <c:v>6.5</c:v>
                </c:pt>
                <c:pt idx="1736">
                  <c:v>7.5</c:v>
                </c:pt>
                <c:pt idx="1737">
                  <c:v>6.7</c:v>
                </c:pt>
                <c:pt idx="1738">
                  <c:v>6.5</c:v>
                </c:pt>
                <c:pt idx="1739">
                  <c:v>7.8</c:v>
                </c:pt>
                <c:pt idx="1740">
                  <c:v>6.1</c:v>
                </c:pt>
                <c:pt idx="1741">
                  <c:v>7.7</c:v>
                </c:pt>
                <c:pt idx="1742">
                  <c:v>6.2</c:v>
                </c:pt>
                <c:pt idx="1743">
                  <c:v>6.8</c:v>
                </c:pt>
                <c:pt idx="1744">
                  <c:v>4.2</c:v>
                </c:pt>
                <c:pt idx="1745">
                  <c:v>5.9</c:v>
                </c:pt>
                <c:pt idx="1746">
                  <c:v>7.1</c:v>
                </c:pt>
                <c:pt idx="1747">
                  <c:v>5.9</c:v>
                </c:pt>
                <c:pt idx="1748">
                  <c:v>4.5999999999999996</c:v>
                </c:pt>
                <c:pt idx="1749">
                  <c:v>6.9</c:v>
                </c:pt>
                <c:pt idx="1750">
                  <c:v>5.7</c:v>
                </c:pt>
                <c:pt idx="1751">
                  <c:v>8.1</c:v>
                </c:pt>
                <c:pt idx="1752">
                  <c:v>7.2</c:v>
                </c:pt>
                <c:pt idx="1753">
                  <c:v>6.1</c:v>
                </c:pt>
                <c:pt idx="1754">
                  <c:v>5.8</c:v>
                </c:pt>
                <c:pt idx="1755">
                  <c:v>5.0999999999999996</c:v>
                </c:pt>
                <c:pt idx="1756">
                  <c:v>6.2</c:v>
                </c:pt>
                <c:pt idx="1757">
                  <c:v>6.4</c:v>
                </c:pt>
                <c:pt idx="1758">
                  <c:v>6.5</c:v>
                </c:pt>
                <c:pt idx="1759">
                  <c:v>6.3</c:v>
                </c:pt>
                <c:pt idx="1760">
                  <c:v>5</c:v>
                </c:pt>
                <c:pt idx="1761">
                  <c:v>4.8</c:v>
                </c:pt>
                <c:pt idx="1762">
                  <c:v>7.3</c:v>
                </c:pt>
                <c:pt idx="1763">
                  <c:v>6.6</c:v>
                </c:pt>
                <c:pt idx="1764">
                  <c:v>5.3</c:v>
                </c:pt>
                <c:pt idx="1765">
                  <c:v>5.9</c:v>
                </c:pt>
                <c:pt idx="1766">
                  <c:v>5.5</c:v>
                </c:pt>
                <c:pt idx="1767">
                  <c:v>7.8</c:v>
                </c:pt>
                <c:pt idx="1768">
                  <c:v>5.2</c:v>
                </c:pt>
                <c:pt idx="1769">
                  <c:v>6.3</c:v>
                </c:pt>
                <c:pt idx="1770">
                  <c:v>4.7</c:v>
                </c:pt>
                <c:pt idx="1771">
                  <c:v>5.6</c:v>
                </c:pt>
                <c:pt idx="1772">
                  <c:v>5.4</c:v>
                </c:pt>
                <c:pt idx="1773">
                  <c:v>7</c:v>
                </c:pt>
                <c:pt idx="1774">
                  <c:v>5.6</c:v>
                </c:pt>
                <c:pt idx="1775">
                  <c:v>5.2</c:v>
                </c:pt>
                <c:pt idx="1776">
                  <c:v>6.4</c:v>
                </c:pt>
                <c:pt idx="1777">
                  <c:v>6.1</c:v>
                </c:pt>
                <c:pt idx="1778">
                  <c:v>7.6</c:v>
                </c:pt>
                <c:pt idx="1779">
                  <c:v>6.4</c:v>
                </c:pt>
                <c:pt idx="1780">
                  <c:v>7.5</c:v>
                </c:pt>
                <c:pt idx="1781">
                  <c:v>7.4</c:v>
                </c:pt>
                <c:pt idx="1782">
                  <c:v>6.8</c:v>
                </c:pt>
                <c:pt idx="1783">
                  <c:v>5.3</c:v>
                </c:pt>
                <c:pt idx="1784">
                  <c:v>6</c:v>
                </c:pt>
                <c:pt idx="1785">
                  <c:v>6.3</c:v>
                </c:pt>
                <c:pt idx="1786">
                  <c:v>6.6</c:v>
                </c:pt>
                <c:pt idx="1787">
                  <c:v>5.8</c:v>
                </c:pt>
                <c:pt idx="1788">
                  <c:v>6.4</c:v>
                </c:pt>
                <c:pt idx="1789">
                  <c:v>5.4</c:v>
                </c:pt>
                <c:pt idx="1790">
                  <c:v>7.4</c:v>
                </c:pt>
                <c:pt idx="1791">
                  <c:v>5.8</c:v>
                </c:pt>
                <c:pt idx="1792">
                  <c:v>6.6</c:v>
                </c:pt>
                <c:pt idx="1793">
                  <c:v>5.8</c:v>
                </c:pt>
                <c:pt idx="1794">
                  <c:v>6</c:v>
                </c:pt>
                <c:pt idx="1795">
                  <c:v>6.7</c:v>
                </c:pt>
                <c:pt idx="1796">
                  <c:v>5.2</c:v>
                </c:pt>
                <c:pt idx="1797">
                  <c:v>6.7</c:v>
                </c:pt>
                <c:pt idx="1798">
                  <c:v>5.9</c:v>
                </c:pt>
                <c:pt idx="1799">
                  <c:v>6.3</c:v>
                </c:pt>
                <c:pt idx="1800">
                  <c:v>4.5</c:v>
                </c:pt>
                <c:pt idx="1801">
                  <c:v>5</c:v>
                </c:pt>
                <c:pt idx="1802">
                  <c:v>6.4</c:v>
                </c:pt>
                <c:pt idx="1803">
                  <c:v>6.7</c:v>
                </c:pt>
                <c:pt idx="1804">
                  <c:v>7.9</c:v>
                </c:pt>
                <c:pt idx="1805">
                  <c:v>6.8</c:v>
                </c:pt>
                <c:pt idx="1806">
                  <c:v>6</c:v>
                </c:pt>
                <c:pt idx="1807">
                  <c:v>7.2</c:v>
                </c:pt>
                <c:pt idx="1808">
                  <c:v>5.7</c:v>
                </c:pt>
                <c:pt idx="1809">
                  <c:v>6</c:v>
                </c:pt>
                <c:pt idx="1810">
                  <c:v>7.3</c:v>
                </c:pt>
                <c:pt idx="1811">
                  <c:v>6</c:v>
                </c:pt>
                <c:pt idx="1812">
                  <c:v>5.9</c:v>
                </c:pt>
                <c:pt idx="1813">
                  <c:v>6.8</c:v>
                </c:pt>
                <c:pt idx="1814">
                  <c:v>6.2</c:v>
                </c:pt>
                <c:pt idx="1815">
                  <c:v>7</c:v>
                </c:pt>
                <c:pt idx="1816">
                  <c:v>4.8</c:v>
                </c:pt>
                <c:pt idx="1817">
                  <c:v>5.8</c:v>
                </c:pt>
                <c:pt idx="1818">
                  <c:v>4.5999999999999996</c:v>
                </c:pt>
                <c:pt idx="1819">
                  <c:v>5.0999999999999996</c:v>
                </c:pt>
                <c:pt idx="1820">
                  <c:v>7.6</c:v>
                </c:pt>
                <c:pt idx="1821">
                  <c:v>5.9</c:v>
                </c:pt>
                <c:pt idx="1822">
                  <c:v>5.5</c:v>
                </c:pt>
                <c:pt idx="1823">
                  <c:v>7.3</c:v>
                </c:pt>
                <c:pt idx="1824">
                  <c:v>6</c:v>
                </c:pt>
                <c:pt idx="1825">
                  <c:v>6.9</c:v>
                </c:pt>
                <c:pt idx="1826">
                  <c:v>5.6</c:v>
                </c:pt>
                <c:pt idx="1827">
                  <c:v>6.7</c:v>
                </c:pt>
                <c:pt idx="1828">
                  <c:v>7.2</c:v>
                </c:pt>
                <c:pt idx="1829">
                  <c:v>6.8</c:v>
                </c:pt>
                <c:pt idx="1830">
                  <c:v>7.1</c:v>
                </c:pt>
                <c:pt idx="1831">
                  <c:v>7.7</c:v>
                </c:pt>
                <c:pt idx="1832">
                  <c:v>6.5</c:v>
                </c:pt>
                <c:pt idx="1833">
                  <c:v>6.4</c:v>
                </c:pt>
                <c:pt idx="1834">
                  <c:v>6.3</c:v>
                </c:pt>
                <c:pt idx="1835">
                  <c:v>4.2</c:v>
                </c:pt>
                <c:pt idx="1836">
                  <c:v>6.8</c:v>
                </c:pt>
                <c:pt idx="1837">
                  <c:v>6.3</c:v>
                </c:pt>
                <c:pt idx="1838">
                  <c:v>5.4</c:v>
                </c:pt>
                <c:pt idx="1839">
                  <c:v>7.6</c:v>
                </c:pt>
                <c:pt idx="1840">
                  <c:v>6.4</c:v>
                </c:pt>
                <c:pt idx="1841">
                  <c:v>6.6</c:v>
                </c:pt>
                <c:pt idx="1842">
                  <c:v>7.6</c:v>
                </c:pt>
                <c:pt idx="1843">
                  <c:v>4.0999999999999996</c:v>
                </c:pt>
                <c:pt idx="1844">
                  <c:v>7.1</c:v>
                </c:pt>
                <c:pt idx="1845">
                  <c:v>5.7</c:v>
                </c:pt>
                <c:pt idx="1846">
                  <c:v>7.1</c:v>
                </c:pt>
                <c:pt idx="1847">
                  <c:v>6.2</c:v>
                </c:pt>
                <c:pt idx="1848">
                  <c:v>5.8</c:v>
                </c:pt>
                <c:pt idx="1849">
                  <c:v>6.2</c:v>
                </c:pt>
                <c:pt idx="1850">
                  <c:v>6.8</c:v>
                </c:pt>
                <c:pt idx="1851">
                  <c:v>6.6</c:v>
                </c:pt>
                <c:pt idx="1852">
                  <c:v>6.8</c:v>
                </c:pt>
                <c:pt idx="1853">
                  <c:v>7</c:v>
                </c:pt>
                <c:pt idx="1854">
                  <c:v>7.4</c:v>
                </c:pt>
                <c:pt idx="1855">
                  <c:v>7.5</c:v>
                </c:pt>
                <c:pt idx="1856">
                  <c:v>7.4</c:v>
                </c:pt>
                <c:pt idx="1857">
                  <c:v>7.4</c:v>
                </c:pt>
                <c:pt idx="1858">
                  <c:v>6.8</c:v>
                </c:pt>
                <c:pt idx="1859">
                  <c:v>5.8</c:v>
                </c:pt>
                <c:pt idx="1860">
                  <c:v>5.2</c:v>
                </c:pt>
                <c:pt idx="1861">
                  <c:v>5.4</c:v>
                </c:pt>
                <c:pt idx="1862">
                  <c:v>6.7</c:v>
                </c:pt>
                <c:pt idx="1863">
                  <c:v>7.8</c:v>
                </c:pt>
                <c:pt idx="1864">
                  <c:v>6.4</c:v>
                </c:pt>
                <c:pt idx="1865">
                  <c:v>5.3</c:v>
                </c:pt>
                <c:pt idx="1866">
                  <c:v>5</c:v>
                </c:pt>
                <c:pt idx="1867">
                  <c:v>6.4</c:v>
                </c:pt>
                <c:pt idx="1868">
                  <c:v>7</c:v>
                </c:pt>
                <c:pt idx="1869">
                  <c:v>5.8</c:v>
                </c:pt>
                <c:pt idx="1870">
                  <c:v>7.1</c:v>
                </c:pt>
                <c:pt idx="1871">
                  <c:v>6.9</c:v>
                </c:pt>
                <c:pt idx="1872">
                  <c:v>6.7</c:v>
                </c:pt>
                <c:pt idx="1873">
                  <c:v>6.3</c:v>
                </c:pt>
                <c:pt idx="1874">
                  <c:v>6.4</c:v>
                </c:pt>
                <c:pt idx="1875">
                  <c:v>6.4</c:v>
                </c:pt>
                <c:pt idx="1876">
                  <c:v>7</c:v>
                </c:pt>
                <c:pt idx="1877">
                  <c:v>7.1</c:v>
                </c:pt>
                <c:pt idx="1878">
                  <c:v>6.1</c:v>
                </c:pt>
                <c:pt idx="1879">
                  <c:v>6.6</c:v>
                </c:pt>
                <c:pt idx="1880">
                  <c:v>6.7</c:v>
                </c:pt>
                <c:pt idx="1881">
                  <c:v>8</c:v>
                </c:pt>
                <c:pt idx="1882">
                  <c:v>7.8</c:v>
                </c:pt>
                <c:pt idx="1883">
                  <c:v>5.6</c:v>
                </c:pt>
                <c:pt idx="1884">
                  <c:v>6.1</c:v>
                </c:pt>
                <c:pt idx="1885">
                  <c:v>6.3</c:v>
                </c:pt>
                <c:pt idx="1886">
                  <c:v>7.3</c:v>
                </c:pt>
                <c:pt idx="1887">
                  <c:v>6.2</c:v>
                </c:pt>
                <c:pt idx="1888">
                  <c:v>7.5</c:v>
                </c:pt>
                <c:pt idx="1889">
                  <c:v>7.3</c:v>
                </c:pt>
                <c:pt idx="1890">
                  <c:v>6.3</c:v>
                </c:pt>
                <c:pt idx="1891">
                  <c:v>6.3</c:v>
                </c:pt>
                <c:pt idx="1892">
                  <c:v>5.3</c:v>
                </c:pt>
                <c:pt idx="1893">
                  <c:v>8.1</c:v>
                </c:pt>
                <c:pt idx="1894">
                  <c:v>7.4</c:v>
                </c:pt>
                <c:pt idx="1895">
                  <c:v>8.4</c:v>
                </c:pt>
                <c:pt idx="1896">
                  <c:v>6.9</c:v>
                </c:pt>
                <c:pt idx="1897">
                  <c:v>5.2</c:v>
                </c:pt>
                <c:pt idx="1898">
                  <c:v>6.9</c:v>
                </c:pt>
                <c:pt idx="1899">
                  <c:v>7.6</c:v>
                </c:pt>
                <c:pt idx="1900">
                  <c:v>6.9</c:v>
                </c:pt>
                <c:pt idx="1901">
                  <c:v>6.7</c:v>
                </c:pt>
                <c:pt idx="1902">
                  <c:v>6.2</c:v>
                </c:pt>
                <c:pt idx="1903">
                  <c:v>5.0999999999999996</c:v>
                </c:pt>
                <c:pt idx="1904">
                  <c:v>7</c:v>
                </c:pt>
                <c:pt idx="1905">
                  <c:v>6.2</c:v>
                </c:pt>
                <c:pt idx="1906">
                  <c:v>7.1</c:v>
                </c:pt>
                <c:pt idx="1907">
                  <c:v>7.3</c:v>
                </c:pt>
                <c:pt idx="1908">
                  <c:v>7.3</c:v>
                </c:pt>
                <c:pt idx="1909">
                  <c:v>5.4</c:v>
                </c:pt>
                <c:pt idx="1910">
                  <c:v>6.2</c:v>
                </c:pt>
                <c:pt idx="1911">
                  <c:v>7.4</c:v>
                </c:pt>
                <c:pt idx="1912">
                  <c:v>7</c:v>
                </c:pt>
                <c:pt idx="1913">
                  <c:v>6.6</c:v>
                </c:pt>
                <c:pt idx="1914">
                  <c:v>7.9</c:v>
                </c:pt>
                <c:pt idx="1915">
                  <c:v>7.6</c:v>
                </c:pt>
                <c:pt idx="1916">
                  <c:v>7.4</c:v>
                </c:pt>
                <c:pt idx="1917">
                  <c:v>6.5</c:v>
                </c:pt>
                <c:pt idx="1918">
                  <c:v>6.2</c:v>
                </c:pt>
                <c:pt idx="1919">
                  <c:v>7.2</c:v>
                </c:pt>
                <c:pt idx="1920">
                  <c:v>5.8</c:v>
                </c:pt>
                <c:pt idx="1921">
                  <c:v>6.3</c:v>
                </c:pt>
                <c:pt idx="1922">
                  <c:v>7.2</c:v>
                </c:pt>
                <c:pt idx="1923">
                  <c:v>6.8</c:v>
                </c:pt>
                <c:pt idx="1924">
                  <c:v>6.5</c:v>
                </c:pt>
                <c:pt idx="1925">
                  <c:v>6.3</c:v>
                </c:pt>
                <c:pt idx="1926">
                  <c:v>7.4</c:v>
                </c:pt>
                <c:pt idx="1927">
                  <c:v>6.7</c:v>
                </c:pt>
                <c:pt idx="1928">
                  <c:v>7.6</c:v>
                </c:pt>
                <c:pt idx="1929">
                  <c:v>7.3</c:v>
                </c:pt>
                <c:pt idx="1930">
                  <c:v>7.9</c:v>
                </c:pt>
                <c:pt idx="1931">
                  <c:v>6.3</c:v>
                </c:pt>
                <c:pt idx="1932">
                  <c:v>6.6</c:v>
                </c:pt>
                <c:pt idx="1933">
                  <c:v>6.5</c:v>
                </c:pt>
                <c:pt idx="1934">
                  <c:v>5.2</c:v>
                </c:pt>
                <c:pt idx="1935">
                  <c:v>6.7</c:v>
                </c:pt>
                <c:pt idx="1936">
                  <c:v>7.7</c:v>
                </c:pt>
                <c:pt idx="1937">
                  <c:v>7.2</c:v>
                </c:pt>
                <c:pt idx="1938">
                  <c:v>5.8</c:v>
                </c:pt>
                <c:pt idx="1939">
                  <c:v>5.6</c:v>
                </c:pt>
                <c:pt idx="1940">
                  <c:v>7.4</c:v>
                </c:pt>
                <c:pt idx="1941">
                  <c:v>6.5</c:v>
                </c:pt>
                <c:pt idx="1942">
                  <c:v>7.5</c:v>
                </c:pt>
                <c:pt idx="1943">
                  <c:v>6.8</c:v>
                </c:pt>
                <c:pt idx="1944">
                  <c:v>6.4</c:v>
                </c:pt>
                <c:pt idx="1945">
                  <c:v>7.3</c:v>
                </c:pt>
                <c:pt idx="1946">
                  <c:v>6.2</c:v>
                </c:pt>
                <c:pt idx="1947">
                  <c:v>6.7</c:v>
                </c:pt>
                <c:pt idx="1948">
                  <c:v>5.3</c:v>
                </c:pt>
                <c:pt idx="1949">
                  <c:v>6.8</c:v>
                </c:pt>
                <c:pt idx="1950">
                  <c:v>6.2</c:v>
                </c:pt>
                <c:pt idx="1951">
                  <c:v>5</c:v>
                </c:pt>
                <c:pt idx="1952">
                  <c:v>6.4</c:v>
                </c:pt>
                <c:pt idx="1953">
                  <c:v>8.4</c:v>
                </c:pt>
              </c:numCache>
            </c:numRef>
          </c:xVal>
          <c:yVal>
            <c:numRef>
              <c:f>'Cleaned &amp; Transformed IMDB Movi'!$G$4:$G$1957</c:f>
              <c:numCache>
                <c:formatCode>0.00</c:formatCode>
                <c:ptCount val="1954"/>
                <c:pt idx="0">
                  <c:v>2.2999999999999998</c:v>
                </c:pt>
                <c:pt idx="1">
                  <c:v>2.46</c:v>
                </c:pt>
                <c:pt idx="2">
                  <c:v>2.46</c:v>
                </c:pt>
                <c:pt idx="3">
                  <c:v>2.46</c:v>
                </c:pt>
                <c:pt idx="4">
                  <c:v>2.46</c:v>
                </c:pt>
                <c:pt idx="5">
                  <c:v>2.46</c:v>
                </c:pt>
                <c:pt idx="6">
                  <c:v>2.46</c:v>
                </c:pt>
                <c:pt idx="7">
                  <c:v>2.73</c:v>
                </c:pt>
                <c:pt idx="8">
                  <c:v>2.46</c:v>
                </c:pt>
                <c:pt idx="9">
                  <c:v>2.46</c:v>
                </c:pt>
                <c:pt idx="10">
                  <c:v>2.46</c:v>
                </c:pt>
                <c:pt idx="11">
                  <c:v>2.46</c:v>
                </c:pt>
                <c:pt idx="12">
                  <c:v>0.02</c:v>
                </c:pt>
                <c:pt idx="13">
                  <c:v>2.46</c:v>
                </c:pt>
                <c:pt idx="14">
                  <c:v>2.46</c:v>
                </c:pt>
                <c:pt idx="15">
                  <c:v>16.059999999999999</c:v>
                </c:pt>
                <c:pt idx="16">
                  <c:v>0.16</c:v>
                </c:pt>
                <c:pt idx="17">
                  <c:v>0.23</c:v>
                </c:pt>
                <c:pt idx="18">
                  <c:v>14</c:v>
                </c:pt>
                <c:pt idx="19">
                  <c:v>21.71</c:v>
                </c:pt>
                <c:pt idx="20">
                  <c:v>2.46</c:v>
                </c:pt>
                <c:pt idx="21">
                  <c:v>22.49</c:v>
                </c:pt>
                <c:pt idx="22">
                  <c:v>2.46</c:v>
                </c:pt>
                <c:pt idx="23">
                  <c:v>31.9</c:v>
                </c:pt>
                <c:pt idx="24">
                  <c:v>0.03</c:v>
                </c:pt>
                <c:pt idx="25">
                  <c:v>1.1100000000000001</c:v>
                </c:pt>
                <c:pt idx="26">
                  <c:v>13.75</c:v>
                </c:pt>
                <c:pt idx="27">
                  <c:v>2.46</c:v>
                </c:pt>
                <c:pt idx="28">
                  <c:v>34.729999999999997</c:v>
                </c:pt>
                <c:pt idx="29">
                  <c:v>5.56</c:v>
                </c:pt>
                <c:pt idx="30">
                  <c:v>6.14</c:v>
                </c:pt>
                <c:pt idx="31">
                  <c:v>25.1</c:v>
                </c:pt>
                <c:pt idx="32">
                  <c:v>0.22</c:v>
                </c:pt>
                <c:pt idx="33">
                  <c:v>4.2699999999999996</c:v>
                </c:pt>
                <c:pt idx="34">
                  <c:v>30</c:v>
                </c:pt>
                <c:pt idx="35">
                  <c:v>28.61</c:v>
                </c:pt>
                <c:pt idx="36">
                  <c:v>12.31</c:v>
                </c:pt>
                <c:pt idx="37">
                  <c:v>7.79</c:v>
                </c:pt>
                <c:pt idx="38">
                  <c:v>14.38</c:v>
                </c:pt>
                <c:pt idx="39">
                  <c:v>3.33</c:v>
                </c:pt>
                <c:pt idx="40">
                  <c:v>1.1100000000000001</c:v>
                </c:pt>
                <c:pt idx="41">
                  <c:v>2.84</c:v>
                </c:pt>
                <c:pt idx="42">
                  <c:v>2.46</c:v>
                </c:pt>
                <c:pt idx="43">
                  <c:v>2.23</c:v>
                </c:pt>
                <c:pt idx="44">
                  <c:v>2.02</c:v>
                </c:pt>
                <c:pt idx="45">
                  <c:v>2.46</c:v>
                </c:pt>
                <c:pt idx="46">
                  <c:v>0.62</c:v>
                </c:pt>
                <c:pt idx="47">
                  <c:v>10.56</c:v>
                </c:pt>
                <c:pt idx="48">
                  <c:v>2.5</c:v>
                </c:pt>
                <c:pt idx="49">
                  <c:v>5.62</c:v>
                </c:pt>
                <c:pt idx="50">
                  <c:v>15.19</c:v>
                </c:pt>
                <c:pt idx="51">
                  <c:v>20.100000000000001</c:v>
                </c:pt>
                <c:pt idx="52">
                  <c:v>2.46</c:v>
                </c:pt>
                <c:pt idx="53">
                  <c:v>13.04</c:v>
                </c:pt>
                <c:pt idx="54">
                  <c:v>0.52</c:v>
                </c:pt>
                <c:pt idx="55">
                  <c:v>0.19</c:v>
                </c:pt>
                <c:pt idx="56">
                  <c:v>0.56000000000000005</c:v>
                </c:pt>
                <c:pt idx="57">
                  <c:v>2.46</c:v>
                </c:pt>
                <c:pt idx="58">
                  <c:v>40.06</c:v>
                </c:pt>
                <c:pt idx="59">
                  <c:v>7.0000000000000007E-2</c:v>
                </c:pt>
                <c:pt idx="60">
                  <c:v>0.01</c:v>
                </c:pt>
                <c:pt idx="61">
                  <c:v>14.86</c:v>
                </c:pt>
                <c:pt idx="62">
                  <c:v>4.96</c:v>
                </c:pt>
                <c:pt idx="63">
                  <c:v>3.82</c:v>
                </c:pt>
                <c:pt idx="64">
                  <c:v>2.25</c:v>
                </c:pt>
                <c:pt idx="65">
                  <c:v>0.03</c:v>
                </c:pt>
                <c:pt idx="66">
                  <c:v>2.46</c:v>
                </c:pt>
                <c:pt idx="67">
                  <c:v>0.77</c:v>
                </c:pt>
                <c:pt idx="68">
                  <c:v>2.46</c:v>
                </c:pt>
                <c:pt idx="69">
                  <c:v>2.46</c:v>
                </c:pt>
                <c:pt idx="70">
                  <c:v>0.21</c:v>
                </c:pt>
                <c:pt idx="71">
                  <c:v>0.49</c:v>
                </c:pt>
                <c:pt idx="72">
                  <c:v>27.09</c:v>
                </c:pt>
                <c:pt idx="73">
                  <c:v>0.02</c:v>
                </c:pt>
                <c:pt idx="74">
                  <c:v>0.02</c:v>
                </c:pt>
                <c:pt idx="75">
                  <c:v>0.06</c:v>
                </c:pt>
                <c:pt idx="76">
                  <c:v>14.25</c:v>
                </c:pt>
                <c:pt idx="77">
                  <c:v>0.24</c:v>
                </c:pt>
                <c:pt idx="78">
                  <c:v>0.45</c:v>
                </c:pt>
                <c:pt idx="79">
                  <c:v>0.62</c:v>
                </c:pt>
                <c:pt idx="80">
                  <c:v>0.19</c:v>
                </c:pt>
                <c:pt idx="81">
                  <c:v>0.24</c:v>
                </c:pt>
                <c:pt idx="82">
                  <c:v>2.46</c:v>
                </c:pt>
                <c:pt idx="83">
                  <c:v>3.03</c:v>
                </c:pt>
                <c:pt idx="84">
                  <c:v>3.8</c:v>
                </c:pt>
                <c:pt idx="85">
                  <c:v>0.21</c:v>
                </c:pt>
                <c:pt idx="86">
                  <c:v>19.16</c:v>
                </c:pt>
                <c:pt idx="87">
                  <c:v>0.23</c:v>
                </c:pt>
                <c:pt idx="88">
                  <c:v>2.46</c:v>
                </c:pt>
                <c:pt idx="89">
                  <c:v>0.73</c:v>
                </c:pt>
                <c:pt idx="90">
                  <c:v>6.53</c:v>
                </c:pt>
                <c:pt idx="91">
                  <c:v>2.46</c:v>
                </c:pt>
                <c:pt idx="92">
                  <c:v>8.36</c:v>
                </c:pt>
                <c:pt idx="93">
                  <c:v>0.01</c:v>
                </c:pt>
                <c:pt idx="94">
                  <c:v>0.71</c:v>
                </c:pt>
                <c:pt idx="95">
                  <c:v>7.0000000000000007E-2</c:v>
                </c:pt>
                <c:pt idx="96">
                  <c:v>0.34</c:v>
                </c:pt>
                <c:pt idx="97">
                  <c:v>1.79</c:v>
                </c:pt>
                <c:pt idx="98">
                  <c:v>0.77</c:v>
                </c:pt>
                <c:pt idx="99">
                  <c:v>36.92</c:v>
                </c:pt>
                <c:pt idx="100">
                  <c:v>2.46</c:v>
                </c:pt>
                <c:pt idx="101">
                  <c:v>0.6</c:v>
                </c:pt>
                <c:pt idx="102">
                  <c:v>3.83</c:v>
                </c:pt>
                <c:pt idx="103">
                  <c:v>1.04</c:v>
                </c:pt>
                <c:pt idx="104">
                  <c:v>2.46</c:v>
                </c:pt>
                <c:pt idx="105">
                  <c:v>0.68</c:v>
                </c:pt>
                <c:pt idx="106">
                  <c:v>2.46</c:v>
                </c:pt>
                <c:pt idx="107">
                  <c:v>2.46</c:v>
                </c:pt>
                <c:pt idx="108">
                  <c:v>0.05</c:v>
                </c:pt>
                <c:pt idx="109">
                  <c:v>11.01</c:v>
                </c:pt>
                <c:pt idx="110">
                  <c:v>0.56999999999999995</c:v>
                </c:pt>
                <c:pt idx="111">
                  <c:v>0.01</c:v>
                </c:pt>
                <c:pt idx="112">
                  <c:v>62.66</c:v>
                </c:pt>
                <c:pt idx="113">
                  <c:v>10.17</c:v>
                </c:pt>
                <c:pt idx="114">
                  <c:v>11.97</c:v>
                </c:pt>
                <c:pt idx="115">
                  <c:v>28.21</c:v>
                </c:pt>
                <c:pt idx="116">
                  <c:v>2.46</c:v>
                </c:pt>
                <c:pt idx="117">
                  <c:v>2.46</c:v>
                </c:pt>
                <c:pt idx="118">
                  <c:v>2.2000000000000002</c:v>
                </c:pt>
                <c:pt idx="119">
                  <c:v>2.46</c:v>
                </c:pt>
                <c:pt idx="120">
                  <c:v>0.05</c:v>
                </c:pt>
                <c:pt idx="121">
                  <c:v>0.02</c:v>
                </c:pt>
                <c:pt idx="122">
                  <c:v>0</c:v>
                </c:pt>
                <c:pt idx="123">
                  <c:v>2.46</c:v>
                </c:pt>
                <c:pt idx="124">
                  <c:v>3.44</c:v>
                </c:pt>
                <c:pt idx="125">
                  <c:v>2.46</c:v>
                </c:pt>
                <c:pt idx="126">
                  <c:v>72.78</c:v>
                </c:pt>
                <c:pt idx="127">
                  <c:v>21</c:v>
                </c:pt>
                <c:pt idx="128">
                  <c:v>0.32</c:v>
                </c:pt>
                <c:pt idx="129">
                  <c:v>155.02000000000001</c:v>
                </c:pt>
                <c:pt idx="130">
                  <c:v>0.02</c:v>
                </c:pt>
                <c:pt idx="131">
                  <c:v>8.66</c:v>
                </c:pt>
                <c:pt idx="132">
                  <c:v>0.55000000000000004</c:v>
                </c:pt>
                <c:pt idx="133">
                  <c:v>0.21</c:v>
                </c:pt>
                <c:pt idx="134">
                  <c:v>2.46</c:v>
                </c:pt>
                <c:pt idx="135">
                  <c:v>3.17</c:v>
                </c:pt>
                <c:pt idx="136">
                  <c:v>0.15</c:v>
                </c:pt>
                <c:pt idx="137">
                  <c:v>0.01</c:v>
                </c:pt>
                <c:pt idx="138">
                  <c:v>2.46</c:v>
                </c:pt>
                <c:pt idx="139">
                  <c:v>217.33</c:v>
                </c:pt>
                <c:pt idx="140">
                  <c:v>7.0000000000000007E-2</c:v>
                </c:pt>
                <c:pt idx="141">
                  <c:v>2.46</c:v>
                </c:pt>
                <c:pt idx="142">
                  <c:v>0.63</c:v>
                </c:pt>
                <c:pt idx="143">
                  <c:v>0.17</c:v>
                </c:pt>
                <c:pt idx="144">
                  <c:v>0.05</c:v>
                </c:pt>
                <c:pt idx="145">
                  <c:v>0.79</c:v>
                </c:pt>
                <c:pt idx="146">
                  <c:v>0.31</c:v>
                </c:pt>
                <c:pt idx="147">
                  <c:v>3.53</c:v>
                </c:pt>
                <c:pt idx="148">
                  <c:v>0.21</c:v>
                </c:pt>
                <c:pt idx="149">
                  <c:v>25.59</c:v>
                </c:pt>
                <c:pt idx="150">
                  <c:v>2.46</c:v>
                </c:pt>
                <c:pt idx="151">
                  <c:v>2.46</c:v>
                </c:pt>
                <c:pt idx="152">
                  <c:v>0.27</c:v>
                </c:pt>
                <c:pt idx="153">
                  <c:v>0.12</c:v>
                </c:pt>
                <c:pt idx="154">
                  <c:v>2.46</c:v>
                </c:pt>
                <c:pt idx="155">
                  <c:v>2.46</c:v>
                </c:pt>
                <c:pt idx="156">
                  <c:v>0.71</c:v>
                </c:pt>
                <c:pt idx="157">
                  <c:v>0.01</c:v>
                </c:pt>
                <c:pt idx="158">
                  <c:v>0.02</c:v>
                </c:pt>
                <c:pt idx="159">
                  <c:v>75.75</c:v>
                </c:pt>
                <c:pt idx="160">
                  <c:v>0.02</c:v>
                </c:pt>
                <c:pt idx="161">
                  <c:v>50.88</c:v>
                </c:pt>
                <c:pt idx="162">
                  <c:v>0.8</c:v>
                </c:pt>
                <c:pt idx="163">
                  <c:v>0</c:v>
                </c:pt>
                <c:pt idx="164">
                  <c:v>0.01</c:v>
                </c:pt>
                <c:pt idx="165">
                  <c:v>0.13</c:v>
                </c:pt>
                <c:pt idx="166">
                  <c:v>3.82</c:v>
                </c:pt>
                <c:pt idx="167">
                  <c:v>9.4499999999999993</c:v>
                </c:pt>
                <c:pt idx="168">
                  <c:v>93.95</c:v>
                </c:pt>
                <c:pt idx="169">
                  <c:v>0.01</c:v>
                </c:pt>
                <c:pt idx="170">
                  <c:v>0.11</c:v>
                </c:pt>
                <c:pt idx="171">
                  <c:v>219.61</c:v>
                </c:pt>
                <c:pt idx="172">
                  <c:v>2.46</c:v>
                </c:pt>
                <c:pt idx="173">
                  <c:v>0.02</c:v>
                </c:pt>
                <c:pt idx="174">
                  <c:v>2.46</c:v>
                </c:pt>
                <c:pt idx="175">
                  <c:v>0.23</c:v>
                </c:pt>
                <c:pt idx="176">
                  <c:v>0.11</c:v>
                </c:pt>
                <c:pt idx="177">
                  <c:v>0.03</c:v>
                </c:pt>
                <c:pt idx="178">
                  <c:v>0.24</c:v>
                </c:pt>
                <c:pt idx="179">
                  <c:v>2.46</c:v>
                </c:pt>
                <c:pt idx="180">
                  <c:v>0.53</c:v>
                </c:pt>
                <c:pt idx="181">
                  <c:v>0.01</c:v>
                </c:pt>
                <c:pt idx="182">
                  <c:v>0.19</c:v>
                </c:pt>
                <c:pt idx="183">
                  <c:v>2.46</c:v>
                </c:pt>
                <c:pt idx="184">
                  <c:v>0.1</c:v>
                </c:pt>
                <c:pt idx="185">
                  <c:v>2.46</c:v>
                </c:pt>
                <c:pt idx="186">
                  <c:v>2.46</c:v>
                </c:pt>
                <c:pt idx="187">
                  <c:v>0</c:v>
                </c:pt>
                <c:pt idx="188">
                  <c:v>0.39</c:v>
                </c:pt>
                <c:pt idx="189">
                  <c:v>0.08</c:v>
                </c:pt>
                <c:pt idx="190">
                  <c:v>0.05</c:v>
                </c:pt>
                <c:pt idx="191">
                  <c:v>0.33</c:v>
                </c:pt>
                <c:pt idx="192">
                  <c:v>0.26</c:v>
                </c:pt>
                <c:pt idx="193">
                  <c:v>7.0000000000000007E-2</c:v>
                </c:pt>
                <c:pt idx="194">
                  <c:v>0.26</c:v>
                </c:pt>
                <c:pt idx="195">
                  <c:v>2.46</c:v>
                </c:pt>
                <c:pt idx="196">
                  <c:v>0.1</c:v>
                </c:pt>
                <c:pt idx="197">
                  <c:v>0.01</c:v>
                </c:pt>
                <c:pt idx="198">
                  <c:v>3.29</c:v>
                </c:pt>
                <c:pt idx="199">
                  <c:v>0.72</c:v>
                </c:pt>
                <c:pt idx="200">
                  <c:v>7.0000000000000007E-2</c:v>
                </c:pt>
                <c:pt idx="201">
                  <c:v>0.01</c:v>
                </c:pt>
                <c:pt idx="202">
                  <c:v>2.46</c:v>
                </c:pt>
                <c:pt idx="203">
                  <c:v>0.12</c:v>
                </c:pt>
                <c:pt idx="204">
                  <c:v>2.46</c:v>
                </c:pt>
                <c:pt idx="205">
                  <c:v>0</c:v>
                </c:pt>
                <c:pt idx="206">
                  <c:v>2.5499999999999998</c:v>
                </c:pt>
                <c:pt idx="207">
                  <c:v>1</c:v>
                </c:pt>
                <c:pt idx="208">
                  <c:v>2.67</c:v>
                </c:pt>
                <c:pt idx="209">
                  <c:v>0.11</c:v>
                </c:pt>
                <c:pt idx="210">
                  <c:v>0.56000000000000005</c:v>
                </c:pt>
                <c:pt idx="211">
                  <c:v>1.57</c:v>
                </c:pt>
                <c:pt idx="212">
                  <c:v>0.23</c:v>
                </c:pt>
                <c:pt idx="213">
                  <c:v>2.46</c:v>
                </c:pt>
                <c:pt idx="214">
                  <c:v>1.38</c:v>
                </c:pt>
                <c:pt idx="215">
                  <c:v>2.46</c:v>
                </c:pt>
                <c:pt idx="216">
                  <c:v>0</c:v>
                </c:pt>
                <c:pt idx="217">
                  <c:v>0.02</c:v>
                </c:pt>
                <c:pt idx="218">
                  <c:v>0</c:v>
                </c:pt>
                <c:pt idx="219">
                  <c:v>0.02</c:v>
                </c:pt>
                <c:pt idx="220">
                  <c:v>2.46</c:v>
                </c:pt>
                <c:pt idx="221">
                  <c:v>0.65</c:v>
                </c:pt>
                <c:pt idx="222">
                  <c:v>12.56</c:v>
                </c:pt>
                <c:pt idx="223">
                  <c:v>2.46</c:v>
                </c:pt>
                <c:pt idx="224">
                  <c:v>2.46</c:v>
                </c:pt>
                <c:pt idx="225">
                  <c:v>0.01</c:v>
                </c:pt>
                <c:pt idx="226">
                  <c:v>2.46</c:v>
                </c:pt>
                <c:pt idx="227">
                  <c:v>0</c:v>
                </c:pt>
                <c:pt idx="228">
                  <c:v>2.46</c:v>
                </c:pt>
                <c:pt idx="229">
                  <c:v>0.02</c:v>
                </c:pt>
                <c:pt idx="230">
                  <c:v>2.46</c:v>
                </c:pt>
                <c:pt idx="231">
                  <c:v>7.0000000000000007E-2</c:v>
                </c:pt>
                <c:pt idx="232">
                  <c:v>23.07</c:v>
                </c:pt>
                <c:pt idx="233">
                  <c:v>2.33</c:v>
                </c:pt>
                <c:pt idx="234">
                  <c:v>18</c:v>
                </c:pt>
                <c:pt idx="235">
                  <c:v>2.46</c:v>
                </c:pt>
                <c:pt idx="236">
                  <c:v>1.35</c:v>
                </c:pt>
                <c:pt idx="237">
                  <c:v>2.46</c:v>
                </c:pt>
                <c:pt idx="238">
                  <c:v>0.03</c:v>
                </c:pt>
                <c:pt idx="239">
                  <c:v>4.1100000000000003</c:v>
                </c:pt>
                <c:pt idx="240">
                  <c:v>2.46</c:v>
                </c:pt>
                <c:pt idx="241">
                  <c:v>0.1</c:v>
                </c:pt>
                <c:pt idx="242">
                  <c:v>2.46</c:v>
                </c:pt>
                <c:pt idx="243">
                  <c:v>44.67</c:v>
                </c:pt>
                <c:pt idx="244">
                  <c:v>2.46</c:v>
                </c:pt>
                <c:pt idx="245">
                  <c:v>2.46</c:v>
                </c:pt>
                <c:pt idx="246">
                  <c:v>0.3</c:v>
                </c:pt>
                <c:pt idx="247">
                  <c:v>2.46</c:v>
                </c:pt>
                <c:pt idx="248">
                  <c:v>2.46</c:v>
                </c:pt>
                <c:pt idx="249">
                  <c:v>2.46</c:v>
                </c:pt>
                <c:pt idx="250">
                  <c:v>2.46</c:v>
                </c:pt>
                <c:pt idx="251">
                  <c:v>19.02</c:v>
                </c:pt>
                <c:pt idx="252">
                  <c:v>13.41</c:v>
                </c:pt>
                <c:pt idx="253">
                  <c:v>0.1</c:v>
                </c:pt>
                <c:pt idx="254">
                  <c:v>2.46</c:v>
                </c:pt>
                <c:pt idx="255">
                  <c:v>17.739999999999998</c:v>
                </c:pt>
                <c:pt idx="256">
                  <c:v>12.8</c:v>
                </c:pt>
                <c:pt idx="257">
                  <c:v>12.84</c:v>
                </c:pt>
                <c:pt idx="258">
                  <c:v>2.46</c:v>
                </c:pt>
                <c:pt idx="259">
                  <c:v>2.46</c:v>
                </c:pt>
                <c:pt idx="260">
                  <c:v>1.52</c:v>
                </c:pt>
                <c:pt idx="261">
                  <c:v>2.46</c:v>
                </c:pt>
                <c:pt idx="262">
                  <c:v>42.35</c:v>
                </c:pt>
                <c:pt idx="263">
                  <c:v>65</c:v>
                </c:pt>
                <c:pt idx="264">
                  <c:v>304.36</c:v>
                </c:pt>
                <c:pt idx="265">
                  <c:v>6.01</c:v>
                </c:pt>
                <c:pt idx="266">
                  <c:v>93.77</c:v>
                </c:pt>
                <c:pt idx="267">
                  <c:v>182.21</c:v>
                </c:pt>
                <c:pt idx="268">
                  <c:v>0.89</c:v>
                </c:pt>
                <c:pt idx="269">
                  <c:v>95.72</c:v>
                </c:pt>
                <c:pt idx="270">
                  <c:v>303</c:v>
                </c:pt>
                <c:pt idx="271">
                  <c:v>7.0000000000000007E-2</c:v>
                </c:pt>
                <c:pt idx="272">
                  <c:v>12.82</c:v>
                </c:pt>
                <c:pt idx="273">
                  <c:v>216.39</c:v>
                </c:pt>
                <c:pt idx="274">
                  <c:v>0</c:v>
                </c:pt>
                <c:pt idx="275">
                  <c:v>132.09</c:v>
                </c:pt>
                <c:pt idx="276">
                  <c:v>5.31</c:v>
                </c:pt>
                <c:pt idx="277">
                  <c:v>2.46</c:v>
                </c:pt>
                <c:pt idx="278">
                  <c:v>0.35</c:v>
                </c:pt>
                <c:pt idx="279">
                  <c:v>2.46</c:v>
                </c:pt>
                <c:pt idx="280">
                  <c:v>148.31</c:v>
                </c:pt>
                <c:pt idx="281">
                  <c:v>1.56</c:v>
                </c:pt>
                <c:pt idx="282">
                  <c:v>0.69</c:v>
                </c:pt>
                <c:pt idx="283">
                  <c:v>0.31</c:v>
                </c:pt>
                <c:pt idx="284">
                  <c:v>20.28</c:v>
                </c:pt>
                <c:pt idx="285">
                  <c:v>15.03</c:v>
                </c:pt>
                <c:pt idx="286">
                  <c:v>35.29</c:v>
                </c:pt>
                <c:pt idx="287">
                  <c:v>6</c:v>
                </c:pt>
                <c:pt idx="288">
                  <c:v>2.46</c:v>
                </c:pt>
                <c:pt idx="289">
                  <c:v>0.63</c:v>
                </c:pt>
                <c:pt idx="290">
                  <c:v>2.34</c:v>
                </c:pt>
                <c:pt idx="291">
                  <c:v>3.3</c:v>
                </c:pt>
                <c:pt idx="292">
                  <c:v>3.33</c:v>
                </c:pt>
                <c:pt idx="293">
                  <c:v>0.01</c:v>
                </c:pt>
                <c:pt idx="294">
                  <c:v>31.05</c:v>
                </c:pt>
                <c:pt idx="295">
                  <c:v>2.46</c:v>
                </c:pt>
                <c:pt idx="296">
                  <c:v>6.37</c:v>
                </c:pt>
                <c:pt idx="297">
                  <c:v>0.03</c:v>
                </c:pt>
                <c:pt idx="298">
                  <c:v>124.99</c:v>
                </c:pt>
                <c:pt idx="299">
                  <c:v>16.38</c:v>
                </c:pt>
                <c:pt idx="300">
                  <c:v>0.3</c:v>
                </c:pt>
                <c:pt idx="301">
                  <c:v>13.75</c:v>
                </c:pt>
                <c:pt idx="302">
                  <c:v>0.02</c:v>
                </c:pt>
                <c:pt idx="303">
                  <c:v>2.46</c:v>
                </c:pt>
                <c:pt idx="304">
                  <c:v>3.09</c:v>
                </c:pt>
                <c:pt idx="305">
                  <c:v>0.1</c:v>
                </c:pt>
                <c:pt idx="306">
                  <c:v>1.63</c:v>
                </c:pt>
                <c:pt idx="307">
                  <c:v>292.3</c:v>
                </c:pt>
                <c:pt idx="308">
                  <c:v>189.42</c:v>
                </c:pt>
                <c:pt idx="309">
                  <c:v>31.61</c:v>
                </c:pt>
                <c:pt idx="310">
                  <c:v>35.35</c:v>
                </c:pt>
                <c:pt idx="311">
                  <c:v>41.15</c:v>
                </c:pt>
                <c:pt idx="312">
                  <c:v>0.02</c:v>
                </c:pt>
                <c:pt idx="313">
                  <c:v>2.46</c:v>
                </c:pt>
                <c:pt idx="314">
                  <c:v>0.14000000000000001</c:v>
                </c:pt>
                <c:pt idx="315">
                  <c:v>0.06</c:v>
                </c:pt>
                <c:pt idx="316">
                  <c:v>0.97</c:v>
                </c:pt>
                <c:pt idx="317">
                  <c:v>0.25</c:v>
                </c:pt>
                <c:pt idx="318">
                  <c:v>2.46</c:v>
                </c:pt>
                <c:pt idx="319">
                  <c:v>6</c:v>
                </c:pt>
                <c:pt idx="320">
                  <c:v>2.46</c:v>
                </c:pt>
                <c:pt idx="321">
                  <c:v>2.46</c:v>
                </c:pt>
                <c:pt idx="322">
                  <c:v>25.89</c:v>
                </c:pt>
                <c:pt idx="323">
                  <c:v>103.41</c:v>
                </c:pt>
                <c:pt idx="324">
                  <c:v>0</c:v>
                </c:pt>
                <c:pt idx="325">
                  <c:v>3.97</c:v>
                </c:pt>
                <c:pt idx="326">
                  <c:v>6.74</c:v>
                </c:pt>
                <c:pt idx="327">
                  <c:v>237.28</c:v>
                </c:pt>
                <c:pt idx="328">
                  <c:v>2.46</c:v>
                </c:pt>
                <c:pt idx="329">
                  <c:v>45.29</c:v>
                </c:pt>
                <c:pt idx="330">
                  <c:v>80.069999999999993</c:v>
                </c:pt>
                <c:pt idx="331">
                  <c:v>0.26</c:v>
                </c:pt>
                <c:pt idx="332">
                  <c:v>0</c:v>
                </c:pt>
                <c:pt idx="333">
                  <c:v>5.13</c:v>
                </c:pt>
                <c:pt idx="334">
                  <c:v>21.38</c:v>
                </c:pt>
                <c:pt idx="335">
                  <c:v>0.35</c:v>
                </c:pt>
                <c:pt idx="336">
                  <c:v>0.59</c:v>
                </c:pt>
                <c:pt idx="337">
                  <c:v>13.1</c:v>
                </c:pt>
                <c:pt idx="338">
                  <c:v>2.46</c:v>
                </c:pt>
                <c:pt idx="339">
                  <c:v>2.29</c:v>
                </c:pt>
                <c:pt idx="340">
                  <c:v>3.35</c:v>
                </c:pt>
                <c:pt idx="341">
                  <c:v>2.46</c:v>
                </c:pt>
                <c:pt idx="342">
                  <c:v>1.94</c:v>
                </c:pt>
                <c:pt idx="343">
                  <c:v>0.03</c:v>
                </c:pt>
                <c:pt idx="344">
                  <c:v>0.02</c:v>
                </c:pt>
                <c:pt idx="345">
                  <c:v>0.08</c:v>
                </c:pt>
                <c:pt idx="346">
                  <c:v>7.6</c:v>
                </c:pt>
                <c:pt idx="347">
                  <c:v>21.59</c:v>
                </c:pt>
                <c:pt idx="348">
                  <c:v>0.21</c:v>
                </c:pt>
                <c:pt idx="349">
                  <c:v>67.540000000000006</c:v>
                </c:pt>
                <c:pt idx="350">
                  <c:v>2.46</c:v>
                </c:pt>
                <c:pt idx="351">
                  <c:v>139.85</c:v>
                </c:pt>
                <c:pt idx="352">
                  <c:v>7.44</c:v>
                </c:pt>
                <c:pt idx="353">
                  <c:v>2.46</c:v>
                </c:pt>
                <c:pt idx="354">
                  <c:v>2.42</c:v>
                </c:pt>
                <c:pt idx="355">
                  <c:v>148.81</c:v>
                </c:pt>
                <c:pt idx="356">
                  <c:v>2.46</c:v>
                </c:pt>
                <c:pt idx="357">
                  <c:v>0.01</c:v>
                </c:pt>
                <c:pt idx="358">
                  <c:v>0.05</c:v>
                </c:pt>
                <c:pt idx="359">
                  <c:v>2.46</c:v>
                </c:pt>
                <c:pt idx="360">
                  <c:v>0.01</c:v>
                </c:pt>
                <c:pt idx="361">
                  <c:v>0.61</c:v>
                </c:pt>
                <c:pt idx="362">
                  <c:v>2.46</c:v>
                </c:pt>
                <c:pt idx="363">
                  <c:v>1.07</c:v>
                </c:pt>
                <c:pt idx="364">
                  <c:v>0.69</c:v>
                </c:pt>
                <c:pt idx="365">
                  <c:v>0.08</c:v>
                </c:pt>
                <c:pt idx="366">
                  <c:v>0.01</c:v>
                </c:pt>
                <c:pt idx="367">
                  <c:v>0.05</c:v>
                </c:pt>
                <c:pt idx="368">
                  <c:v>1.06</c:v>
                </c:pt>
                <c:pt idx="369">
                  <c:v>0.28000000000000003</c:v>
                </c:pt>
                <c:pt idx="370">
                  <c:v>2.46</c:v>
                </c:pt>
                <c:pt idx="371">
                  <c:v>0</c:v>
                </c:pt>
                <c:pt idx="372">
                  <c:v>0.71</c:v>
                </c:pt>
                <c:pt idx="373">
                  <c:v>1.35</c:v>
                </c:pt>
                <c:pt idx="374">
                  <c:v>0.15</c:v>
                </c:pt>
                <c:pt idx="375">
                  <c:v>57.01</c:v>
                </c:pt>
                <c:pt idx="376">
                  <c:v>0.25</c:v>
                </c:pt>
                <c:pt idx="377">
                  <c:v>0.15</c:v>
                </c:pt>
                <c:pt idx="378">
                  <c:v>2.46</c:v>
                </c:pt>
                <c:pt idx="379">
                  <c:v>0.01</c:v>
                </c:pt>
                <c:pt idx="380">
                  <c:v>15.02</c:v>
                </c:pt>
                <c:pt idx="381">
                  <c:v>0.1</c:v>
                </c:pt>
                <c:pt idx="382">
                  <c:v>0.28999999999999998</c:v>
                </c:pt>
                <c:pt idx="383">
                  <c:v>0.02</c:v>
                </c:pt>
                <c:pt idx="384">
                  <c:v>7.0000000000000007E-2</c:v>
                </c:pt>
                <c:pt idx="385">
                  <c:v>2.46</c:v>
                </c:pt>
                <c:pt idx="386">
                  <c:v>0.09</c:v>
                </c:pt>
                <c:pt idx="387">
                  <c:v>0.11</c:v>
                </c:pt>
                <c:pt idx="388">
                  <c:v>2.46</c:v>
                </c:pt>
                <c:pt idx="389">
                  <c:v>0.06</c:v>
                </c:pt>
                <c:pt idx="390">
                  <c:v>0.26</c:v>
                </c:pt>
                <c:pt idx="391">
                  <c:v>4.0599999999999996</c:v>
                </c:pt>
                <c:pt idx="392">
                  <c:v>0.03</c:v>
                </c:pt>
                <c:pt idx="393">
                  <c:v>2.46</c:v>
                </c:pt>
                <c:pt idx="394">
                  <c:v>0.02</c:v>
                </c:pt>
                <c:pt idx="395">
                  <c:v>2.46</c:v>
                </c:pt>
                <c:pt idx="396">
                  <c:v>2.46</c:v>
                </c:pt>
                <c:pt idx="397">
                  <c:v>12.5</c:v>
                </c:pt>
                <c:pt idx="398">
                  <c:v>2.46</c:v>
                </c:pt>
                <c:pt idx="399">
                  <c:v>2.46</c:v>
                </c:pt>
                <c:pt idx="400">
                  <c:v>46</c:v>
                </c:pt>
                <c:pt idx="401">
                  <c:v>71.63</c:v>
                </c:pt>
                <c:pt idx="402">
                  <c:v>32.17</c:v>
                </c:pt>
                <c:pt idx="403">
                  <c:v>2.46</c:v>
                </c:pt>
                <c:pt idx="404">
                  <c:v>17.41</c:v>
                </c:pt>
                <c:pt idx="405">
                  <c:v>19.7</c:v>
                </c:pt>
                <c:pt idx="406">
                  <c:v>2.46</c:v>
                </c:pt>
                <c:pt idx="407">
                  <c:v>89.02</c:v>
                </c:pt>
                <c:pt idx="408">
                  <c:v>26.63</c:v>
                </c:pt>
                <c:pt idx="409">
                  <c:v>409.01</c:v>
                </c:pt>
                <c:pt idx="410">
                  <c:v>55.7</c:v>
                </c:pt>
                <c:pt idx="411">
                  <c:v>71.349999999999994</c:v>
                </c:pt>
                <c:pt idx="412">
                  <c:v>17.62</c:v>
                </c:pt>
                <c:pt idx="413">
                  <c:v>25.68</c:v>
                </c:pt>
                <c:pt idx="414">
                  <c:v>2.46</c:v>
                </c:pt>
                <c:pt idx="415">
                  <c:v>0.06</c:v>
                </c:pt>
                <c:pt idx="416">
                  <c:v>0.03</c:v>
                </c:pt>
                <c:pt idx="417">
                  <c:v>10.88</c:v>
                </c:pt>
                <c:pt idx="418">
                  <c:v>64.47</c:v>
                </c:pt>
                <c:pt idx="419">
                  <c:v>0</c:v>
                </c:pt>
                <c:pt idx="420">
                  <c:v>2.46</c:v>
                </c:pt>
                <c:pt idx="421">
                  <c:v>187.17</c:v>
                </c:pt>
                <c:pt idx="422">
                  <c:v>0.44</c:v>
                </c:pt>
                <c:pt idx="423">
                  <c:v>0.04</c:v>
                </c:pt>
                <c:pt idx="424">
                  <c:v>18</c:v>
                </c:pt>
                <c:pt idx="425">
                  <c:v>268.49</c:v>
                </c:pt>
                <c:pt idx="426">
                  <c:v>159.58000000000001</c:v>
                </c:pt>
                <c:pt idx="427">
                  <c:v>0.78</c:v>
                </c:pt>
                <c:pt idx="428">
                  <c:v>0.36</c:v>
                </c:pt>
                <c:pt idx="429">
                  <c:v>144.84</c:v>
                </c:pt>
                <c:pt idx="430">
                  <c:v>21.78</c:v>
                </c:pt>
                <c:pt idx="431">
                  <c:v>49.88</c:v>
                </c:pt>
                <c:pt idx="432">
                  <c:v>19.45</c:v>
                </c:pt>
                <c:pt idx="433">
                  <c:v>0.02</c:v>
                </c:pt>
                <c:pt idx="434">
                  <c:v>33.619999999999997</c:v>
                </c:pt>
                <c:pt idx="435">
                  <c:v>2.3199999999999998</c:v>
                </c:pt>
                <c:pt idx="436">
                  <c:v>93.05</c:v>
                </c:pt>
                <c:pt idx="437">
                  <c:v>202.36</c:v>
                </c:pt>
                <c:pt idx="438">
                  <c:v>60.52</c:v>
                </c:pt>
                <c:pt idx="439">
                  <c:v>117.72</c:v>
                </c:pt>
                <c:pt idx="440">
                  <c:v>2.46</c:v>
                </c:pt>
                <c:pt idx="441">
                  <c:v>2.27</c:v>
                </c:pt>
                <c:pt idx="442">
                  <c:v>31.17</c:v>
                </c:pt>
                <c:pt idx="443">
                  <c:v>0.39</c:v>
                </c:pt>
                <c:pt idx="444">
                  <c:v>67.349999999999994</c:v>
                </c:pt>
                <c:pt idx="445">
                  <c:v>101.8</c:v>
                </c:pt>
                <c:pt idx="446">
                  <c:v>16.13</c:v>
                </c:pt>
                <c:pt idx="447">
                  <c:v>0.13</c:v>
                </c:pt>
                <c:pt idx="448">
                  <c:v>2.2000000000000002</c:v>
                </c:pt>
                <c:pt idx="449">
                  <c:v>0.04</c:v>
                </c:pt>
                <c:pt idx="450">
                  <c:v>83.03</c:v>
                </c:pt>
                <c:pt idx="451">
                  <c:v>2.46</c:v>
                </c:pt>
                <c:pt idx="452">
                  <c:v>5.84</c:v>
                </c:pt>
                <c:pt idx="453">
                  <c:v>228.78</c:v>
                </c:pt>
                <c:pt idx="454">
                  <c:v>0.65</c:v>
                </c:pt>
                <c:pt idx="455">
                  <c:v>61</c:v>
                </c:pt>
                <c:pt idx="456">
                  <c:v>10.49</c:v>
                </c:pt>
                <c:pt idx="457">
                  <c:v>0.01</c:v>
                </c:pt>
                <c:pt idx="458">
                  <c:v>0.09</c:v>
                </c:pt>
                <c:pt idx="459">
                  <c:v>2.46</c:v>
                </c:pt>
                <c:pt idx="460">
                  <c:v>0.32</c:v>
                </c:pt>
                <c:pt idx="461">
                  <c:v>2.46</c:v>
                </c:pt>
                <c:pt idx="462">
                  <c:v>53.26</c:v>
                </c:pt>
                <c:pt idx="463">
                  <c:v>0.03</c:v>
                </c:pt>
                <c:pt idx="464">
                  <c:v>2.46</c:v>
                </c:pt>
                <c:pt idx="465">
                  <c:v>6.85</c:v>
                </c:pt>
                <c:pt idx="466">
                  <c:v>0.02</c:v>
                </c:pt>
                <c:pt idx="467">
                  <c:v>0.06</c:v>
                </c:pt>
                <c:pt idx="468">
                  <c:v>11.33</c:v>
                </c:pt>
                <c:pt idx="469">
                  <c:v>83.59</c:v>
                </c:pt>
                <c:pt idx="470">
                  <c:v>68.56</c:v>
                </c:pt>
                <c:pt idx="471">
                  <c:v>16.100000000000001</c:v>
                </c:pt>
                <c:pt idx="472">
                  <c:v>107.1</c:v>
                </c:pt>
                <c:pt idx="473">
                  <c:v>21.5</c:v>
                </c:pt>
                <c:pt idx="474">
                  <c:v>274.08999999999997</c:v>
                </c:pt>
                <c:pt idx="475">
                  <c:v>2.46</c:v>
                </c:pt>
                <c:pt idx="476">
                  <c:v>73.099999999999994</c:v>
                </c:pt>
                <c:pt idx="477">
                  <c:v>0.08</c:v>
                </c:pt>
                <c:pt idx="478">
                  <c:v>2.46</c:v>
                </c:pt>
                <c:pt idx="479">
                  <c:v>42.03</c:v>
                </c:pt>
                <c:pt idx="480">
                  <c:v>19.32</c:v>
                </c:pt>
                <c:pt idx="481">
                  <c:v>1.01</c:v>
                </c:pt>
                <c:pt idx="482">
                  <c:v>0.04</c:v>
                </c:pt>
                <c:pt idx="483">
                  <c:v>2.46</c:v>
                </c:pt>
                <c:pt idx="484">
                  <c:v>2.46</c:v>
                </c:pt>
                <c:pt idx="485">
                  <c:v>132.56</c:v>
                </c:pt>
                <c:pt idx="486">
                  <c:v>36.92</c:v>
                </c:pt>
                <c:pt idx="487">
                  <c:v>2.46</c:v>
                </c:pt>
                <c:pt idx="488">
                  <c:v>0.09</c:v>
                </c:pt>
                <c:pt idx="489">
                  <c:v>116.63</c:v>
                </c:pt>
                <c:pt idx="490">
                  <c:v>2.11</c:v>
                </c:pt>
                <c:pt idx="491">
                  <c:v>1.33</c:v>
                </c:pt>
                <c:pt idx="492">
                  <c:v>0.15</c:v>
                </c:pt>
                <c:pt idx="493">
                  <c:v>8.32</c:v>
                </c:pt>
                <c:pt idx="494">
                  <c:v>89.3</c:v>
                </c:pt>
                <c:pt idx="495">
                  <c:v>424.67</c:v>
                </c:pt>
                <c:pt idx="496">
                  <c:v>2.46</c:v>
                </c:pt>
                <c:pt idx="497">
                  <c:v>56.67</c:v>
                </c:pt>
                <c:pt idx="498">
                  <c:v>116.9</c:v>
                </c:pt>
                <c:pt idx="499">
                  <c:v>37.74</c:v>
                </c:pt>
                <c:pt idx="500">
                  <c:v>27.3</c:v>
                </c:pt>
                <c:pt idx="501">
                  <c:v>61.74</c:v>
                </c:pt>
                <c:pt idx="502">
                  <c:v>25.13</c:v>
                </c:pt>
                <c:pt idx="503">
                  <c:v>0.09</c:v>
                </c:pt>
                <c:pt idx="504">
                  <c:v>2.46</c:v>
                </c:pt>
                <c:pt idx="505">
                  <c:v>400.74</c:v>
                </c:pt>
                <c:pt idx="506">
                  <c:v>25.57</c:v>
                </c:pt>
                <c:pt idx="507">
                  <c:v>0.33</c:v>
                </c:pt>
                <c:pt idx="508">
                  <c:v>0.49</c:v>
                </c:pt>
                <c:pt idx="509">
                  <c:v>1.01</c:v>
                </c:pt>
                <c:pt idx="510">
                  <c:v>2.46</c:v>
                </c:pt>
                <c:pt idx="511">
                  <c:v>35.270000000000003</c:v>
                </c:pt>
                <c:pt idx="512">
                  <c:v>24.48</c:v>
                </c:pt>
                <c:pt idx="513">
                  <c:v>0.02</c:v>
                </c:pt>
                <c:pt idx="514">
                  <c:v>15.32</c:v>
                </c:pt>
                <c:pt idx="515">
                  <c:v>1</c:v>
                </c:pt>
                <c:pt idx="516">
                  <c:v>0.17</c:v>
                </c:pt>
                <c:pt idx="517">
                  <c:v>16.97</c:v>
                </c:pt>
                <c:pt idx="518">
                  <c:v>26.95</c:v>
                </c:pt>
                <c:pt idx="519">
                  <c:v>29.81</c:v>
                </c:pt>
                <c:pt idx="520">
                  <c:v>102</c:v>
                </c:pt>
                <c:pt idx="521">
                  <c:v>234.91</c:v>
                </c:pt>
                <c:pt idx="522">
                  <c:v>2.46</c:v>
                </c:pt>
                <c:pt idx="523">
                  <c:v>0.14000000000000001</c:v>
                </c:pt>
                <c:pt idx="524">
                  <c:v>63.91</c:v>
                </c:pt>
                <c:pt idx="525">
                  <c:v>20.16</c:v>
                </c:pt>
                <c:pt idx="526">
                  <c:v>2.96</c:v>
                </c:pt>
                <c:pt idx="527">
                  <c:v>0.01</c:v>
                </c:pt>
                <c:pt idx="528">
                  <c:v>0.04</c:v>
                </c:pt>
                <c:pt idx="529">
                  <c:v>4.95</c:v>
                </c:pt>
                <c:pt idx="530">
                  <c:v>0.03</c:v>
                </c:pt>
                <c:pt idx="531">
                  <c:v>0</c:v>
                </c:pt>
                <c:pt idx="532">
                  <c:v>0.15</c:v>
                </c:pt>
                <c:pt idx="533">
                  <c:v>291.05</c:v>
                </c:pt>
                <c:pt idx="534">
                  <c:v>2.46</c:v>
                </c:pt>
                <c:pt idx="535">
                  <c:v>0.06</c:v>
                </c:pt>
                <c:pt idx="536">
                  <c:v>0.02</c:v>
                </c:pt>
                <c:pt idx="537">
                  <c:v>2.19</c:v>
                </c:pt>
                <c:pt idx="538">
                  <c:v>1.03</c:v>
                </c:pt>
                <c:pt idx="539">
                  <c:v>150.12</c:v>
                </c:pt>
                <c:pt idx="540">
                  <c:v>0.05</c:v>
                </c:pt>
                <c:pt idx="541">
                  <c:v>2.46</c:v>
                </c:pt>
                <c:pt idx="542">
                  <c:v>0.02</c:v>
                </c:pt>
                <c:pt idx="543">
                  <c:v>6.26</c:v>
                </c:pt>
                <c:pt idx="544">
                  <c:v>4.5599999999999996</c:v>
                </c:pt>
                <c:pt idx="545">
                  <c:v>2.46</c:v>
                </c:pt>
                <c:pt idx="546">
                  <c:v>17.54</c:v>
                </c:pt>
                <c:pt idx="547">
                  <c:v>2.46</c:v>
                </c:pt>
                <c:pt idx="548">
                  <c:v>3.25</c:v>
                </c:pt>
                <c:pt idx="549">
                  <c:v>0.14000000000000001</c:v>
                </c:pt>
                <c:pt idx="550">
                  <c:v>2.15</c:v>
                </c:pt>
                <c:pt idx="551">
                  <c:v>0.2</c:v>
                </c:pt>
                <c:pt idx="552">
                  <c:v>2.46</c:v>
                </c:pt>
                <c:pt idx="553">
                  <c:v>2.46</c:v>
                </c:pt>
                <c:pt idx="554">
                  <c:v>0.02</c:v>
                </c:pt>
                <c:pt idx="555">
                  <c:v>2.46</c:v>
                </c:pt>
                <c:pt idx="556">
                  <c:v>0.09</c:v>
                </c:pt>
                <c:pt idx="557">
                  <c:v>0.38</c:v>
                </c:pt>
                <c:pt idx="558">
                  <c:v>0.09</c:v>
                </c:pt>
                <c:pt idx="559">
                  <c:v>2.46</c:v>
                </c:pt>
                <c:pt idx="560">
                  <c:v>2.0099999999999998</c:v>
                </c:pt>
                <c:pt idx="561">
                  <c:v>2.2200000000000002</c:v>
                </c:pt>
                <c:pt idx="562">
                  <c:v>1.23</c:v>
                </c:pt>
                <c:pt idx="563">
                  <c:v>0.04</c:v>
                </c:pt>
                <c:pt idx="564">
                  <c:v>2.46</c:v>
                </c:pt>
                <c:pt idx="565">
                  <c:v>4.4400000000000004</c:v>
                </c:pt>
                <c:pt idx="566">
                  <c:v>2.46</c:v>
                </c:pt>
                <c:pt idx="567">
                  <c:v>2.46</c:v>
                </c:pt>
                <c:pt idx="568">
                  <c:v>83.3</c:v>
                </c:pt>
                <c:pt idx="569">
                  <c:v>0.65</c:v>
                </c:pt>
                <c:pt idx="570">
                  <c:v>2.46</c:v>
                </c:pt>
                <c:pt idx="571">
                  <c:v>2.46</c:v>
                </c:pt>
                <c:pt idx="572">
                  <c:v>1.36</c:v>
                </c:pt>
                <c:pt idx="573">
                  <c:v>0.41</c:v>
                </c:pt>
                <c:pt idx="574">
                  <c:v>7.02</c:v>
                </c:pt>
                <c:pt idx="575">
                  <c:v>125.1</c:v>
                </c:pt>
                <c:pt idx="576">
                  <c:v>0.26</c:v>
                </c:pt>
                <c:pt idx="577">
                  <c:v>0</c:v>
                </c:pt>
                <c:pt idx="578">
                  <c:v>0.01</c:v>
                </c:pt>
                <c:pt idx="579">
                  <c:v>0.02</c:v>
                </c:pt>
                <c:pt idx="580">
                  <c:v>2.46</c:v>
                </c:pt>
                <c:pt idx="581">
                  <c:v>0.05</c:v>
                </c:pt>
                <c:pt idx="582">
                  <c:v>1.01</c:v>
                </c:pt>
                <c:pt idx="583">
                  <c:v>0.52</c:v>
                </c:pt>
                <c:pt idx="584">
                  <c:v>2.46</c:v>
                </c:pt>
                <c:pt idx="585">
                  <c:v>0.04</c:v>
                </c:pt>
                <c:pt idx="586">
                  <c:v>0.37</c:v>
                </c:pt>
                <c:pt idx="587">
                  <c:v>2.46</c:v>
                </c:pt>
                <c:pt idx="588">
                  <c:v>2.46</c:v>
                </c:pt>
                <c:pt idx="589">
                  <c:v>2.46</c:v>
                </c:pt>
                <c:pt idx="590">
                  <c:v>2.46</c:v>
                </c:pt>
                <c:pt idx="591">
                  <c:v>44.47</c:v>
                </c:pt>
                <c:pt idx="592">
                  <c:v>38.36</c:v>
                </c:pt>
                <c:pt idx="593">
                  <c:v>2.46</c:v>
                </c:pt>
                <c:pt idx="594">
                  <c:v>0.28000000000000003</c:v>
                </c:pt>
                <c:pt idx="595">
                  <c:v>27.7</c:v>
                </c:pt>
                <c:pt idx="596">
                  <c:v>0.02</c:v>
                </c:pt>
                <c:pt idx="597">
                  <c:v>0.2</c:v>
                </c:pt>
                <c:pt idx="598">
                  <c:v>0.01</c:v>
                </c:pt>
                <c:pt idx="599">
                  <c:v>2.61</c:v>
                </c:pt>
                <c:pt idx="600">
                  <c:v>0.51</c:v>
                </c:pt>
                <c:pt idx="601">
                  <c:v>10.73</c:v>
                </c:pt>
                <c:pt idx="602">
                  <c:v>2.46</c:v>
                </c:pt>
                <c:pt idx="603">
                  <c:v>2.46</c:v>
                </c:pt>
                <c:pt idx="604">
                  <c:v>0.16</c:v>
                </c:pt>
                <c:pt idx="605">
                  <c:v>0.31</c:v>
                </c:pt>
                <c:pt idx="606">
                  <c:v>0.03</c:v>
                </c:pt>
                <c:pt idx="607">
                  <c:v>37.71</c:v>
                </c:pt>
                <c:pt idx="608">
                  <c:v>0.01</c:v>
                </c:pt>
                <c:pt idx="609">
                  <c:v>2.17</c:v>
                </c:pt>
                <c:pt idx="610">
                  <c:v>16.170000000000002</c:v>
                </c:pt>
                <c:pt idx="611">
                  <c:v>3.41</c:v>
                </c:pt>
                <c:pt idx="612">
                  <c:v>1.02</c:v>
                </c:pt>
                <c:pt idx="613">
                  <c:v>2.46</c:v>
                </c:pt>
                <c:pt idx="614">
                  <c:v>21.49</c:v>
                </c:pt>
                <c:pt idx="615">
                  <c:v>2.46</c:v>
                </c:pt>
                <c:pt idx="616">
                  <c:v>2.46</c:v>
                </c:pt>
                <c:pt idx="617">
                  <c:v>0.09</c:v>
                </c:pt>
                <c:pt idx="618">
                  <c:v>33.409999999999997</c:v>
                </c:pt>
                <c:pt idx="619">
                  <c:v>0</c:v>
                </c:pt>
                <c:pt idx="620">
                  <c:v>2.46</c:v>
                </c:pt>
                <c:pt idx="621">
                  <c:v>58.24</c:v>
                </c:pt>
                <c:pt idx="622">
                  <c:v>0.22</c:v>
                </c:pt>
                <c:pt idx="623">
                  <c:v>2.46</c:v>
                </c:pt>
                <c:pt idx="624">
                  <c:v>0.25</c:v>
                </c:pt>
                <c:pt idx="625">
                  <c:v>0.42</c:v>
                </c:pt>
                <c:pt idx="626">
                  <c:v>0.13</c:v>
                </c:pt>
                <c:pt idx="627">
                  <c:v>2.46</c:v>
                </c:pt>
                <c:pt idx="628">
                  <c:v>0.05</c:v>
                </c:pt>
                <c:pt idx="629">
                  <c:v>13.36</c:v>
                </c:pt>
                <c:pt idx="630">
                  <c:v>0.05</c:v>
                </c:pt>
                <c:pt idx="631">
                  <c:v>2.46</c:v>
                </c:pt>
                <c:pt idx="632">
                  <c:v>0.16</c:v>
                </c:pt>
                <c:pt idx="633">
                  <c:v>7.0000000000000007E-2</c:v>
                </c:pt>
                <c:pt idx="634">
                  <c:v>238.68</c:v>
                </c:pt>
                <c:pt idx="635">
                  <c:v>2.46</c:v>
                </c:pt>
                <c:pt idx="636">
                  <c:v>71.02</c:v>
                </c:pt>
                <c:pt idx="637">
                  <c:v>1.88</c:v>
                </c:pt>
                <c:pt idx="638">
                  <c:v>90.29</c:v>
                </c:pt>
                <c:pt idx="639">
                  <c:v>0.01</c:v>
                </c:pt>
                <c:pt idx="640">
                  <c:v>2.46</c:v>
                </c:pt>
                <c:pt idx="641">
                  <c:v>75.61</c:v>
                </c:pt>
                <c:pt idx="642">
                  <c:v>0.05</c:v>
                </c:pt>
                <c:pt idx="643">
                  <c:v>0.01</c:v>
                </c:pt>
                <c:pt idx="644">
                  <c:v>2.46</c:v>
                </c:pt>
                <c:pt idx="645">
                  <c:v>0.32</c:v>
                </c:pt>
                <c:pt idx="646">
                  <c:v>0.1</c:v>
                </c:pt>
                <c:pt idx="647">
                  <c:v>0.03</c:v>
                </c:pt>
                <c:pt idx="648">
                  <c:v>2.46</c:v>
                </c:pt>
                <c:pt idx="649">
                  <c:v>0.79</c:v>
                </c:pt>
                <c:pt idx="650">
                  <c:v>0.33</c:v>
                </c:pt>
                <c:pt idx="651">
                  <c:v>2.46</c:v>
                </c:pt>
                <c:pt idx="652">
                  <c:v>30.66</c:v>
                </c:pt>
                <c:pt idx="653">
                  <c:v>1.51</c:v>
                </c:pt>
                <c:pt idx="654">
                  <c:v>3.83</c:v>
                </c:pt>
                <c:pt idx="655">
                  <c:v>137.4</c:v>
                </c:pt>
                <c:pt idx="656">
                  <c:v>2.46</c:v>
                </c:pt>
                <c:pt idx="657">
                  <c:v>2.46</c:v>
                </c:pt>
                <c:pt idx="658">
                  <c:v>258.37</c:v>
                </c:pt>
                <c:pt idx="659">
                  <c:v>2.46</c:v>
                </c:pt>
                <c:pt idx="660">
                  <c:v>0.27</c:v>
                </c:pt>
                <c:pt idx="661">
                  <c:v>0.28999999999999998</c:v>
                </c:pt>
                <c:pt idx="662">
                  <c:v>0.01</c:v>
                </c:pt>
                <c:pt idx="663">
                  <c:v>0.05</c:v>
                </c:pt>
                <c:pt idx="664">
                  <c:v>2.46</c:v>
                </c:pt>
                <c:pt idx="665">
                  <c:v>13.24</c:v>
                </c:pt>
                <c:pt idx="666">
                  <c:v>2.46</c:v>
                </c:pt>
                <c:pt idx="667">
                  <c:v>2.46</c:v>
                </c:pt>
                <c:pt idx="668">
                  <c:v>0.19</c:v>
                </c:pt>
                <c:pt idx="669">
                  <c:v>0.25</c:v>
                </c:pt>
                <c:pt idx="670">
                  <c:v>2.46</c:v>
                </c:pt>
                <c:pt idx="671">
                  <c:v>0</c:v>
                </c:pt>
                <c:pt idx="672">
                  <c:v>2.46</c:v>
                </c:pt>
                <c:pt idx="673">
                  <c:v>2.46</c:v>
                </c:pt>
                <c:pt idx="674">
                  <c:v>1.36</c:v>
                </c:pt>
                <c:pt idx="675">
                  <c:v>0.57999999999999996</c:v>
                </c:pt>
                <c:pt idx="676">
                  <c:v>2.46</c:v>
                </c:pt>
                <c:pt idx="677">
                  <c:v>0.3</c:v>
                </c:pt>
                <c:pt idx="678">
                  <c:v>2.46</c:v>
                </c:pt>
                <c:pt idx="679">
                  <c:v>2.46</c:v>
                </c:pt>
                <c:pt idx="680">
                  <c:v>2.46</c:v>
                </c:pt>
                <c:pt idx="681">
                  <c:v>0.02</c:v>
                </c:pt>
                <c:pt idx="682">
                  <c:v>0.13</c:v>
                </c:pt>
                <c:pt idx="683">
                  <c:v>0</c:v>
                </c:pt>
                <c:pt idx="684">
                  <c:v>17.649999999999999</c:v>
                </c:pt>
                <c:pt idx="685">
                  <c:v>2.46</c:v>
                </c:pt>
                <c:pt idx="686">
                  <c:v>2.46</c:v>
                </c:pt>
                <c:pt idx="687">
                  <c:v>2.85</c:v>
                </c:pt>
                <c:pt idx="688">
                  <c:v>0.14000000000000001</c:v>
                </c:pt>
                <c:pt idx="689">
                  <c:v>0</c:v>
                </c:pt>
                <c:pt idx="690">
                  <c:v>2.46</c:v>
                </c:pt>
                <c:pt idx="691">
                  <c:v>2.46</c:v>
                </c:pt>
                <c:pt idx="692">
                  <c:v>1.08</c:v>
                </c:pt>
                <c:pt idx="693">
                  <c:v>0.11</c:v>
                </c:pt>
                <c:pt idx="694">
                  <c:v>0.01</c:v>
                </c:pt>
                <c:pt idx="695">
                  <c:v>0</c:v>
                </c:pt>
                <c:pt idx="696">
                  <c:v>0.75</c:v>
                </c:pt>
                <c:pt idx="697">
                  <c:v>0.06</c:v>
                </c:pt>
                <c:pt idx="698">
                  <c:v>0.31</c:v>
                </c:pt>
                <c:pt idx="699">
                  <c:v>2.46</c:v>
                </c:pt>
                <c:pt idx="700">
                  <c:v>2.46</c:v>
                </c:pt>
                <c:pt idx="701">
                  <c:v>7.0000000000000007E-2</c:v>
                </c:pt>
                <c:pt idx="702">
                  <c:v>0.05</c:v>
                </c:pt>
                <c:pt idx="703">
                  <c:v>8.83</c:v>
                </c:pt>
                <c:pt idx="704">
                  <c:v>0.01</c:v>
                </c:pt>
                <c:pt idx="705">
                  <c:v>2.46</c:v>
                </c:pt>
                <c:pt idx="706">
                  <c:v>98.93</c:v>
                </c:pt>
                <c:pt idx="707">
                  <c:v>2.46</c:v>
                </c:pt>
                <c:pt idx="708">
                  <c:v>2.46</c:v>
                </c:pt>
                <c:pt idx="709">
                  <c:v>2.46</c:v>
                </c:pt>
                <c:pt idx="710">
                  <c:v>19.079999999999998</c:v>
                </c:pt>
                <c:pt idx="711">
                  <c:v>59.1</c:v>
                </c:pt>
                <c:pt idx="712">
                  <c:v>106.58</c:v>
                </c:pt>
                <c:pt idx="713">
                  <c:v>0.01</c:v>
                </c:pt>
                <c:pt idx="714">
                  <c:v>2.46</c:v>
                </c:pt>
                <c:pt idx="715">
                  <c:v>7.0000000000000007E-2</c:v>
                </c:pt>
                <c:pt idx="716">
                  <c:v>3.32</c:v>
                </c:pt>
                <c:pt idx="717">
                  <c:v>0.72</c:v>
                </c:pt>
                <c:pt idx="718">
                  <c:v>0.05</c:v>
                </c:pt>
                <c:pt idx="719">
                  <c:v>2.46</c:v>
                </c:pt>
                <c:pt idx="720">
                  <c:v>58.61</c:v>
                </c:pt>
                <c:pt idx="721">
                  <c:v>2.46</c:v>
                </c:pt>
                <c:pt idx="722">
                  <c:v>78.03</c:v>
                </c:pt>
                <c:pt idx="723">
                  <c:v>23.22</c:v>
                </c:pt>
                <c:pt idx="724">
                  <c:v>30.7</c:v>
                </c:pt>
                <c:pt idx="725">
                  <c:v>0.04</c:v>
                </c:pt>
                <c:pt idx="726">
                  <c:v>18.850000000000001</c:v>
                </c:pt>
                <c:pt idx="727">
                  <c:v>0.01</c:v>
                </c:pt>
                <c:pt idx="728">
                  <c:v>50.58</c:v>
                </c:pt>
                <c:pt idx="729">
                  <c:v>7.79</c:v>
                </c:pt>
                <c:pt idx="730">
                  <c:v>2.46</c:v>
                </c:pt>
                <c:pt idx="731">
                  <c:v>2.46</c:v>
                </c:pt>
                <c:pt idx="732">
                  <c:v>0.02</c:v>
                </c:pt>
                <c:pt idx="733">
                  <c:v>2.46</c:v>
                </c:pt>
                <c:pt idx="734">
                  <c:v>23.39</c:v>
                </c:pt>
                <c:pt idx="735">
                  <c:v>92.17</c:v>
                </c:pt>
                <c:pt idx="736">
                  <c:v>100.21</c:v>
                </c:pt>
                <c:pt idx="737">
                  <c:v>101.2</c:v>
                </c:pt>
                <c:pt idx="738">
                  <c:v>150.94999999999999</c:v>
                </c:pt>
                <c:pt idx="739">
                  <c:v>2.46</c:v>
                </c:pt>
                <c:pt idx="740">
                  <c:v>5.55</c:v>
                </c:pt>
                <c:pt idx="741">
                  <c:v>28.83</c:v>
                </c:pt>
                <c:pt idx="742">
                  <c:v>0.06</c:v>
                </c:pt>
                <c:pt idx="743">
                  <c:v>10.51</c:v>
                </c:pt>
                <c:pt idx="744">
                  <c:v>0.21</c:v>
                </c:pt>
                <c:pt idx="745">
                  <c:v>233.92</c:v>
                </c:pt>
                <c:pt idx="746">
                  <c:v>43.58</c:v>
                </c:pt>
                <c:pt idx="747">
                  <c:v>23.02</c:v>
                </c:pt>
                <c:pt idx="748">
                  <c:v>124.87</c:v>
                </c:pt>
                <c:pt idx="749">
                  <c:v>83.91</c:v>
                </c:pt>
                <c:pt idx="750">
                  <c:v>202.85</c:v>
                </c:pt>
                <c:pt idx="751">
                  <c:v>200.68</c:v>
                </c:pt>
                <c:pt idx="752">
                  <c:v>71.959999999999994</c:v>
                </c:pt>
                <c:pt idx="753">
                  <c:v>1.1100000000000001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39.32</c:v>
                </c:pt>
                <c:pt idx="757">
                  <c:v>2.46</c:v>
                </c:pt>
                <c:pt idx="758">
                  <c:v>31.42</c:v>
                </c:pt>
                <c:pt idx="759">
                  <c:v>0.64</c:v>
                </c:pt>
                <c:pt idx="760">
                  <c:v>45.09</c:v>
                </c:pt>
                <c:pt idx="761">
                  <c:v>2.46</c:v>
                </c:pt>
                <c:pt idx="762">
                  <c:v>2.46</c:v>
                </c:pt>
                <c:pt idx="763">
                  <c:v>0.35</c:v>
                </c:pt>
                <c:pt idx="764">
                  <c:v>43.14</c:v>
                </c:pt>
                <c:pt idx="765">
                  <c:v>150.16</c:v>
                </c:pt>
                <c:pt idx="766">
                  <c:v>0.51</c:v>
                </c:pt>
                <c:pt idx="767">
                  <c:v>2.46</c:v>
                </c:pt>
                <c:pt idx="768">
                  <c:v>2.4300000000000002</c:v>
                </c:pt>
                <c:pt idx="769">
                  <c:v>24.98</c:v>
                </c:pt>
                <c:pt idx="770">
                  <c:v>245.44</c:v>
                </c:pt>
                <c:pt idx="771">
                  <c:v>2.46</c:v>
                </c:pt>
                <c:pt idx="772">
                  <c:v>36.450000000000003</c:v>
                </c:pt>
                <c:pt idx="773">
                  <c:v>0.03</c:v>
                </c:pt>
                <c:pt idx="774">
                  <c:v>2.46</c:v>
                </c:pt>
                <c:pt idx="775">
                  <c:v>2.46</c:v>
                </c:pt>
                <c:pt idx="776">
                  <c:v>2.46</c:v>
                </c:pt>
                <c:pt idx="777">
                  <c:v>26.31</c:v>
                </c:pt>
                <c:pt idx="778">
                  <c:v>0.41</c:v>
                </c:pt>
                <c:pt idx="779">
                  <c:v>13.76</c:v>
                </c:pt>
                <c:pt idx="780">
                  <c:v>2.46</c:v>
                </c:pt>
                <c:pt idx="781">
                  <c:v>14</c:v>
                </c:pt>
                <c:pt idx="782">
                  <c:v>0.01</c:v>
                </c:pt>
                <c:pt idx="783">
                  <c:v>208.55</c:v>
                </c:pt>
                <c:pt idx="784">
                  <c:v>47.12</c:v>
                </c:pt>
                <c:pt idx="785">
                  <c:v>2.46</c:v>
                </c:pt>
                <c:pt idx="786">
                  <c:v>50.47</c:v>
                </c:pt>
                <c:pt idx="787">
                  <c:v>0.1</c:v>
                </c:pt>
                <c:pt idx="788">
                  <c:v>0.28000000000000003</c:v>
                </c:pt>
                <c:pt idx="789">
                  <c:v>2.46</c:v>
                </c:pt>
                <c:pt idx="790">
                  <c:v>2.46</c:v>
                </c:pt>
                <c:pt idx="791">
                  <c:v>54.24</c:v>
                </c:pt>
                <c:pt idx="792">
                  <c:v>0.1</c:v>
                </c:pt>
                <c:pt idx="793">
                  <c:v>126.66</c:v>
                </c:pt>
                <c:pt idx="794">
                  <c:v>56.28</c:v>
                </c:pt>
                <c:pt idx="795">
                  <c:v>241.41</c:v>
                </c:pt>
                <c:pt idx="796">
                  <c:v>7.0000000000000007E-2</c:v>
                </c:pt>
                <c:pt idx="797">
                  <c:v>6.37</c:v>
                </c:pt>
                <c:pt idx="798">
                  <c:v>47.03</c:v>
                </c:pt>
                <c:pt idx="799">
                  <c:v>2.46</c:v>
                </c:pt>
                <c:pt idx="800">
                  <c:v>72.69</c:v>
                </c:pt>
                <c:pt idx="801">
                  <c:v>84.27</c:v>
                </c:pt>
                <c:pt idx="802">
                  <c:v>2.46</c:v>
                </c:pt>
                <c:pt idx="803">
                  <c:v>0.01</c:v>
                </c:pt>
                <c:pt idx="804">
                  <c:v>0.56000000000000005</c:v>
                </c:pt>
                <c:pt idx="805">
                  <c:v>44.13</c:v>
                </c:pt>
                <c:pt idx="806">
                  <c:v>0.32</c:v>
                </c:pt>
                <c:pt idx="807">
                  <c:v>2.46</c:v>
                </c:pt>
                <c:pt idx="808">
                  <c:v>34.29</c:v>
                </c:pt>
                <c:pt idx="809">
                  <c:v>2.46</c:v>
                </c:pt>
                <c:pt idx="810">
                  <c:v>0.04</c:v>
                </c:pt>
                <c:pt idx="811">
                  <c:v>102.43</c:v>
                </c:pt>
                <c:pt idx="812">
                  <c:v>10.51</c:v>
                </c:pt>
                <c:pt idx="813">
                  <c:v>0.81</c:v>
                </c:pt>
                <c:pt idx="814">
                  <c:v>2.46</c:v>
                </c:pt>
                <c:pt idx="815">
                  <c:v>17.239999999999998</c:v>
                </c:pt>
                <c:pt idx="816">
                  <c:v>0.01</c:v>
                </c:pt>
                <c:pt idx="817">
                  <c:v>7.0000000000000007E-2</c:v>
                </c:pt>
                <c:pt idx="818">
                  <c:v>85.82</c:v>
                </c:pt>
                <c:pt idx="819">
                  <c:v>2.46</c:v>
                </c:pt>
                <c:pt idx="820">
                  <c:v>0.33</c:v>
                </c:pt>
                <c:pt idx="821">
                  <c:v>167.77</c:v>
                </c:pt>
                <c:pt idx="822">
                  <c:v>21.2</c:v>
                </c:pt>
                <c:pt idx="823">
                  <c:v>101.53</c:v>
                </c:pt>
                <c:pt idx="824">
                  <c:v>0.1</c:v>
                </c:pt>
                <c:pt idx="825">
                  <c:v>0.18</c:v>
                </c:pt>
                <c:pt idx="826">
                  <c:v>1.44</c:v>
                </c:pt>
                <c:pt idx="827">
                  <c:v>2.63</c:v>
                </c:pt>
                <c:pt idx="828">
                  <c:v>2.96</c:v>
                </c:pt>
                <c:pt idx="829">
                  <c:v>259.77</c:v>
                </c:pt>
                <c:pt idx="830">
                  <c:v>0.15</c:v>
                </c:pt>
                <c:pt idx="831">
                  <c:v>2.46</c:v>
                </c:pt>
                <c:pt idx="832">
                  <c:v>2.46</c:v>
                </c:pt>
                <c:pt idx="833">
                  <c:v>2.46</c:v>
                </c:pt>
                <c:pt idx="834">
                  <c:v>25.38</c:v>
                </c:pt>
                <c:pt idx="835">
                  <c:v>2.46</c:v>
                </c:pt>
                <c:pt idx="836">
                  <c:v>2.46</c:v>
                </c:pt>
                <c:pt idx="837">
                  <c:v>2.46</c:v>
                </c:pt>
                <c:pt idx="838">
                  <c:v>2.46</c:v>
                </c:pt>
                <c:pt idx="839">
                  <c:v>2.46</c:v>
                </c:pt>
                <c:pt idx="840">
                  <c:v>2.46</c:v>
                </c:pt>
                <c:pt idx="841">
                  <c:v>91.13</c:v>
                </c:pt>
                <c:pt idx="842">
                  <c:v>30.51</c:v>
                </c:pt>
                <c:pt idx="843">
                  <c:v>222.53</c:v>
                </c:pt>
                <c:pt idx="844">
                  <c:v>2.25</c:v>
                </c:pt>
                <c:pt idx="845">
                  <c:v>12.1</c:v>
                </c:pt>
                <c:pt idx="846">
                  <c:v>177</c:v>
                </c:pt>
                <c:pt idx="847">
                  <c:v>257.76</c:v>
                </c:pt>
                <c:pt idx="848">
                  <c:v>0.92</c:v>
                </c:pt>
                <c:pt idx="849">
                  <c:v>128</c:v>
                </c:pt>
                <c:pt idx="850">
                  <c:v>43.04</c:v>
                </c:pt>
                <c:pt idx="851">
                  <c:v>2.46</c:v>
                </c:pt>
                <c:pt idx="852">
                  <c:v>18.75</c:v>
                </c:pt>
                <c:pt idx="853">
                  <c:v>3.96</c:v>
                </c:pt>
                <c:pt idx="854">
                  <c:v>350.13</c:v>
                </c:pt>
                <c:pt idx="855">
                  <c:v>32.380000000000003</c:v>
                </c:pt>
                <c:pt idx="856">
                  <c:v>1.81</c:v>
                </c:pt>
                <c:pt idx="857">
                  <c:v>50.15</c:v>
                </c:pt>
                <c:pt idx="858">
                  <c:v>13.09</c:v>
                </c:pt>
                <c:pt idx="859">
                  <c:v>42.34</c:v>
                </c:pt>
                <c:pt idx="860">
                  <c:v>188.02</c:v>
                </c:pt>
                <c:pt idx="861">
                  <c:v>0.44</c:v>
                </c:pt>
                <c:pt idx="862">
                  <c:v>0.01</c:v>
                </c:pt>
                <c:pt idx="863">
                  <c:v>2.46</c:v>
                </c:pt>
                <c:pt idx="864">
                  <c:v>115.64</c:v>
                </c:pt>
                <c:pt idx="865">
                  <c:v>2.46</c:v>
                </c:pt>
                <c:pt idx="866">
                  <c:v>2.46</c:v>
                </c:pt>
                <c:pt idx="867">
                  <c:v>2.46</c:v>
                </c:pt>
                <c:pt idx="868">
                  <c:v>33.68</c:v>
                </c:pt>
                <c:pt idx="869">
                  <c:v>255.12</c:v>
                </c:pt>
                <c:pt idx="870">
                  <c:v>0.11</c:v>
                </c:pt>
                <c:pt idx="871">
                  <c:v>0</c:v>
                </c:pt>
                <c:pt idx="872">
                  <c:v>0.23</c:v>
                </c:pt>
                <c:pt idx="873">
                  <c:v>26.76</c:v>
                </c:pt>
                <c:pt idx="874">
                  <c:v>2.46</c:v>
                </c:pt>
                <c:pt idx="875">
                  <c:v>2.46</c:v>
                </c:pt>
                <c:pt idx="876">
                  <c:v>14.48</c:v>
                </c:pt>
                <c:pt idx="877">
                  <c:v>337.14</c:v>
                </c:pt>
                <c:pt idx="878">
                  <c:v>52.08</c:v>
                </c:pt>
                <c:pt idx="879">
                  <c:v>20.399999999999999</c:v>
                </c:pt>
                <c:pt idx="880">
                  <c:v>35.89</c:v>
                </c:pt>
                <c:pt idx="881">
                  <c:v>60.76</c:v>
                </c:pt>
                <c:pt idx="882">
                  <c:v>46.29</c:v>
                </c:pt>
                <c:pt idx="883">
                  <c:v>2.46</c:v>
                </c:pt>
                <c:pt idx="884">
                  <c:v>113.75</c:v>
                </c:pt>
                <c:pt idx="885">
                  <c:v>0.26</c:v>
                </c:pt>
                <c:pt idx="886">
                  <c:v>1.87</c:v>
                </c:pt>
                <c:pt idx="887">
                  <c:v>26.05</c:v>
                </c:pt>
                <c:pt idx="888">
                  <c:v>0.02</c:v>
                </c:pt>
                <c:pt idx="889">
                  <c:v>2.4500000000000002</c:v>
                </c:pt>
                <c:pt idx="890">
                  <c:v>4.01</c:v>
                </c:pt>
                <c:pt idx="891">
                  <c:v>4.1900000000000004</c:v>
                </c:pt>
                <c:pt idx="892">
                  <c:v>65.010000000000005</c:v>
                </c:pt>
                <c:pt idx="893">
                  <c:v>0.19</c:v>
                </c:pt>
                <c:pt idx="894">
                  <c:v>50.84</c:v>
                </c:pt>
                <c:pt idx="895">
                  <c:v>0.2</c:v>
                </c:pt>
                <c:pt idx="896">
                  <c:v>1.17</c:v>
                </c:pt>
                <c:pt idx="897">
                  <c:v>3.33</c:v>
                </c:pt>
                <c:pt idx="898">
                  <c:v>2.46</c:v>
                </c:pt>
                <c:pt idx="899">
                  <c:v>0.46</c:v>
                </c:pt>
                <c:pt idx="900">
                  <c:v>5.98</c:v>
                </c:pt>
                <c:pt idx="901">
                  <c:v>2.8</c:v>
                </c:pt>
                <c:pt idx="902">
                  <c:v>4.4000000000000004</c:v>
                </c:pt>
                <c:pt idx="903">
                  <c:v>2.46</c:v>
                </c:pt>
                <c:pt idx="904">
                  <c:v>3.11</c:v>
                </c:pt>
                <c:pt idx="905">
                  <c:v>2.46</c:v>
                </c:pt>
                <c:pt idx="906">
                  <c:v>2.46</c:v>
                </c:pt>
                <c:pt idx="907">
                  <c:v>8.11</c:v>
                </c:pt>
                <c:pt idx="908">
                  <c:v>37.880000000000003</c:v>
                </c:pt>
                <c:pt idx="909">
                  <c:v>2.46</c:v>
                </c:pt>
                <c:pt idx="910">
                  <c:v>0.02</c:v>
                </c:pt>
                <c:pt idx="911">
                  <c:v>54.45</c:v>
                </c:pt>
                <c:pt idx="912">
                  <c:v>17.22</c:v>
                </c:pt>
                <c:pt idx="913">
                  <c:v>0.03</c:v>
                </c:pt>
                <c:pt idx="914">
                  <c:v>15.16</c:v>
                </c:pt>
                <c:pt idx="915">
                  <c:v>2.46</c:v>
                </c:pt>
                <c:pt idx="916">
                  <c:v>2.46</c:v>
                </c:pt>
                <c:pt idx="917">
                  <c:v>2.46</c:v>
                </c:pt>
                <c:pt idx="918">
                  <c:v>2.46</c:v>
                </c:pt>
                <c:pt idx="919">
                  <c:v>2.46</c:v>
                </c:pt>
                <c:pt idx="920">
                  <c:v>3.13</c:v>
                </c:pt>
                <c:pt idx="921">
                  <c:v>0.05</c:v>
                </c:pt>
                <c:pt idx="922">
                  <c:v>2.72</c:v>
                </c:pt>
                <c:pt idx="923">
                  <c:v>2.46</c:v>
                </c:pt>
                <c:pt idx="924">
                  <c:v>0.04</c:v>
                </c:pt>
                <c:pt idx="925">
                  <c:v>2.46</c:v>
                </c:pt>
                <c:pt idx="926">
                  <c:v>0.34</c:v>
                </c:pt>
                <c:pt idx="927">
                  <c:v>89.26</c:v>
                </c:pt>
                <c:pt idx="928">
                  <c:v>128.26</c:v>
                </c:pt>
                <c:pt idx="929">
                  <c:v>0.01</c:v>
                </c:pt>
                <c:pt idx="930">
                  <c:v>0.01</c:v>
                </c:pt>
                <c:pt idx="931">
                  <c:v>0.04</c:v>
                </c:pt>
                <c:pt idx="932">
                  <c:v>0.04</c:v>
                </c:pt>
                <c:pt idx="933">
                  <c:v>5.28</c:v>
                </c:pt>
                <c:pt idx="934">
                  <c:v>0.04</c:v>
                </c:pt>
                <c:pt idx="935">
                  <c:v>1.06</c:v>
                </c:pt>
                <c:pt idx="936">
                  <c:v>2.46</c:v>
                </c:pt>
                <c:pt idx="937">
                  <c:v>25.44</c:v>
                </c:pt>
                <c:pt idx="938">
                  <c:v>2.46</c:v>
                </c:pt>
                <c:pt idx="939">
                  <c:v>0.01</c:v>
                </c:pt>
                <c:pt idx="940">
                  <c:v>0.32</c:v>
                </c:pt>
                <c:pt idx="941">
                  <c:v>2.46</c:v>
                </c:pt>
                <c:pt idx="942">
                  <c:v>0.51</c:v>
                </c:pt>
                <c:pt idx="943">
                  <c:v>0.86</c:v>
                </c:pt>
                <c:pt idx="944">
                  <c:v>21.57</c:v>
                </c:pt>
                <c:pt idx="945">
                  <c:v>2.46</c:v>
                </c:pt>
                <c:pt idx="946">
                  <c:v>2.46</c:v>
                </c:pt>
                <c:pt idx="947">
                  <c:v>0.79</c:v>
                </c:pt>
                <c:pt idx="948">
                  <c:v>2.46</c:v>
                </c:pt>
                <c:pt idx="949">
                  <c:v>0.43</c:v>
                </c:pt>
                <c:pt idx="950">
                  <c:v>1.82</c:v>
                </c:pt>
                <c:pt idx="951">
                  <c:v>0.33</c:v>
                </c:pt>
                <c:pt idx="952">
                  <c:v>2.46</c:v>
                </c:pt>
                <c:pt idx="953">
                  <c:v>0.12</c:v>
                </c:pt>
                <c:pt idx="954">
                  <c:v>2.46</c:v>
                </c:pt>
                <c:pt idx="955">
                  <c:v>0.02</c:v>
                </c:pt>
                <c:pt idx="956">
                  <c:v>2.46</c:v>
                </c:pt>
                <c:pt idx="957">
                  <c:v>2.46</c:v>
                </c:pt>
                <c:pt idx="958">
                  <c:v>2.46</c:v>
                </c:pt>
                <c:pt idx="959">
                  <c:v>2.46</c:v>
                </c:pt>
                <c:pt idx="960">
                  <c:v>2.46</c:v>
                </c:pt>
                <c:pt idx="961">
                  <c:v>2.46</c:v>
                </c:pt>
                <c:pt idx="962">
                  <c:v>2.46</c:v>
                </c:pt>
                <c:pt idx="963">
                  <c:v>0.55000000000000004</c:v>
                </c:pt>
                <c:pt idx="964">
                  <c:v>1.01</c:v>
                </c:pt>
                <c:pt idx="965">
                  <c:v>0.59</c:v>
                </c:pt>
                <c:pt idx="966">
                  <c:v>2.46</c:v>
                </c:pt>
                <c:pt idx="967">
                  <c:v>0.61</c:v>
                </c:pt>
                <c:pt idx="968">
                  <c:v>0.02</c:v>
                </c:pt>
                <c:pt idx="969">
                  <c:v>5.74</c:v>
                </c:pt>
                <c:pt idx="970">
                  <c:v>0.45</c:v>
                </c:pt>
                <c:pt idx="971">
                  <c:v>0.28000000000000003</c:v>
                </c:pt>
                <c:pt idx="972">
                  <c:v>0.03</c:v>
                </c:pt>
                <c:pt idx="973">
                  <c:v>0.99</c:v>
                </c:pt>
                <c:pt idx="974">
                  <c:v>14.67</c:v>
                </c:pt>
                <c:pt idx="975">
                  <c:v>38.92</c:v>
                </c:pt>
                <c:pt idx="976">
                  <c:v>2.46</c:v>
                </c:pt>
                <c:pt idx="977">
                  <c:v>0.17</c:v>
                </c:pt>
                <c:pt idx="978">
                  <c:v>2.46</c:v>
                </c:pt>
                <c:pt idx="979">
                  <c:v>0.05</c:v>
                </c:pt>
                <c:pt idx="980">
                  <c:v>0.04</c:v>
                </c:pt>
                <c:pt idx="981">
                  <c:v>1.1000000000000001</c:v>
                </c:pt>
                <c:pt idx="982">
                  <c:v>2.46</c:v>
                </c:pt>
                <c:pt idx="983">
                  <c:v>2.46</c:v>
                </c:pt>
                <c:pt idx="984">
                  <c:v>2.46</c:v>
                </c:pt>
                <c:pt idx="985">
                  <c:v>2.46</c:v>
                </c:pt>
                <c:pt idx="986">
                  <c:v>2.46</c:v>
                </c:pt>
                <c:pt idx="987">
                  <c:v>3.49</c:v>
                </c:pt>
                <c:pt idx="988">
                  <c:v>0.14000000000000001</c:v>
                </c:pt>
                <c:pt idx="989">
                  <c:v>84.53</c:v>
                </c:pt>
                <c:pt idx="990">
                  <c:v>0.03</c:v>
                </c:pt>
                <c:pt idx="991">
                  <c:v>0.02</c:v>
                </c:pt>
                <c:pt idx="992">
                  <c:v>1.36</c:v>
                </c:pt>
                <c:pt idx="993">
                  <c:v>0.1</c:v>
                </c:pt>
                <c:pt idx="994">
                  <c:v>2.46</c:v>
                </c:pt>
                <c:pt idx="995">
                  <c:v>2.46</c:v>
                </c:pt>
                <c:pt idx="996">
                  <c:v>2.46</c:v>
                </c:pt>
                <c:pt idx="997">
                  <c:v>12.55</c:v>
                </c:pt>
                <c:pt idx="998">
                  <c:v>2.46</c:v>
                </c:pt>
                <c:pt idx="999">
                  <c:v>2.46</c:v>
                </c:pt>
                <c:pt idx="1000">
                  <c:v>2.46</c:v>
                </c:pt>
                <c:pt idx="1001">
                  <c:v>0.15</c:v>
                </c:pt>
                <c:pt idx="1002">
                  <c:v>2.46</c:v>
                </c:pt>
                <c:pt idx="1003">
                  <c:v>0.15</c:v>
                </c:pt>
                <c:pt idx="1004">
                  <c:v>0.14000000000000001</c:v>
                </c:pt>
                <c:pt idx="1005">
                  <c:v>2.46</c:v>
                </c:pt>
                <c:pt idx="1006">
                  <c:v>2.46</c:v>
                </c:pt>
                <c:pt idx="1007">
                  <c:v>2.46</c:v>
                </c:pt>
                <c:pt idx="1008">
                  <c:v>2.46</c:v>
                </c:pt>
                <c:pt idx="1009">
                  <c:v>2.46</c:v>
                </c:pt>
                <c:pt idx="1010">
                  <c:v>1.03</c:v>
                </c:pt>
                <c:pt idx="1011">
                  <c:v>0.28000000000000003</c:v>
                </c:pt>
                <c:pt idx="1012">
                  <c:v>3.45</c:v>
                </c:pt>
                <c:pt idx="1013">
                  <c:v>0.03</c:v>
                </c:pt>
                <c:pt idx="1014">
                  <c:v>0.18</c:v>
                </c:pt>
                <c:pt idx="1015">
                  <c:v>2.46</c:v>
                </c:pt>
                <c:pt idx="1016">
                  <c:v>7.57</c:v>
                </c:pt>
                <c:pt idx="1017">
                  <c:v>131.54</c:v>
                </c:pt>
                <c:pt idx="1018">
                  <c:v>1.0900000000000001</c:v>
                </c:pt>
                <c:pt idx="1019">
                  <c:v>0.16</c:v>
                </c:pt>
                <c:pt idx="1020">
                  <c:v>1.41</c:v>
                </c:pt>
                <c:pt idx="1021">
                  <c:v>2.46</c:v>
                </c:pt>
                <c:pt idx="1022">
                  <c:v>2.46</c:v>
                </c:pt>
                <c:pt idx="1023">
                  <c:v>0.12</c:v>
                </c:pt>
                <c:pt idx="1024">
                  <c:v>0.05</c:v>
                </c:pt>
                <c:pt idx="1025">
                  <c:v>2.44</c:v>
                </c:pt>
                <c:pt idx="1026">
                  <c:v>2.46</c:v>
                </c:pt>
                <c:pt idx="1027">
                  <c:v>2.46</c:v>
                </c:pt>
                <c:pt idx="1028">
                  <c:v>1.43</c:v>
                </c:pt>
                <c:pt idx="1029">
                  <c:v>0.28000000000000003</c:v>
                </c:pt>
                <c:pt idx="1030">
                  <c:v>2.46</c:v>
                </c:pt>
                <c:pt idx="1031">
                  <c:v>0.6</c:v>
                </c:pt>
                <c:pt idx="1032">
                  <c:v>0.14000000000000001</c:v>
                </c:pt>
                <c:pt idx="1033">
                  <c:v>2.46</c:v>
                </c:pt>
                <c:pt idx="1034">
                  <c:v>2.46</c:v>
                </c:pt>
                <c:pt idx="1035">
                  <c:v>0.04</c:v>
                </c:pt>
                <c:pt idx="1036">
                  <c:v>2.46</c:v>
                </c:pt>
                <c:pt idx="1037">
                  <c:v>2.46</c:v>
                </c:pt>
                <c:pt idx="1038">
                  <c:v>1.1200000000000001</c:v>
                </c:pt>
                <c:pt idx="1039">
                  <c:v>0.03</c:v>
                </c:pt>
                <c:pt idx="1040">
                  <c:v>0.01</c:v>
                </c:pt>
                <c:pt idx="1041">
                  <c:v>2.46</c:v>
                </c:pt>
                <c:pt idx="1042">
                  <c:v>8.5</c:v>
                </c:pt>
                <c:pt idx="1043">
                  <c:v>2.87</c:v>
                </c:pt>
                <c:pt idx="1044">
                  <c:v>2.46</c:v>
                </c:pt>
                <c:pt idx="1045">
                  <c:v>2.46</c:v>
                </c:pt>
                <c:pt idx="1046">
                  <c:v>0.03</c:v>
                </c:pt>
                <c:pt idx="1047">
                  <c:v>2.46</c:v>
                </c:pt>
                <c:pt idx="1048">
                  <c:v>0.14000000000000001</c:v>
                </c:pt>
                <c:pt idx="1049">
                  <c:v>0.23</c:v>
                </c:pt>
                <c:pt idx="1050">
                  <c:v>2.46</c:v>
                </c:pt>
                <c:pt idx="1051">
                  <c:v>2.46</c:v>
                </c:pt>
                <c:pt idx="1052">
                  <c:v>2.46</c:v>
                </c:pt>
                <c:pt idx="1053">
                  <c:v>0.11</c:v>
                </c:pt>
                <c:pt idx="1054">
                  <c:v>0.01</c:v>
                </c:pt>
                <c:pt idx="1055">
                  <c:v>0.01</c:v>
                </c:pt>
                <c:pt idx="1056">
                  <c:v>1.01</c:v>
                </c:pt>
                <c:pt idx="1057">
                  <c:v>0.01</c:v>
                </c:pt>
                <c:pt idx="1058">
                  <c:v>2.46</c:v>
                </c:pt>
                <c:pt idx="1059">
                  <c:v>0.17</c:v>
                </c:pt>
                <c:pt idx="1060">
                  <c:v>2.46</c:v>
                </c:pt>
                <c:pt idx="1061">
                  <c:v>0</c:v>
                </c:pt>
                <c:pt idx="1062">
                  <c:v>1.34</c:v>
                </c:pt>
                <c:pt idx="1063">
                  <c:v>2.46</c:v>
                </c:pt>
                <c:pt idx="1064">
                  <c:v>0.11</c:v>
                </c:pt>
                <c:pt idx="1065">
                  <c:v>0.13</c:v>
                </c:pt>
                <c:pt idx="1066">
                  <c:v>0.05</c:v>
                </c:pt>
                <c:pt idx="1067">
                  <c:v>111.51</c:v>
                </c:pt>
                <c:pt idx="1068">
                  <c:v>2.46</c:v>
                </c:pt>
                <c:pt idx="1069">
                  <c:v>2.46</c:v>
                </c:pt>
                <c:pt idx="1070">
                  <c:v>0.57999999999999996</c:v>
                </c:pt>
                <c:pt idx="1071">
                  <c:v>0.02</c:v>
                </c:pt>
                <c:pt idx="1072">
                  <c:v>2.46</c:v>
                </c:pt>
                <c:pt idx="1073">
                  <c:v>0.02</c:v>
                </c:pt>
                <c:pt idx="1074">
                  <c:v>0.01</c:v>
                </c:pt>
                <c:pt idx="1075">
                  <c:v>64.25</c:v>
                </c:pt>
                <c:pt idx="1076">
                  <c:v>0.28000000000000003</c:v>
                </c:pt>
                <c:pt idx="1077">
                  <c:v>0.22</c:v>
                </c:pt>
                <c:pt idx="1078">
                  <c:v>0.03</c:v>
                </c:pt>
                <c:pt idx="1079">
                  <c:v>2.46</c:v>
                </c:pt>
                <c:pt idx="1080">
                  <c:v>2.46</c:v>
                </c:pt>
                <c:pt idx="1081">
                  <c:v>14.62</c:v>
                </c:pt>
                <c:pt idx="1082">
                  <c:v>2.46</c:v>
                </c:pt>
                <c:pt idx="1083">
                  <c:v>1.31</c:v>
                </c:pt>
                <c:pt idx="1084">
                  <c:v>2.46</c:v>
                </c:pt>
                <c:pt idx="1085">
                  <c:v>2.46</c:v>
                </c:pt>
                <c:pt idx="1086">
                  <c:v>2.46</c:v>
                </c:pt>
                <c:pt idx="1087">
                  <c:v>2.46</c:v>
                </c:pt>
                <c:pt idx="1088">
                  <c:v>0.12</c:v>
                </c:pt>
                <c:pt idx="1089">
                  <c:v>3.5</c:v>
                </c:pt>
                <c:pt idx="1090">
                  <c:v>2.46</c:v>
                </c:pt>
                <c:pt idx="1091">
                  <c:v>2.46</c:v>
                </c:pt>
                <c:pt idx="1092">
                  <c:v>2.46</c:v>
                </c:pt>
                <c:pt idx="1093">
                  <c:v>0.02</c:v>
                </c:pt>
                <c:pt idx="1094">
                  <c:v>2.46</c:v>
                </c:pt>
                <c:pt idx="1095">
                  <c:v>91.44</c:v>
                </c:pt>
                <c:pt idx="1096">
                  <c:v>0.1</c:v>
                </c:pt>
                <c:pt idx="1097">
                  <c:v>2.46</c:v>
                </c:pt>
                <c:pt idx="1098">
                  <c:v>0</c:v>
                </c:pt>
                <c:pt idx="1099">
                  <c:v>2.46</c:v>
                </c:pt>
                <c:pt idx="1100">
                  <c:v>47.39</c:v>
                </c:pt>
                <c:pt idx="1101">
                  <c:v>7.0000000000000007E-2</c:v>
                </c:pt>
                <c:pt idx="1102">
                  <c:v>35.39</c:v>
                </c:pt>
                <c:pt idx="1103">
                  <c:v>2.46</c:v>
                </c:pt>
                <c:pt idx="1104">
                  <c:v>37.450000000000003</c:v>
                </c:pt>
                <c:pt idx="1105">
                  <c:v>2.46</c:v>
                </c:pt>
                <c:pt idx="1106">
                  <c:v>166.17</c:v>
                </c:pt>
                <c:pt idx="1107">
                  <c:v>2.46</c:v>
                </c:pt>
                <c:pt idx="1108">
                  <c:v>2.46</c:v>
                </c:pt>
                <c:pt idx="1109">
                  <c:v>7.1</c:v>
                </c:pt>
                <c:pt idx="1110">
                  <c:v>0.19</c:v>
                </c:pt>
                <c:pt idx="1111">
                  <c:v>44.47</c:v>
                </c:pt>
                <c:pt idx="1112">
                  <c:v>42.48</c:v>
                </c:pt>
                <c:pt idx="1113">
                  <c:v>3.61</c:v>
                </c:pt>
                <c:pt idx="1114">
                  <c:v>26.46</c:v>
                </c:pt>
                <c:pt idx="1115">
                  <c:v>25.8</c:v>
                </c:pt>
                <c:pt idx="1116">
                  <c:v>31.57</c:v>
                </c:pt>
                <c:pt idx="1117">
                  <c:v>2.46</c:v>
                </c:pt>
                <c:pt idx="1118">
                  <c:v>5.35</c:v>
                </c:pt>
                <c:pt idx="1119">
                  <c:v>2.46</c:v>
                </c:pt>
                <c:pt idx="1120">
                  <c:v>33.31</c:v>
                </c:pt>
                <c:pt idx="1121">
                  <c:v>130.18</c:v>
                </c:pt>
                <c:pt idx="1122">
                  <c:v>0.1</c:v>
                </c:pt>
                <c:pt idx="1123">
                  <c:v>2.46</c:v>
                </c:pt>
                <c:pt idx="1124">
                  <c:v>201.15</c:v>
                </c:pt>
                <c:pt idx="1125">
                  <c:v>2.46</c:v>
                </c:pt>
                <c:pt idx="1126">
                  <c:v>353.01</c:v>
                </c:pt>
                <c:pt idx="1127">
                  <c:v>2.46</c:v>
                </c:pt>
                <c:pt idx="1128">
                  <c:v>10.64</c:v>
                </c:pt>
                <c:pt idx="1129">
                  <c:v>7.61</c:v>
                </c:pt>
                <c:pt idx="1130">
                  <c:v>1.21</c:v>
                </c:pt>
                <c:pt idx="1131">
                  <c:v>12.23</c:v>
                </c:pt>
                <c:pt idx="1132">
                  <c:v>4.72</c:v>
                </c:pt>
                <c:pt idx="1133">
                  <c:v>34.51</c:v>
                </c:pt>
                <c:pt idx="1134">
                  <c:v>2.46</c:v>
                </c:pt>
                <c:pt idx="1135">
                  <c:v>2.46</c:v>
                </c:pt>
                <c:pt idx="1136">
                  <c:v>154.06</c:v>
                </c:pt>
                <c:pt idx="1137">
                  <c:v>0</c:v>
                </c:pt>
                <c:pt idx="1138">
                  <c:v>0.23</c:v>
                </c:pt>
                <c:pt idx="1139">
                  <c:v>2.46</c:v>
                </c:pt>
                <c:pt idx="1140">
                  <c:v>652.27</c:v>
                </c:pt>
                <c:pt idx="1141">
                  <c:v>0.02</c:v>
                </c:pt>
                <c:pt idx="1142">
                  <c:v>0.04</c:v>
                </c:pt>
                <c:pt idx="1143">
                  <c:v>2.46</c:v>
                </c:pt>
                <c:pt idx="1144">
                  <c:v>20.99</c:v>
                </c:pt>
                <c:pt idx="1145">
                  <c:v>2.46</c:v>
                </c:pt>
                <c:pt idx="1146">
                  <c:v>0.3</c:v>
                </c:pt>
                <c:pt idx="1147">
                  <c:v>7.43</c:v>
                </c:pt>
                <c:pt idx="1148">
                  <c:v>161.19999999999999</c:v>
                </c:pt>
                <c:pt idx="1149">
                  <c:v>0.12</c:v>
                </c:pt>
                <c:pt idx="1150">
                  <c:v>12.28</c:v>
                </c:pt>
                <c:pt idx="1151">
                  <c:v>459.01</c:v>
                </c:pt>
                <c:pt idx="1152">
                  <c:v>0.2</c:v>
                </c:pt>
                <c:pt idx="1153">
                  <c:v>56.12</c:v>
                </c:pt>
                <c:pt idx="1154">
                  <c:v>0.49</c:v>
                </c:pt>
                <c:pt idx="1155">
                  <c:v>2.46</c:v>
                </c:pt>
                <c:pt idx="1156">
                  <c:v>2.46</c:v>
                </c:pt>
                <c:pt idx="1157">
                  <c:v>155.19</c:v>
                </c:pt>
                <c:pt idx="1158">
                  <c:v>66.010000000000005</c:v>
                </c:pt>
                <c:pt idx="1159">
                  <c:v>2.46</c:v>
                </c:pt>
                <c:pt idx="1160">
                  <c:v>2.46</c:v>
                </c:pt>
                <c:pt idx="1161">
                  <c:v>33.08</c:v>
                </c:pt>
                <c:pt idx="1162">
                  <c:v>6.74</c:v>
                </c:pt>
                <c:pt idx="1163">
                  <c:v>195.04</c:v>
                </c:pt>
                <c:pt idx="1164">
                  <c:v>93.44</c:v>
                </c:pt>
                <c:pt idx="1165">
                  <c:v>0.06</c:v>
                </c:pt>
                <c:pt idx="1166">
                  <c:v>2.46</c:v>
                </c:pt>
                <c:pt idx="1167">
                  <c:v>52.42</c:v>
                </c:pt>
                <c:pt idx="1168">
                  <c:v>17.510000000000002</c:v>
                </c:pt>
                <c:pt idx="1169">
                  <c:v>32</c:v>
                </c:pt>
                <c:pt idx="1170">
                  <c:v>2.46</c:v>
                </c:pt>
                <c:pt idx="1171">
                  <c:v>17.739999999999998</c:v>
                </c:pt>
                <c:pt idx="1172">
                  <c:v>0.12</c:v>
                </c:pt>
                <c:pt idx="1173">
                  <c:v>2.46</c:v>
                </c:pt>
                <c:pt idx="1174">
                  <c:v>0</c:v>
                </c:pt>
                <c:pt idx="1175">
                  <c:v>0.11</c:v>
                </c:pt>
                <c:pt idx="1176">
                  <c:v>0.08</c:v>
                </c:pt>
                <c:pt idx="1177">
                  <c:v>2.46</c:v>
                </c:pt>
                <c:pt idx="1178">
                  <c:v>65.209999999999994</c:v>
                </c:pt>
                <c:pt idx="1179">
                  <c:v>32.36</c:v>
                </c:pt>
                <c:pt idx="1180">
                  <c:v>2.46</c:v>
                </c:pt>
                <c:pt idx="1181">
                  <c:v>22.47</c:v>
                </c:pt>
                <c:pt idx="1182">
                  <c:v>2.46</c:v>
                </c:pt>
                <c:pt idx="1183">
                  <c:v>6.42</c:v>
                </c:pt>
                <c:pt idx="1184">
                  <c:v>2.46</c:v>
                </c:pt>
                <c:pt idx="1185">
                  <c:v>0.13</c:v>
                </c:pt>
                <c:pt idx="1186">
                  <c:v>2.46</c:v>
                </c:pt>
                <c:pt idx="1187">
                  <c:v>45.45</c:v>
                </c:pt>
                <c:pt idx="1188">
                  <c:v>2.46</c:v>
                </c:pt>
                <c:pt idx="1189">
                  <c:v>0.61</c:v>
                </c:pt>
                <c:pt idx="1190">
                  <c:v>2.46</c:v>
                </c:pt>
                <c:pt idx="1191">
                  <c:v>0.05</c:v>
                </c:pt>
                <c:pt idx="1192">
                  <c:v>3.59</c:v>
                </c:pt>
                <c:pt idx="1193">
                  <c:v>2.46</c:v>
                </c:pt>
                <c:pt idx="1194">
                  <c:v>26.82</c:v>
                </c:pt>
                <c:pt idx="1195">
                  <c:v>2.46</c:v>
                </c:pt>
                <c:pt idx="1196">
                  <c:v>110.83</c:v>
                </c:pt>
                <c:pt idx="1197">
                  <c:v>43.77</c:v>
                </c:pt>
                <c:pt idx="1198">
                  <c:v>2.46</c:v>
                </c:pt>
                <c:pt idx="1199">
                  <c:v>31.09</c:v>
                </c:pt>
                <c:pt idx="1200">
                  <c:v>0.16</c:v>
                </c:pt>
                <c:pt idx="1201">
                  <c:v>228.43</c:v>
                </c:pt>
                <c:pt idx="1202">
                  <c:v>2.46</c:v>
                </c:pt>
                <c:pt idx="1203">
                  <c:v>180.2</c:v>
                </c:pt>
                <c:pt idx="1204">
                  <c:v>43.48</c:v>
                </c:pt>
                <c:pt idx="1205">
                  <c:v>0.85</c:v>
                </c:pt>
                <c:pt idx="1206">
                  <c:v>336.05</c:v>
                </c:pt>
                <c:pt idx="1207">
                  <c:v>27.29</c:v>
                </c:pt>
                <c:pt idx="1208">
                  <c:v>0.02</c:v>
                </c:pt>
                <c:pt idx="1209">
                  <c:v>4.7</c:v>
                </c:pt>
                <c:pt idx="1210">
                  <c:v>8.41</c:v>
                </c:pt>
                <c:pt idx="1211">
                  <c:v>81.7</c:v>
                </c:pt>
                <c:pt idx="1212">
                  <c:v>0.08</c:v>
                </c:pt>
                <c:pt idx="1213">
                  <c:v>2.46</c:v>
                </c:pt>
                <c:pt idx="1214">
                  <c:v>2.46</c:v>
                </c:pt>
                <c:pt idx="1215">
                  <c:v>62.58</c:v>
                </c:pt>
                <c:pt idx="1216">
                  <c:v>2.46</c:v>
                </c:pt>
                <c:pt idx="1217">
                  <c:v>12.19</c:v>
                </c:pt>
                <c:pt idx="1218">
                  <c:v>53.86</c:v>
                </c:pt>
                <c:pt idx="1219">
                  <c:v>0.04</c:v>
                </c:pt>
                <c:pt idx="1220">
                  <c:v>89.76</c:v>
                </c:pt>
                <c:pt idx="1221">
                  <c:v>78.75</c:v>
                </c:pt>
                <c:pt idx="1222">
                  <c:v>2.46</c:v>
                </c:pt>
                <c:pt idx="1223">
                  <c:v>12.71</c:v>
                </c:pt>
                <c:pt idx="1224">
                  <c:v>2.99</c:v>
                </c:pt>
                <c:pt idx="1225">
                  <c:v>72.31</c:v>
                </c:pt>
                <c:pt idx="1226">
                  <c:v>10.14</c:v>
                </c:pt>
                <c:pt idx="1227">
                  <c:v>200.07</c:v>
                </c:pt>
                <c:pt idx="1228">
                  <c:v>2.46</c:v>
                </c:pt>
                <c:pt idx="1229">
                  <c:v>2.46</c:v>
                </c:pt>
                <c:pt idx="1230">
                  <c:v>2.7</c:v>
                </c:pt>
                <c:pt idx="1231">
                  <c:v>0.03</c:v>
                </c:pt>
                <c:pt idx="1232">
                  <c:v>29.47</c:v>
                </c:pt>
                <c:pt idx="1233">
                  <c:v>38.32</c:v>
                </c:pt>
                <c:pt idx="1234">
                  <c:v>14.68</c:v>
                </c:pt>
                <c:pt idx="1235">
                  <c:v>8.6999999999999993</c:v>
                </c:pt>
                <c:pt idx="1236">
                  <c:v>0.01</c:v>
                </c:pt>
                <c:pt idx="1237">
                  <c:v>75.760000000000005</c:v>
                </c:pt>
                <c:pt idx="1238">
                  <c:v>1.87</c:v>
                </c:pt>
                <c:pt idx="1239">
                  <c:v>11.11</c:v>
                </c:pt>
                <c:pt idx="1240">
                  <c:v>2.46</c:v>
                </c:pt>
                <c:pt idx="1241">
                  <c:v>25.02</c:v>
                </c:pt>
                <c:pt idx="1242">
                  <c:v>2.46</c:v>
                </c:pt>
                <c:pt idx="1243">
                  <c:v>34.54</c:v>
                </c:pt>
                <c:pt idx="1244">
                  <c:v>45.06</c:v>
                </c:pt>
                <c:pt idx="1245">
                  <c:v>2.56</c:v>
                </c:pt>
                <c:pt idx="1246">
                  <c:v>0.06</c:v>
                </c:pt>
                <c:pt idx="1247">
                  <c:v>2.46</c:v>
                </c:pt>
                <c:pt idx="1248">
                  <c:v>14.39</c:v>
                </c:pt>
                <c:pt idx="1249">
                  <c:v>80.08</c:v>
                </c:pt>
                <c:pt idx="1250">
                  <c:v>2.46</c:v>
                </c:pt>
                <c:pt idx="1251">
                  <c:v>46.89</c:v>
                </c:pt>
                <c:pt idx="1252">
                  <c:v>70.260000000000005</c:v>
                </c:pt>
                <c:pt idx="1253">
                  <c:v>56.45</c:v>
                </c:pt>
                <c:pt idx="1254">
                  <c:v>109.77</c:v>
                </c:pt>
                <c:pt idx="1255">
                  <c:v>17.77</c:v>
                </c:pt>
                <c:pt idx="1256">
                  <c:v>10.210000000000001</c:v>
                </c:pt>
                <c:pt idx="1257">
                  <c:v>4.25</c:v>
                </c:pt>
                <c:pt idx="1258">
                  <c:v>2.46</c:v>
                </c:pt>
                <c:pt idx="1259">
                  <c:v>4.6900000000000004</c:v>
                </c:pt>
                <c:pt idx="1260">
                  <c:v>54.12</c:v>
                </c:pt>
                <c:pt idx="1261">
                  <c:v>0.08</c:v>
                </c:pt>
                <c:pt idx="1262">
                  <c:v>2.46</c:v>
                </c:pt>
                <c:pt idx="1263">
                  <c:v>7</c:v>
                </c:pt>
                <c:pt idx="1264">
                  <c:v>0.53</c:v>
                </c:pt>
                <c:pt idx="1265">
                  <c:v>2.46</c:v>
                </c:pt>
                <c:pt idx="1266">
                  <c:v>13.65</c:v>
                </c:pt>
                <c:pt idx="1267">
                  <c:v>4.03</c:v>
                </c:pt>
                <c:pt idx="1268">
                  <c:v>0.05</c:v>
                </c:pt>
                <c:pt idx="1269">
                  <c:v>2.54</c:v>
                </c:pt>
                <c:pt idx="1270">
                  <c:v>7.86</c:v>
                </c:pt>
                <c:pt idx="1271">
                  <c:v>0.04</c:v>
                </c:pt>
                <c:pt idx="1272">
                  <c:v>0</c:v>
                </c:pt>
                <c:pt idx="1273">
                  <c:v>6.98</c:v>
                </c:pt>
                <c:pt idx="1274">
                  <c:v>2.46</c:v>
                </c:pt>
                <c:pt idx="1275">
                  <c:v>0.05</c:v>
                </c:pt>
                <c:pt idx="1276">
                  <c:v>936.66</c:v>
                </c:pt>
                <c:pt idx="1277">
                  <c:v>20.18</c:v>
                </c:pt>
                <c:pt idx="1278">
                  <c:v>1.1599999999999999</c:v>
                </c:pt>
                <c:pt idx="1279">
                  <c:v>2.25</c:v>
                </c:pt>
                <c:pt idx="1280">
                  <c:v>27.37</c:v>
                </c:pt>
                <c:pt idx="1281">
                  <c:v>2.46</c:v>
                </c:pt>
                <c:pt idx="1282">
                  <c:v>183.64</c:v>
                </c:pt>
                <c:pt idx="1283">
                  <c:v>0.56000000000000005</c:v>
                </c:pt>
                <c:pt idx="1284">
                  <c:v>2.46</c:v>
                </c:pt>
                <c:pt idx="1285">
                  <c:v>3.76</c:v>
                </c:pt>
                <c:pt idx="1286">
                  <c:v>0.25</c:v>
                </c:pt>
                <c:pt idx="1287">
                  <c:v>1.1100000000000001</c:v>
                </c:pt>
                <c:pt idx="1288">
                  <c:v>2.02</c:v>
                </c:pt>
                <c:pt idx="1289">
                  <c:v>0.64</c:v>
                </c:pt>
                <c:pt idx="1290">
                  <c:v>2.46</c:v>
                </c:pt>
                <c:pt idx="1291">
                  <c:v>0.43</c:v>
                </c:pt>
                <c:pt idx="1292">
                  <c:v>0.1</c:v>
                </c:pt>
                <c:pt idx="1293">
                  <c:v>2.46</c:v>
                </c:pt>
                <c:pt idx="1294">
                  <c:v>0.12</c:v>
                </c:pt>
                <c:pt idx="1295">
                  <c:v>5.78</c:v>
                </c:pt>
                <c:pt idx="1296">
                  <c:v>0.03</c:v>
                </c:pt>
                <c:pt idx="1297">
                  <c:v>26.28</c:v>
                </c:pt>
                <c:pt idx="1298">
                  <c:v>0.01</c:v>
                </c:pt>
                <c:pt idx="1299">
                  <c:v>35.090000000000003</c:v>
                </c:pt>
                <c:pt idx="1300">
                  <c:v>281.72000000000003</c:v>
                </c:pt>
                <c:pt idx="1301">
                  <c:v>2.46</c:v>
                </c:pt>
                <c:pt idx="1302">
                  <c:v>0.41</c:v>
                </c:pt>
                <c:pt idx="1303">
                  <c:v>0.14000000000000001</c:v>
                </c:pt>
                <c:pt idx="1304">
                  <c:v>0.7</c:v>
                </c:pt>
                <c:pt idx="1305">
                  <c:v>0.09</c:v>
                </c:pt>
                <c:pt idx="1306">
                  <c:v>0.18</c:v>
                </c:pt>
                <c:pt idx="1307">
                  <c:v>2.46</c:v>
                </c:pt>
                <c:pt idx="1308">
                  <c:v>2.46</c:v>
                </c:pt>
                <c:pt idx="1309">
                  <c:v>0.1</c:v>
                </c:pt>
                <c:pt idx="1310">
                  <c:v>0.51</c:v>
                </c:pt>
                <c:pt idx="1311">
                  <c:v>0.05</c:v>
                </c:pt>
                <c:pt idx="1312">
                  <c:v>28.78</c:v>
                </c:pt>
                <c:pt idx="1313">
                  <c:v>0.03</c:v>
                </c:pt>
                <c:pt idx="1314">
                  <c:v>2.46</c:v>
                </c:pt>
                <c:pt idx="1315">
                  <c:v>1.51</c:v>
                </c:pt>
                <c:pt idx="1316">
                  <c:v>0.14000000000000001</c:v>
                </c:pt>
                <c:pt idx="1317">
                  <c:v>2.46</c:v>
                </c:pt>
                <c:pt idx="1318">
                  <c:v>0.02</c:v>
                </c:pt>
                <c:pt idx="1319">
                  <c:v>0.05</c:v>
                </c:pt>
                <c:pt idx="1320">
                  <c:v>1.1000000000000001</c:v>
                </c:pt>
                <c:pt idx="1321">
                  <c:v>0.12</c:v>
                </c:pt>
                <c:pt idx="1322">
                  <c:v>2.46</c:v>
                </c:pt>
                <c:pt idx="1323">
                  <c:v>2.46</c:v>
                </c:pt>
                <c:pt idx="1324">
                  <c:v>0.23</c:v>
                </c:pt>
                <c:pt idx="1325">
                  <c:v>0.21</c:v>
                </c:pt>
                <c:pt idx="1326">
                  <c:v>0.16</c:v>
                </c:pt>
                <c:pt idx="1327">
                  <c:v>0.03</c:v>
                </c:pt>
                <c:pt idx="1328">
                  <c:v>0.46</c:v>
                </c:pt>
                <c:pt idx="1329">
                  <c:v>2.46</c:v>
                </c:pt>
                <c:pt idx="1330">
                  <c:v>2.46</c:v>
                </c:pt>
                <c:pt idx="1331">
                  <c:v>0.44</c:v>
                </c:pt>
                <c:pt idx="1332">
                  <c:v>0.38</c:v>
                </c:pt>
                <c:pt idx="1333">
                  <c:v>2.46</c:v>
                </c:pt>
                <c:pt idx="1334">
                  <c:v>0.05</c:v>
                </c:pt>
                <c:pt idx="1335">
                  <c:v>2.46</c:v>
                </c:pt>
                <c:pt idx="1336">
                  <c:v>0.03</c:v>
                </c:pt>
                <c:pt idx="1337">
                  <c:v>9.25</c:v>
                </c:pt>
                <c:pt idx="1338">
                  <c:v>0.34</c:v>
                </c:pt>
                <c:pt idx="1339">
                  <c:v>0.01</c:v>
                </c:pt>
                <c:pt idx="1340">
                  <c:v>0.06</c:v>
                </c:pt>
                <c:pt idx="1341">
                  <c:v>0.27</c:v>
                </c:pt>
                <c:pt idx="1342">
                  <c:v>15.79</c:v>
                </c:pt>
                <c:pt idx="1343">
                  <c:v>0.02</c:v>
                </c:pt>
                <c:pt idx="1344">
                  <c:v>2.61</c:v>
                </c:pt>
                <c:pt idx="1345">
                  <c:v>0.24</c:v>
                </c:pt>
                <c:pt idx="1346">
                  <c:v>0.83</c:v>
                </c:pt>
                <c:pt idx="1347">
                  <c:v>0.89</c:v>
                </c:pt>
                <c:pt idx="1348">
                  <c:v>0.03</c:v>
                </c:pt>
                <c:pt idx="1349">
                  <c:v>10.02</c:v>
                </c:pt>
                <c:pt idx="1350">
                  <c:v>1.98</c:v>
                </c:pt>
                <c:pt idx="1351">
                  <c:v>0.22</c:v>
                </c:pt>
                <c:pt idx="1352">
                  <c:v>1.34</c:v>
                </c:pt>
                <c:pt idx="1353">
                  <c:v>123.09</c:v>
                </c:pt>
                <c:pt idx="1354">
                  <c:v>3.87</c:v>
                </c:pt>
                <c:pt idx="1355">
                  <c:v>18.7</c:v>
                </c:pt>
                <c:pt idx="1356">
                  <c:v>2.46</c:v>
                </c:pt>
                <c:pt idx="1357">
                  <c:v>0.03</c:v>
                </c:pt>
                <c:pt idx="1358">
                  <c:v>1.98</c:v>
                </c:pt>
                <c:pt idx="1359">
                  <c:v>0.02</c:v>
                </c:pt>
                <c:pt idx="1360">
                  <c:v>2.46</c:v>
                </c:pt>
                <c:pt idx="1361">
                  <c:v>0.02</c:v>
                </c:pt>
                <c:pt idx="1362">
                  <c:v>14.43</c:v>
                </c:pt>
                <c:pt idx="1363">
                  <c:v>2.46</c:v>
                </c:pt>
                <c:pt idx="1364">
                  <c:v>3.22</c:v>
                </c:pt>
                <c:pt idx="1365">
                  <c:v>14.44</c:v>
                </c:pt>
                <c:pt idx="1366">
                  <c:v>0.14000000000000001</c:v>
                </c:pt>
                <c:pt idx="1367">
                  <c:v>0.01</c:v>
                </c:pt>
                <c:pt idx="1368">
                  <c:v>2.46</c:v>
                </c:pt>
                <c:pt idx="1369">
                  <c:v>0.01</c:v>
                </c:pt>
                <c:pt idx="1370">
                  <c:v>25.14</c:v>
                </c:pt>
                <c:pt idx="1371">
                  <c:v>0.02</c:v>
                </c:pt>
                <c:pt idx="1372">
                  <c:v>4.2699999999999996</c:v>
                </c:pt>
                <c:pt idx="1373">
                  <c:v>2.46</c:v>
                </c:pt>
                <c:pt idx="1374">
                  <c:v>2.46</c:v>
                </c:pt>
                <c:pt idx="1375">
                  <c:v>2.46</c:v>
                </c:pt>
                <c:pt idx="1376">
                  <c:v>0.16</c:v>
                </c:pt>
                <c:pt idx="1377">
                  <c:v>0.01</c:v>
                </c:pt>
                <c:pt idx="1378">
                  <c:v>2.46</c:v>
                </c:pt>
                <c:pt idx="1379">
                  <c:v>2.46</c:v>
                </c:pt>
                <c:pt idx="1380">
                  <c:v>0.03</c:v>
                </c:pt>
                <c:pt idx="1381">
                  <c:v>177.4</c:v>
                </c:pt>
                <c:pt idx="1382">
                  <c:v>0</c:v>
                </c:pt>
                <c:pt idx="1383">
                  <c:v>2.46</c:v>
                </c:pt>
                <c:pt idx="1384">
                  <c:v>0</c:v>
                </c:pt>
                <c:pt idx="1385">
                  <c:v>1.78</c:v>
                </c:pt>
                <c:pt idx="1386">
                  <c:v>1.65</c:v>
                </c:pt>
                <c:pt idx="1387">
                  <c:v>2.46</c:v>
                </c:pt>
                <c:pt idx="1388">
                  <c:v>0.02</c:v>
                </c:pt>
                <c:pt idx="1389">
                  <c:v>0.06</c:v>
                </c:pt>
                <c:pt idx="1390">
                  <c:v>0.03</c:v>
                </c:pt>
                <c:pt idx="1391">
                  <c:v>2.46</c:v>
                </c:pt>
                <c:pt idx="1392">
                  <c:v>2.46</c:v>
                </c:pt>
                <c:pt idx="1393">
                  <c:v>0.28000000000000003</c:v>
                </c:pt>
                <c:pt idx="1394">
                  <c:v>0.1</c:v>
                </c:pt>
                <c:pt idx="1395">
                  <c:v>356.46</c:v>
                </c:pt>
                <c:pt idx="1396">
                  <c:v>1.83</c:v>
                </c:pt>
                <c:pt idx="1397">
                  <c:v>0</c:v>
                </c:pt>
                <c:pt idx="1398">
                  <c:v>0.02</c:v>
                </c:pt>
                <c:pt idx="1399">
                  <c:v>0.01</c:v>
                </c:pt>
                <c:pt idx="1400">
                  <c:v>0.01</c:v>
                </c:pt>
                <c:pt idx="1401">
                  <c:v>3.48</c:v>
                </c:pt>
                <c:pt idx="1402">
                  <c:v>1.1200000000000001</c:v>
                </c:pt>
                <c:pt idx="1403">
                  <c:v>7.0000000000000007E-2</c:v>
                </c:pt>
                <c:pt idx="1404">
                  <c:v>2.46</c:v>
                </c:pt>
                <c:pt idx="1405">
                  <c:v>2.46</c:v>
                </c:pt>
                <c:pt idx="1406">
                  <c:v>0.04</c:v>
                </c:pt>
                <c:pt idx="1407">
                  <c:v>16.03</c:v>
                </c:pt>
                <c:pt idx="1408">
                  <c:v>0.53</c:v>
                </c:pt>
                <c:pt idx="1409">
                  <c:v>0.06</c:v>
                </c:pt>
                <c:pt idx="1410">
                  <c:v>2.46</c:v>
                </c:pt>
                <c:pt idx="1411">
                  <c:v>2.46</c:v>
                </c:pt>
                <c:pt idx="1412">
                  <c:v>2.46</c:v>
                </c:pt>
                <c:pt idx="1413">
                  <c:v>0.01</c:v>
                </c:pt>
                <c:pt idx="1414">
                  <c:v>0.17</c:v>
                </c:pt>
                <c:pt idx="1415">
                  <c:v>0.01</c:v>
                </c:pt>
                <c:pt idx="1416">
                  <c:v>2.46</c:v>
                </c:pt>
                <c:pt idx="1417">
                  <c:v>2.46</c:v>
                </c:pt>
                <c:pt idx="1418">
                  <c:v>2.46</c:v>
                </c:pt>
                <c:pt idx="1419">
                  <c:v>0.41</c:v>
                </c:pt>
                <c:pt idx="1420">
                  <c:v>26.58</c:v>
                </c:pt>
                <c:pt idx="1421">
                  <c:v>2.46</c:v>
                </c:pt>
                <c:pt idx="1422">
                  <c:v>2.46</c:v>
                </c:pt>
                <c:pt idx="1423">
                  <c:v>2.46</c:v>
                </c:pt>
                <c:pt idx="1424">
                  <c:v>34.92</c:v>
                </c:pt>
                <c:pt idx="1425">
                  <c:v>363.07</c:v>
                </c:pt>
                <c:pt idx="1426">
                  <c:v>10.91</c:v>
                </c:pt>
                <c:pt idx="1427">
                  <c:v>2.46</c:v>
                </c:pt>
                <c:pt idx="1428">
                  <c:v>30.5</c:v>
                </c:pt>
                <c:pt idx="1429">
                  <c:v>2.46</c:v>
                </c:pt>
                <c:pt idx="1430">
                  <c:v>62.68</c:v>
                </c:pt>
                <c:pt idx="1431">
                  <c:v>2.46</c:v>
                </c:pt>
                <c:pt idx="1432">
                  <c:v>2.46</c:v>
                </c:pt>
                <c:pt idx="1433">
                  <c:v>27.57</c:v>
                </c:pt>
                <c:pt idx="1434">
                  <c:v>18.71</c:v>
                </c:pt>
                <c:pt idx="1435">
                  <c:v>36.869999999999997</c:v>
                </c:pt>
                <c:pt idx="1436">
                  <c:v>2.46</c:v>
                </c:pt>
                <c:pt idx="1437">
                  <c:v>12.63</c:v>
                </c:pt>
                <c:pt idx="1438">
                  <c:v>2.46</c:v>
                </c:pt>
                <c:pt idx="1439">
                  <c:v>2.46</c:v>
                </c:pt>
                <c:pt idx="1440">
                  <c:v>19.100000000000001</c:v>
                </c:pt>
                <c:pt idx="1441">
                  <c:v>72.08</c:v>
                </c:pt>
                <c:pt idx="1442">
                  <c:v>35.590000000000003</c:v>
                </c:pt>
                <c:pt idx="1443">
                  <c:v>3.71</c:v>
                </c:pt>
                <c:pt idx="1444">
                  <c:v>66.180000000000007</c:v>
                </c:pt>
                <c:pt idx="1445">
                  <c:v>14.27</c:v>
                </c:pt>
                <c:pt idx="1446">
                  <c:v>31.15</c:v>
                </c:pt>
                <c:pt idx="1447">
                  <c:v>1.03</c:v>
                </c:pt>
                <c:pt idx="1448">
                  <c:v>41.01</c:v>
                </c:pt>
                <c:pt idx="1449">
                  <c:v>56.25</c:v>
                </c:pt>
                <c:pt idx="1450">
                  <c:v>79.209999999999994</c:v>
                </c:pt>
                <c:pt idx="1451">
                  <c:v>155.44</c:v>
                </c:pt>
                <c:pt idx="1452">
                  <c:v>2.46</c:v>
                </c:pt>
                <c:pt idx="1453">
                  <c:v>2.46</c:v>
                </c:pt>
                <c:pt idx="1454">
                  <c:v>32.46</c:v>
                </c:pt>
                <c:pt idx="1455">
                  <c:v>2.46</c:v>
                </c:pt>
                <c:pt idx="1456">
                  <c:v>23.05</c:v>
                </c:pt>
                <c:pt idx="1457">
                  <c:v>0.06</c:v>
                </c:pt>
                <c:pt idx="1458">
                  <c:v>103.14</c:v>
                </c:pt>
                <c:pt idx="1459">
                  <c:v>2.46</c:v>
                </c:pt>
                <c:pt idx="1460">
                  <c:v>2.46</c:v>
                </c:pt>
                <c:pt idx="1461">
                  <c:v>47.37</c:v>
                </c:pt>
                <c:pt idx="1462">
                  <c:v>330.36</c:v>
                </c:pt>
                <c:pt idx="1463">
                  <c:v>48.39</c:v>
                </c:pt>
                <c:pt idx="1464">
                  <c:v>0.03</c:v>
                </c:pt>
                <c:pt idx="1465">
                  <c:v>4.2</c:v>
                </c:pt>
                <c:pt idx="1466">
                  <c:v>107.51</c:v>
                </c:pt>
                <c:pt idx="1467">
                  <c:v>2.46</c:v>
                </c:pt>
                <c:pt idx="1468">
                  <c:v>1.36</c:v>
                </c:pt>
                <c:pt idx="1469">
                  <c:v>2.46</c:v>
                </c:pt>
                <c:pt idx="1470">
                  <c:v>2.46</c:v>
                </c:pt>
                <c:pt idx="1471">
                  <c:v>2.46</c:v>
                </c:pt>
                <c:pt idx="1472">
                  <c:v>14.01</c:v>
                </c:pt>
                <c:pt idx="1473">
                  <c:v>6.46</c:v>
                </c:pt>
                <c:pt idx="1474">
                  <c:v>2.46</c:v>
                </c:pt>
                <c:pt idx="1475">
                  <c:v>36.26</c:v>
                </c:pt>
                <c:pt idx="1476">
                  <c:v>20.76</c:v>
                </c:pt>
                <c:pt idx="1477">
                  <c:v>1.33</c:v>
                </c:pt>
                <c:pt idx="1478">
                  <c:v>3.15</c:v>
                </c:pt>
                <c:pt idx="1479">
                  <c:v>2.46</c:v>
                </c:pt>
                <c:pt idx="1480">
                  <c:v>2.46</c:v>
                </c:pt>
                <c:pt idx="1481">
                  <c:v>408.08</c:v>
                </c:pt>
                <c:pt idx="1482">
                  <c:v>0.02</c:v>
                </c:pt>
                <c:pt idx="1483">
                  <c:v>2.46</c:v>
                </c:pt>
                <c:pt idx="1484">
                  <c:v>0.23</c:v>
                </c:pt>
                <c:pt idx="1485">
                  <c:v>0.03</c:v>
                </c:pt>
                <c:pt idx="1486">
                  <c:v>21.22</c:v>
                </c:pt>
                <c:pt idx="1487">
                  <c:v>2.46</c:v>
                </c:pt>
                <c:pt idx="1488">
                  <c:v>2.13</c:v>
                </c:pt>
                <c:pt idx="1489">
                  <c:v>55.12</c:v>
                </c:pt>
                <c:pt idx="1490">
                  <c:v>0.09</c:v>
                </c:pt>
                <c:pt idx="1491">
                  <c:v>126.64</c:v>
                </c:pt>
                <c:pt idx="1492">
                  <c:v>162.43</c:v>
                </c:pt>
                <c:pt idx="1493">
                  <c:v>5.2</c:v>
                </c:pt>
                <c:pt idx="1494">
                  <c:v>27.38</c:v>
                </c:pt>
                <c:pt idx="1495">
                  <c:v>2.46</c:v>
                </c:pt>
                <c:pt idx="1496">
                  <c:v>15.43</c:v>
                </c:pt>
                <c:pt idx="1497">
                  <c:v>2.46</c:v>
                </c:pt>
                <c:pt idx="1498">
                  <c:v>0.69</c:v>
                </c:pt>
                <c:pt idx="1499">
                  <c:v>2.96</c:v>
                </c:pt>
                <c:pt idx="1500">
                  <c:v>0.09</c:v>
                </c:pt>
                <c:pt idx="1501">
                  <c:v>2.46</c:v>
                </c:pt>
                <c:pt idx="1502">
                  <c:v>0.17</c:v>
                </c:pt>
                <c:pt idx="1503">
                  <c:v>7.0000000000000007E-2</c:v>
                </c:pt>
                <c:pt idx="1504">
                  <c:v>97.69</c:v>
                </c:pt>
                <c:pt idx="1505">
                  <c:v>0.08</c:v>
                </c:pt>
                <c:pt idx="1506">
                  <c:v>87.24</c:v>
                </c:pt>
                <c:pt idx="1507">
                  <c:v>5.88</c:v>
                </c:pt>
                <c:pt idx="1508">
                  <c:v>2.46</c:v>
                </c:pt>
                <c:pt idx="1509">
                  <c:v>2.46</c:v>
                </c:pt>
                <c:pt idx="1510">
                  <c:v>2.46</c:v>
                </c:pt>
                <c:pt idx="1511">
                  <c:v>125.07</c:v>
                </c:pt>
                <c:pt idx="1512">
                  <c:v>76.23</c:v>
                </c:pt>
                <c:pt idx="1513">
                  <c:v>2.46</c:v>
                </c:pt>
                <c:pt idx="1514">
                  <c:v>0.28000000000000003</c:v>
                </c:pt>
                <c:pt idx="1515">
                  <c:v>2.46</c:v>
                </c:pt>
                <c:pt idx="1516">
                  <c:v>77.040000000000006</c:v>
                </c:pt>
                <c:pt idx="1517">
                  <c:v>486.3</c:v>
                </c:pt>
                <c:pt idx="1518">
                  <c:v>1.6</c:v>
                </c:pt>
                <c:pt idx="1519">
                  <c:v>86.26</c:v>
                </c:pt>
                <c:pt idx="1520">
                  <c:v>26.41</c:v>
                </c:pt>
                <c:pt idx="1521">
                  <c:v>34.340000000000003</c:v>
                </c:pt>
                <c:pt idx="1522">
                  <c:v>3.91</c:v>
                </c:pt>
                <c:pt idx="1523">
                  <c:v>2.46</c:v>
                </c:pt>
                <c:pt idx="1524">
                  <c:v>2.46</c:v>
                </c:pt>
                <c:pt idx="1525">
                  <c:v>2.46</c:v>
                </c:pt>
                <c:pt idx="1526">
                  <c:v>4.07</c:v>
                </c:pt>
                <c:pt idx="1527">
                  <c:v>38.58</c:v>
                </c:pt>
                <c:pt idx="1528">
                  <c:v>128.34</c:v>
                </c:pt>
                <c:pt idx="1529">
                  <c:v>0.01</c:v>
                </c:pt>
                <c:pt idx="1530">
                  <c:v>325.10000000000002</c:v>
                </c:pt>
                <c:pt idx="1531">
                  <c:v>4.21</c:v>
                </c:pt>
                <c:pt idx="1532">
                  <c:v>3.4</c:v>
                </c:pt>
                <c:pt idx="1533">
                  <c:v>0.59</c:v>
                </c:pt>
                <c:pt idx="1534">
                  <c:v>21.59</c:v>
                </c:pt>
                <c:pt idx="1535">
                  <c:v>72.680000000000007</c:v>
                </c:pt>
                <c:pt idx="1536">
                  <c:v>48.02</c:v>
                </c:pt>
                <c:pt idx="1537">
                  <c:v>368.38</c:v>
                </c:pt>
                <c:pt idx="1538">
                  <c:v>341.27</c:v>
                </c:pt>
                <c:pt idx="1539">
                  <c:v>364</c:v>
                </c:pt>
                <c:pt idx="1540">
                  <c:v>153.71</c:v>
                </c:pt>
                <c:pt idx="1541">
                  <c:v>0.05</c:v>
                </c:pt>
                <c:pt idx="1542">
                  <c:v>2.46</c:v>
                </c:pt>
                <c:pt idx="1543">
                  <c:v>1.48</c:v>
                </c:pt>
                <c:pt idx="1544">
                  <c:v>0.3</c:v>
                </c:pt>
                <c:pt idx="1545">
                  <c:v>8.81</c:v>
                </c:pt>
                <c:pt idx="1546">
                  <c:v>100.55</c:v>
                </c:pt>
                <c:pt idx="1547">
                  <c:v>234.04</c:v>
                </c:pt>
                <c:pt idx="1548">
                  <c:v>75.400000000000006</c:v>
                </c:pt>
                <c:pt idx="1549">
                  <c:v>2.46</c:v>
                </c:pt>
                <c:pt idx="1550">
                  <c:v>2.0099999999999998</c:v>
                </c:pt>
                <c:pt idx="1551">
                  <c:v>0.05</c:v>
                </c:pt>
                <c:pt idx="1552">
                  <c:v>2.46</c:v>
                </c:pt>
                <c:pt idx="1553">
                  <c:v>2.46</c:v>
                </c:pt>
                <c:pt idx="1554">
                  <c:v>0</c:v>
                </c:pt>
                <c:pt idx="1555">
                  <c:v>4.71</c:v>
                </c:pt>
                <c:pt idx="1556">
                  <c:v>2.46</c:v>
                </c:pt>
                <c:pt idx="1557">
                  <c:v>67.209999999999994</c:v>
                </c:pt>
                <c:pt idx="1558">
                  <c:v>0.11</c:v>
                </c:pt>
                <c:pt idx="1559">
                  <c:v>0.27</c:v>
                </c:pt>
                <c:pt idx="1560">
                  <c:v>2.46</c:v>
                </c:pt>
                <c:pt idx="1561">
                  <c:v>14.9</c:v>
                </c:pt>
                <c:pt idx="1562">
                  <c:v>0.7</c:v>
                </c:pt>
                <c:pt idx="1563">
                  <c:v>15.86</c:v>
                </c:pt>
                <c:pt idx="1564">
                  <c:v>169.61</c:v>
                </c:pt>
                <c:pt idx="1565">
                  <c:v>10.66</c:v>
                </c:pt>
                <c:pt idx="1566">
                  <c:v>2.46</c:v>
                </c:pt>
                <c:pt idx="1567">
                  <c:v>11.1</c:v>
                </c:pt>
                <c:pt idx="1568">
                  <c:v>6.3</c:v>
                </c:pt>
                <c:pt idx="1569">
                  <c:v>2.46</c:v>
                </c:pt>
                <c:pt idx="1570">
                  <c:v>248.76</c:v>
                </c:pt>
                <c:pt idx="1571">
                  <c:v>47.7</c:v>
                </c:pt>
                <c:pt idx="1572">
                  <c:v>0.2</c:v>
                </c:pt>
                <c:pt idx="1573">
                  <c:v>7.1</c:v>
                </c:pt>
                <c:pt idx="1574">
                  <c:v>0.66</c:v>
                </c:pt>
                <c:pt idx="1575">
                  <c:v>2.46</c:v>
                </c:pt>
                <c:pt idx="1576">
                  <c:v>3.5</c:v>
                </c:pt>
                <c:pt idx="1577">
                  <c:v>2.46</c:v>
                </c:pt>
                <c:pt idx="1578">
                  <c:v>14.43</c:v>
                </c:pt>
                <c:pt idx="1579">
                  <c:v>4.8499999999999996</c:v>
                </c:pt>
                <c:pt idx="1580">
                  <c:v>2.46</c:v>
                </c:pt>
                <c:pt idx="1581">
                  <c:v>2.46</c:v>
                </c:pt>
                <c:pt idx="1582">
                  <c:v>58.7</c:v>
                </c:pt>
                <c:pt idx="1583">
                  <c:v>0.06</c:v>
                </c:pt>
                <c:pt idx="1584">
                  <c:v>0.01</c:v>
                </c:pt>
                <c:pt idx="1585">
                  <c:v>1.74</c:v>
                </c:pt>
                <c:pt idx="1586">
                  <c:v>100.01</c:v>
                </c:pt>
                <c:pt idx="1587">
                  <c:v>1.99</c:v>
                </c:pt>
                <c:pt idx="1588">
                  <c:v>0.11</c:v>
                </c:pt>
                <c:pt idx="1589">
                  <c:v>67.27</c:v>
                </c:pt>
                <c:pt idx="1590">
                  <c:v>2.46</c:v>
                </c:pt>
                <c:pt idx="1591">
                  <c:v>232.64</c:v>
                </c:pt>
                <c:pt idx="1592">
                  <c:v>51.74</c:v>
                </c:pt>
                <c:pt idx="1593">
                  <c:v>13.96</c:v>
                </c:pt>
                <c:pt idx="1594">
                  <c:v>12.79</c:v>
                </c:pt>
                <c:pt idx="1595">
                  <c:v>2.46</c:v>
                </c:pt>
                <c:pt idx="1596">
                  <c:v>61.43</c:v>
                </c:pt>
                <c:pt idx="1597">
                  <c:v>2.46</c:v>
                </c:pt>
                <c:pt idx="1598">
                  <c:v>55.48</c:v>
                </c:pt>
                <c:pt idx="1599">
                  <c:v>3.74</c:v>
                </c:pt>
                <c:pt idx="1600">
                  <c:v>0.12</c:v>
                </c:pt>
                <c:pt idx="1601">
                  <c:v>0.26</c:v>
                </c:pt>
                <c:pt idx="1602">
                  <c:v>31.02</c:v>
                </c:pt>
                <c:pt idx="1603">
                  <c:v>3.24</c:v>
                </c:pt>
                <c:pt idx="1604">
                  <c:v>54.65</c:v>
                </c:pt>
                <c:pt idx="1605">
                  <c:v>0.28999999999999998</c:v>
                </c:pt>
                <c:pt idx="1606">
                  <c:v>1.03</c:v>
                </c:pt>
                <c:pt idx="1607">
                  <c:v>0.92</c:v>
                </c:pt>
                <c:pt idx="1608">
                  <c:v>2.46</c:v>
                </c:pt>
                <c:pt idx="1609">
                  <c:v>93.43</c:v>
                </c:pt>
                <c:pt idx="1610">
                  <c:v>2.4</c:v>
                </c:pt>
                <c:pt idx="1611">
                  <c:v>5.66</c:v>
                </c:pt>
                <c:pt idx="1612">
                  <c:v>30.35</c:v>
                </c:pt>
                <c:pt idx="1613">
                  <c:v>10.38</c:v>
                </c:pt>
                <c:pt idx="1614">
                  <c:v>0.94</c:v>
                </c:pt>
                <c:pt idx="1615">
                  <c:v>19.64</c:v>
                </c:pt>
                <c:pt idx="1616">
                  <c:v>57.68</c:v>
                </c:pt>
                <c:pt idx="1617">
                  <c:v>1.49</c:v>
                </c:pt>
                <c:pt idx="1618">
                  <c:v>158.85</c:v>
                </c:pt>
                <c:pt idx="1619">
                  <c:v>532.17999999999995</c:v>
                </c:pt>
                <c:pt idx="1620">
                  <c:v>4.79</c:v>
                </c:pt>
                <c:pt idx="1621">
                  <c:v>0.26</c:v>
                </c:pt>
                <c:pt idx="1622">
                  <c:v>7.23</c:v>
                </c:pt>
                <c:pt idx="1623">
                  <c:v>27.01</c:v>
                </c:pt>
                <c:pt idx="1624">
                  <c:v>2.46</c:v>
                </c:pt>
                <c:pt idx="1625">
                  <c:v>2.46</c:v>
                </c:pt>
                <c:pt idx="1626">
                  <c:v>2.46</c:v>
                </c:pt>
                <c:pt idx="1627">
                  <c:v>0.54</c:v>
                </c:pt>
                <c:pt idx="1628">
                  <c:v>0.04</c:v>
                </c:pt>
                <c:pt idx="1629">
                  <c:v>7.7</c:v>
                </c:pt>
                <c:pt idx="1630">
                  <c:v>0.15</c:v>
                </c:pt>
                <c:pt idx="1631">
                  <c:v>27.85</c:v>
                </c:pt>
                <c:pt idx="1632">
                  <c:v>2.46</c:v>
                </c:pt>
                <c:pt idx="1633">
                  <c:v>151.1</c:v>
                </c:pt>
                <c:pt idx="1634">
                  <c:v>2.46</c:v>
                </c:pt>
                <c:pt idx="1635">
                  <c:v>2.14</c:v>
                </c:pt>
                <c:pt idx="1636">
                  <c:v>12.55</c:v>
                </c:pt>
                <c:pt idx="1637">
                  <c:v>3.65</c:v>
                </c:pt>
                <c:pt idx="1638">
                  <c:v>0.03</c:v>
                </c:pt>
                <c:pt idx="1639">
                  <c:v>2.46</c:v>
                </c:pt>
                <c:pt idx="1640">
                  <c:v>2.46</c:v>
                </c:pt>
                <c:pt idx="1641">
                  <c:v>2.46</c:v>
                </c:pt>
                <c:pt idx="1642">
                  <c:v>0.01</c:v>
                </c:pt>
                <c:pt idx="1643">
                  <c:v>26.83</c:v>
                </c:pt>
                <c:pt idx="1644">
                  <c:v>2.46</c:v>
                </c:pt>
                <c:pt idx="1645">
                  <c:v>3.9</c:v>
                </c:pt>
                <c:pt idx="1646">
                  <c:v>2.46</c:v>
                </c:pt>
                <c:pt idx="1647">
                  <c:v>2.46</c:v>
                </c:pt>
                <c:pt idx="1648">
                  <c:v>2.46</c:v>
                </c:pt>
                <c:pt idx="1649">
                  <c:v>2.46</c:v>
                </c:pt>
                <c:pt idx="1650">
                  <c:v>40.1</c:v>
                </c:pt>
                <c:pt idx="1651">
                  <c:v>0</c:v>
                </c:pt>
                <c:pt idx="1652">
                  <c:v>2.46</c:v>
                </c:pt>
                <c:pt idx="1653">
                  <c:v>24.25</c:v>
                </c:pt>
                <c:pt idx="1654">
                  <c:v>60.32</c:v>
                </c:pt>
                <c:pt idx="1655">
                  <c:v>2.46</c:v>
                </c:pt>
                <c:pt idx="1656">
                  <c:v>45.54</c:v>
                </c:pt>
                <c:pt idx="1657">
                  <c:v>0.01</c:v>
                </c:pt>
                <c:pt idx="1658">
                  <c:v>0.01</c:v>
                </c:pt>
                <c:pt idx="1659">
                  <c:v>0.01</c:v>
                </c:pt>
                <c:pt idx="1660">
                  <c:v>31.89</c:v>
                </c:pt>
                <c:pt idx="1661">
                  <c:v>2.46</c:v>
                </c:pt>
                <c:pt idx="1662">
                  <c:v>1.31</c:v>
                </c:pt>
                <c:pt idx="1663">
                  <c:v>2.46</c:v>
                </c:pt>
                <c:pt idx="1664">
                  <c:v>2.46</c:v>
                </c:pt>
                <c:pt idx="1665">
                  <c:v>2.46</c:v>
                </c:pt>
                <c:pt idx="1666">
                  <c:v>2.46</c:v>
                </c:pt>
                <c:pt idx="1667">
                  <c:v>2.46</c:v>
                </c:pt>
                <c:pt idx="1668">
                  <c:v>0.03</c:v>
                </c:pt>
                <c:pt idx="1669">
                  <c:v>0.23</c:v>
                </c:pt>
                <c:pt idx="1670">
                  <c:v>7.12</c:v>
                </c:pt>
                <c:pt idx="1671">
                  <c:v>0.05</c:v>
                </c:pt>
                <c:pt idx="1672">
                  <c:v>0.61</c:v>
                </c:pt>
                <c:pt idx="1673">
                  <c:v>3.82</c:v>
                </c:pt>
                <c:pt idx="1674">
                  <c:v>2.46</c:v>
                </c:pt>
                <c:pt idx="1675">
                  <c:v>0</c:v>
                </c:pt>
                <c:pt idx="1676">
                  <c:v>0.01</c:v>
                </c:pt>
                <c:pt idx="1677">
                  <c:v>2.46</c:v>
                </c:pt>
                <c:pt idx="1678">
                  <c:v>0.88</c:v>
                </c:pt>
                <c:pt idx="1679">
                  <c:v>0.15</c:v>
                </c:pt>
                <c:pt idx="1680">
                  <c:v>8.11</c:v>
                </c:pt>
                <c:pt idx="1681">
                  <c:v>0.08</c:v>
                </c:pt>
                <c:pt idx="1682">
                  <c:v>2.46</c:v>
                </c:pt>
                <c:pt idx="1683">
                  <c:v>2.46</c:v>
                </c:pt>
                <c:pt idx="1684">
                  <c:v>8.58</c:v>
                </c:pt>
                <c:pt idx="1685">
                  <c:v>2.46</c:v>
                </c:pt>
                <c:pt idx="1686">
                  <c:v>2.46</c:v>
                </c:pt>
                <c:pt idx="1687">
                  <c:v>2.46</c:v>
                </c:pt>
                <c:pt idx="1688">
                  <c:v>2.46</c:v>
                </c:pt>
                <c:pt idx="1689">
                  <c:v>2.46</c:v>
                </c:pt>
                <c:pt idx="1690">
                  <c:v>1.66</c:v>
                </c:pt>
                <c:pt idx="1691">
                  <c:v>0.01</c:v>
                </c:pt>
                <c:pt idx="1692">
                  <c:v>2.46</c:v>
                </c:pt>
                <c:pt idx="1693">
                  <c:v>2.46</c:v>
                </c:pt>
                <c:pt idx="1694">
                  <c:v>138.29</c:v>
                </c:pt>
                <c:pt idx="1695">
                  <c:v>6.88</c:v>
                </c:pt>
                <c:pt idx="1696">
                  <c:v>63.29</c:v>
                </c:pt>
                <c:pt idx="1697">
                  <c:v>0.01</c:v>
                </c:pt>
                <c:pt idx="1698">
                  <c:v>2.46</c:v>
                </c:pt>
                <c:pt idx="1699">
                  <c:v>2.2799999999999998</c:v>
                </c:pt>
                <c:pt idx="1700">
                  <c:v>2.46</c:v>
                </c:pt>
                <c:pt idx="1701">
                  <c:v>0.44</c:v>
                </c:pt>
                <c:pt idx="1702">
                  <c:v>1.86</c:v>
                </c:pt>
                <c:pt idx="1703">
                  <c:v>2.46</c:v>
                </c:pt>
                <c:pt idx="1704">
                  <c:v>0.13</c:v>
                </c:pt>
                <c:pt idx="1705">
                  <c:v>0.04</c:v>
                </c:pt>
                <c:pt idx="1706">
                  <c:v>0.18</c:v>
                </c:pt>
                <c:pt idx="1707">
                  <c:v>0.26</c:v>
                </c:pt>
                <c:pt idx="1708">
                  <c:v>2.46</c:v>
                </c:pt>
                <c:pt idx="1709">
                  <c:v>2.46</c:v>
                </c:pt>
                <c:pt idx="1710">
                  <c:v>0.32</c:v>
                </c:pt>
                <c:pt idx="1711">
                  <c:v>2.46</c:v>
                </c:pt>
                <c:pt idx="1712">
                  <c:v>2.46</c:v>
                </c:pt>
                <c:pt idx="1713">
                  <c:v>3.81</c:v>
                </c:pt>
                <c:pt idx="1714">
                  <c:v>2.46</c:v>
                </c:pt>
                <c:pt idx="1715">
                  <c:v>2.46</c:v>
                </c:pt>
                <c:pt idx="1716">
                  <c:v>0.03</c:v>
                </c:pt>
                <c:pt idx="1717">
                  <c:v>2.46</c:v>
                </c:pt>
                <c:pt idx="1718">
                  <c:v>5.62</c:v>
                </c:pt>
                <c:pt idx="1719">
                  <c:v>0.01</c:v>
                </c:pt>
                <c:pt idx="1720">
                  <c:v>0.1</c:v>
                </c:pt>
                <c:pt idx="1721">
                  <c:v>2.46</c:v>
                </c:pt>
                <c:pt idx="1722">
                  <c:v>6.17</c:v>
                </c:pt>
                <c:pt idx="1723">
                  <c:v>2.46</c:v>
                </c:pt>
                <c:pt idx="1724">
                  <c:v>2.46</c:v>
                </c:pt>
                <c:pt idx="1725">
                  <c:v>2.46</c:v>
                </c:pt>
                <c:pt idx="1726">
                  <c:v>1.4</c:v>
                </c:pt>
                <c:pt idx="1727">
                  <c:v>0.28999999999999998</c:v>
                </c:pt>
                <c:pt idx="1728">
                  <c:v>2.46</c:v>
                </c:pt>
                <c:pt idx="1729">
                  <c:v>0</c:v>
                </c:pt>
                <c:pt idx="1730">
                  <c:v>2.46</c:v>
                </c:pt>
                <c:pt idx="1731">
                  <c:v>2.46</c:v>
                </c:pt>
                <c:pt idx="1732">
                  <c:v>0.1</c:v>
                </c:pt>
                <c:pt idx="1733">
                  <c:v>0.03</c:v>
                </c:pt>
                <c:pt idx="1734">
                  <c:v>2.46</c:v>
                </c:pt>
                <c:pt idx="1735">
                  <c:v>0.02</c:v>
                </c:pt>
                <c:pt idx="1736">
                  <c:v>0.1</c:v>
                </c:pt>
                <c:pt idx="1737">
                  <c:v>24.7</c:v>
                </c:pt>
                <c:pt idx="1738">
                  <c:v>2.4700000000000002</c:v>
                </c:pt>
                <c:pt idx="1739">
                  <c:v>0.04</c:v>
                </c:pt>
                <c:pt idx="1740">
                  <c:v>2.46</c:v>
                </c:pt>
                <c:pt idx="1741">
                  <c:v>0.04</c:v>
                </c:pt>
                <c:pt idx="1742">
                  <c:v>3.02</c:v>
                </c:pt>
                <c:pt idx="1743">
                  <c:v>1.1299999999999999</c:v>
                </c:pt>
                <c:pt idx="1744">
                  <c:v>2.46</c:v>
                </c:pt>
                <c:pt idx="1745">
                  <c:v>2.46</c:v>
                </c:pt>
                <c:pt idx="1746">
                  <c:v>504.01</c:v>
                </c:pt>
                <c:pt idx="1747">
                  <c:v>2.46</c:v>
                </c:pt>
                <c:pt idx="1748">
                  <c:v>0.03</c:v>
                </c:pt>
                <c:pt idx="1749">
                  <c:v>2.46</c:v>
                </c:pt>
                <c:pt idx="1750">
                  <c:v>2.46</c:v>
                </c:pt>
                <c:pt idx="1751">
                  <c:v>226.28</c:v>
                </c:pt>
                <c:pt idx="1752">
                  <c:v>64.510000000000005</c:v>
                </c:pt>
                <c:pt idx="1753">
                  <c:v>2.46</c:v>
                </c:pt>
                <c:pt idx="1754">
                  <c:v>2.46</c:v>
                </c:pt>
                <c:pt idx="1755">
                  <c:v>2.46</c:v>
                </c:pt>
                <c:pt idx="1756">
                  <c:v>2.46</c:v>
                </c:pt>
                <c:pt idx="1757">
                  <c:v>7.89</c:v>
                </c:pt>
                <c:pt idx="1758">
                  <c:v>2.46</c:v>
                </c:pt>
                <c:pt idx="1759">
                  <c:v>40.56</c:v>
                </c:pt>
                <c:pt idx="1760">
                  <c:v>2.46</c:v>
                </c:pt>
                <c:pt idx="1761">
                  <c:v>2.46</c:v>
                </c:pt>
                <c:pt idx="1762">
                  <c:v>2.46</c:v>
                </c:pt>
                <c:pt idx="1763">
                  <c:v>30.23</c:v>
                </c:pt>
                <c:pt idx="1764">
                  <c:v>2.46</c:v>
                </c:pt>
                <c:pt idx="1765">
                  <c:v>85.36</c:v>
                </c:pt>
                <c:pt idx="1766">
                  <c:v>2.46</c:v>
                </c:pt>
                <c:pt idx="1767">
                  <c:v>176.04</c:v>
                </c:pt>
                <c:pt idx="1768">
                  <c:v>2.46</c:v>
                </c:pt>
                <c:pt idx="1769">
                  <c:v>2.46</c:v>
                </c:pt>
                <c:pt idx="1770">
                  <c:v>2.46</c:v>
                </c:pt>
                <c:pt idx="1771">
                  <c:v>0.44</c:v>
                </c:pt>
                <c:pt idx="1772">
                  <c:v>2.46</c:v>
                </c:pt>
                <c:pt idx="1773">
                  <c:v>17.45</c:v>
                </c:pt>
                <c:pt idx="1774">
                  <c:v>20.78</c:v>
                </c:pt>
                <c:pt idx="1775">
                  <c:v>2.46</c:v>
                </c:pt>
                <c:pt idx="1776">
                  <c:v>12.24</c:v>
                </c:pt>
                <c:pt idx="1777">
                  <c:v>2.46</c:v>
                </c:pt>
                <c:pt idx="1778">
                  <c:v>24.8</c:v>
                </c:pt>
                <c:pt idx="1779">
                  <c:v>74.260000000000005</c:v>
                </c:pt>
                <c:pt idx="1780">
                  <c:v>2.46</c:v>
                </c:pt>
                <c:pt idx="1781">
                  <c:v>412.56</c:v>
                </c:pt>
                <c:pt idx="1782">
                  <c:v>2.46</c:v>
                </c:pt>
                <c:pt idx="1783">
                  <c:v>20.5</c:v>
                </c:pt>
                <c:pt idx="1784">
                  <c:v>18.600000000000001</c:v>
                </c:pt>
                <c:pt idx="1785">
                  <c:v>57.39</c:v>
                </c:pt>
                <c:pt idx="1786">
                  <c:v>1.78</c:v>
                </c:pt>
                <c:pt idx="1787">
                  <c:v>2.46</c:v>
                </c:pt>
                <c:pt idx="1788">
                  <c:v>1.24</c:v>
                </c:pt>
                <c:pt idx="1789">
                  <c:v>80.099999999999994</c:v>
                </c:pt>
                <c:pt idx="1790">
                  <c:v>92.03</c:v>
                </c:pt>
                <c:pt idx="1791">
                  <c:v>3.61</c:v>
                </c:pt>
                <c:pt idx="1792">
                  <c:v>226.01</c:v>
                </c:pt>
                <c:pt idx="1793">
                  <c:v>0.65</c:v>
                </c:pt>
                <c:pt idx="1794">
                  <c:v>2.46</c:v>
                </c:pt>
                <c:pt idx="1795">
                  <c:v>168.05</c:v>
                </c:pt>
                <c:pt idx="1796">
                  <c:v>44.9</c:v>
                </c:pt>
                <c:pt idx="1797">
                  <c:v>39.18</c:v>
                </c:pt>
                <c:pt idx="1798">
                  <c:v>30.72</c:v>
                </c:pt>
                <c:pt idx="1799">
                  <c:v>175</c:v>
                </c:pt>
                <c:pt idx="1800">
                  <c:v>1.32</c:v>
                </c:pt>
                <c:pt idx="1801">
                  <c:v>2.46</c:v>
                </c:pt>
                <c:pt idx="1802">
                  <c:v>2.46</c:v>
                </c:pt>
                <c:pt idx="1803">
                  <c:v>1.1100000000000001</c:v>
                </c:pt>
                <c:pt idx="1804">
                  <c:v>2.46</c:v>
                </c:pt>
                <c:pt idx="1805">
                  <c:v>0.05</c:v>
                </c:pt>
                <c:pt idx="1806">
                  <c:v>2.46</c:v>
                </c:pt>
                <c:pt idx="1807">
                  <c:v>2.4</c:v>
                </c:pt>
                <c:pt idx="1808">
                  <c:v>0.05</c:v>
                </c:pt>
                <c:pt idx="1809">
                  <c:v>7.12</c:v>
                </c:pt>
                <c:pt idx="1810">
                  <c:v>2.46</c:v>
                </c:pt>
                <c:pt idx="1811">
                  <c:v>2.68</c:v>
                </c:pt>
                <c:pt idx="1812">
                  <c:v>44.92</c:v>
                </c:pt>
                <c:pt idx="1813">
                  <c:v>0.38</c:v>
                </c:pt>
                <c:pt idx="1814">
                  <c:v>2.46</c:v>
                </c:pt>
                <c:pt idx="1815">
                  <c:v>2.46</c:v>
                </c:pt>
                <c:pt idx="1816">
                  <c:v>2.46</c:v>
                </c:pt>
                <c:pt idx="1817">
                  <c:v>1.65</c:v>
                </c:pt>
                <c:pt idx="1818">
                  <c:v>2.46</c:v>
                </c:pt>
                <c:pt idx="1819">
                  <c:v>11.27</c:v>
                </c:pt>
                <c:pt idx="1820">
                  <c:v>389.81</c:v>
                </c:pt>
                <c:pt idx="1821">
                  <c:v>2.46</c:v>
                </c:pt>
                <c:pt idx="1822">
                  <c:v>58.06</c:v>
                </c:pt>
                <c:pt idx="1823">
                  <c:v>2.46</c:v>
                </c:pt>
                <c:pt idx="1824">
                  <c:v>1.28</c:v>
                </c:pt>
                <c:pt idx="1825">
                  <c:v>75.47</c:v>
                </c:pt>
                <c:pt idx="1826">
                  <c:v>50.7</c:v>
                </c:pt>
                <c:pt idx="1827">
                  <c:v>51.69</c:v>
                </c:pt>
                <c:pt idx="1828">
                  <c:v>2.46</c:v>
                </c:pt>
                <c:pt idx="1829">
                  <c:v>2.46</c:v>
                </c:pt>
                <c:pt idx="1830">
                  <c:v>13.41</c:v>
                </c:pt>
                <c:pt idx="1831">
                  <c:v>33.799999999999997</c:v>
                </c:pt>
                <c:pt idx="1832">
                  <c:v>4.08</c:v>
                </c:pt>
                <c:pt idx="1833">
                  <c:v>0.94</c:v>
                </c:pt>
                <c:pt idx="1834">
                  <c:v>0.62</c:v>
                </c:pt>
                <c:pt idx="1835">
                  <c:v>2.46</c:v>
                </c:pt>
                <c:pt idx="1836">
                  <c:v>1.6</c:v>
                </c:pt>
                <c:pt idx="1837">
                  <c:v>10.58</c:v>
                </c:pt>
                <c:pt idx="1838">
                  <c:v>2.46</c:v>
                </c:pt>
                <c:pt idx="1839">
                  <c:v>107.83</c:v>
                </c:pt>
                <c:pt idx="1840">
                  <c:v>41.19</c:v>
                </c:pt>
                <c:pt idx="1841">
                  <c:v>3.02</c:v>
                </c:pt>
                <c:pt idx="1842">
                  <c:v>0.34</c:v>
                </c:pt>
                <c:pt idx="1843">
                  <c:v>2.46</c:v>
                </c:pt>
                <c:pt idx="1844">
                  <c:v>17.27</c:v>
                </c:pt>
                <c:pt idx="1845">
                  <c:v>2.46</c:v>
                </c:pt>
                <c:pt idx="1846">
                  <c:v>51.34</c:v>
                </c:pt>
                <c:pt idx="1847">
                  <c:v>0.17</c:v>
                </c:pt>
                <c:pt idx="1848">
                  <c:v>0.1</c:v>
                </c:pt>
                <c:pt idx="1849">
                  <c:v>2.4300000000000002</c:v>
                </c:pt>
                <c:pt idx="1850">
                  <c:v>2.46</c:v>
                </c:pt>
                <c:pt idx="1851">
                  <c:v>0.13</c:v>
                </c:pt>
                <c:pt idx="1852">
                  <c:v>2.46</c:v>
                </c:pt>
                <c:pt idx="1853">
                  <c:v>2.46</c:v>
                </c:pt>
                <c:pt idx="1854">
                  <c:v>146.88</c:v>
                </c:pt>
                <c:pt idx="1855">
                  <c:v>0.04</c:v>
                </c:pt>
                <c:pt idx="1856">
                  <c:v>2.46</c:v>
                </c:pt>
                <c:pt idx="1857">
                  <c:v>0.13</c:v>
                </c:pt>
                <c:pt idx="1858">
                  <c:v>22.25</c:v>
                </c:pt>
                <c:pt idx="1859">
                  <c:v>2.46</c:v>
                </c:pt>
                <c:pt idx="1860">
                  <c:v>2.46</c:v>
                </c:pt>
                <c:pt idx="1861">
                  <c:v>0</c:v>
                </c:pt>
                <c:pt idx="1862">
                  <c:v>100.23</c:v>
                </c:pt>
                <c:pt idx="1863">
                  <c:v>188.37</c:v>
                </c:pt>
                <c:pt idx="1864">
                  <c:v>0.47</c:v>
                </c:pt>
                <c:pt idx="1865">
                  <c:v>33.700000000000003</c:v>
                </c:pt>
                <c:pt idx="1866">
                  <c:v>0.04</c:v>
                </c:pt>
                <c:pt idx="1867">
                  <c:v>30.35</c:v>
                </c:pt>
                <c:pt idx="1868">
                  <c:v>2.29</c:v>
                </c:pt>
                <c:pt idx="1869">
                  <c:v>0</c:v>
                </c:pt>
                <c:pt idx="1870">
                  <c:v>2.46</c:v>
                </c:pt>
                <c:pt idx="1871">
                  <c:v>620.17999999999995</c:v>
                </c:pt>
                <c:pt idx="1872">
                  <c:v>12.64</c:v>
                </c:pt>
                <c:pt idx="1873">
                  <c:v>2.46</c:v>
                </c:pt>
                <c:pt idx="1874">
                  <c:v>2.46</c:v>
                </c:pt>
                <c:pt idx="1875">
                  <c:v>0.77</c:v>
                </c:pt>
                <c:pt idx="1876">
                  <c:v>0.15</c:v>
                </c:pt>
                <c:pt idx="1877">
                  <c:v>0.49</c:v>
                </c:pt>
                <c:pt idx="1878">
                  <c:v>229.02</c:v>
                </c:pt>
                <c:pt idx="1879">
                  <c:v>17.8</c:v>
                </c:pt>
                <c:pt idx="1880">
                  <c:v>2.46</c:v>
                </c:pt>
                <c:pt idx="1881">
                  <c:v>92.05</c:v>
                </c:pt>
                <c:pt idx="1882">
                  <c:v>18.100000000000001</c:v>
                </c:pt>
                <c:pt idx="1883">
                  <c:v>0.22</c:v>
                </c:pt>
                <c:pt idx="1884">
                  <c:v>2.46</c:v>
                </c:pt>
                <c:pt idx="1885">
                  <c:v>0.18</c:v>
                </c:pt>
                <c:pt idx="1886">
                  <c:v>327.48</c:v>
                </c:pt>
                <c:pt idx="1887">
                  <c:v>264.62</c:v>
                </c:pt>
                <c:pt idx="1888">
                  <c:v>30.01</c:v>
                </c:pt>
                <c:pt idx="1889">
                  <c:v>10.050000000000001</c:v>
                </c:pt>
                <c:pt idx="1890">
                  <c:v>2.46</c:v>
                </c:pt>
                <c:pt idx="1891">
                  <c:v>2.46</c:v>
                </c:pt>
                <c:pt idx="1892">
                  <c:v>2.46</c:v>
                </c:pt>
                <c:pt idx="1893">
                  <c:v>54.51</c:v>
                </c:pt>
                <c:pt idx="1894">
                  <c:v>48.96</c:v>
                </c:pt>
                <c:pt idx="1895">
                  <c:v>209.73</c:v>
                </c:pt>
                <c:pt idx="1896">
                  <c:v>14.11</c:v>
                </c:pt>
                <c:pt idx="1897">
                  <c:v>2.46</c:v>
                </c:pt>
                <c:pt idx="1898">
                  <c:v>0.97</c:v>
                </c:pt>
                <c:pt idx="1899">
                  <c:v>5.9</c:v>
                </c:pt>
                <c:pt idx="1900">
                  <c:v>4.21</c:v>
                </c:pt>
                <c:pt idx="1901">
                  <c:v>0.38</c:v>
                </c:pt>
                <c:pt idx="1902">
                  <c:v>1.03</c:v>
                </c:pt>
                <c:pt idx="1903">
                  <c:v>6.67</c:v>
                </c:pt>
                <c:pt idx="1904">
                  <c:v>1.59</c:v>
                </c:pt>
                <c:pt idx="1905">
                  <c:v>36.25</c:v>
                </c:pt>
                <c:pt idx="1906">
                  <c:v>1.74</c:v>
                </c:pt>
                <c:pt idx="1907">
                  <c:v>63.86</c:v>
                </c:pt>
                <c:pt idx="1908">
                  <c:v>0.53</c:v>
                </c:pt>
                <c:pt idx="1909">
                  <c:v>2.46</c:v>
                </c:pt>
                <c:pt idx="1910">
                  <c:v>1.4</c:v>
                </c:pt>
                <c:pt idx="1911">
                  <c:v>56.47</c:v>
                </c:pt>
                <c:pt idx="1912">
                  <c:v>34.39</c:v>
                </c:pt>
                <c:pt idx="1913">
                  <c:v>0.03</c:v>
                </c:pt>
                <c:pt idx="1914">
                  <c:v>315.06</c:v>
                </c:pt>
                <c:pt idx="1915">
                  <c:v>18.34</c:v>
                </c:pt>
                <c:pt idx="1916">
                  <c:v>28.78</c:v>
                </c:pt>
                <c:pt idx="1917">
                  <c:v>102.83</c:v>
                </c:pt>
                <c:pt idx="1918">
                  <c:v>0.46</c:v>
                </c:pt>
                <c:pt idx="1919">
                  <c:v>81.900000000000006</c:v>
                </c:pt>
                <c:pt idx="1920">
                  <c:v>5.78</c:v>
                </c:pt>
                <c:pt idx="1921">
                  <c:v>2.46</c:v>
                </c:pt>
                <c:pt idx="1922">
                  <c:v>1.02</c:v>
                </c:pt>
                <c:pt idx="1923">
                  <c:v>0.08</c:v>
                </c:pt>
                <c:pt idx="1924">
                  <c:v>11.96</c:v>
                </c:pt>
                <c:pt idx="1925">
                  <c:v>2.46</c:v>
                </c:pt>
                <c:pt idx="1926">
                  <c:v>21.02</c:v>
                </c:pt>
                <c:pt idx="1927">
                  <c:v>0.01</c:v>
                </c:pt>
                <c:pt idx="1928">
                  <c:v>0.56999999999999995</c:v>
                </c:pt>
                <c:pt idx="1929">
                  <c:v>0.96</c:v>
                </c:pt>
                <c:pt idx="1930">
                  <c:v>132.41999999999999</c:v>
                </c:pt>
                <c:pt idx="1931">
                  <c:v>2.46</c:v>
                </c:pt>
                <c:pt idx="1932">
                  <c:v>0.08</c:v>
                </c:pt>
                <c:pt idx="1933">
                  <c:v>0.02</c:v>
                </c:pt>
                <c:pt idx="1934">
                  <c:v>2.46</c:v>
                </c:pt>
                <c:pt idx="1935">
                  <c:v>2.46</c:v>
                </c:pt>
                <c:pt idx="1936">
                  <c:v>0.15</c:v>
                </c:pt>
                <c:pt idx="1937">
                  <c:v>8.0399999999999991</c:v>
                </c:pt>
                <c:pt idx="1938">
                  <c:v>24.45</c:v>
                </c:pt>
                <c:pt idx="1939">
                  <c:v>2.46</c:v>
                </c:pt>
                <c:pt idx="1940">
                  <c:v>334.2</c:v>
                </c:pt>
                <c:pt idx="1941">
                  <c:v>0.75</c:v>
                </c:pt>
                <c:pt idx="1942">
                  <c:v>174.34</c:v>
                </c:pt>
                <c:pt idx="1943">
                  <c:v>25.11</c:v>
                </c:pt>
                <c:pt idx="1944">
                  <c:v>2.46</c:v>
                </c:pt>
                <c:pt idx="1945">
                  <c:v>2.0299999999999998</c:v>
                </c:pt>
                <c:pt idx="1946">
                  <c:v>0.01</c:v>
                </c:pt>
                <c:pt idx="1947">
                  <c:v>1.03</c:v>
                </c:pt>
                <c:pt idx="1948">
                  <c:v>2.46</c:v>
                </c:pt>
                <c:pt idx="1949">
                  <c:v>32.729999999999997</c:v>
                </c:pt>
                <c:pt idx="1950">
                  <c:v>2.46</c:v>
                </c:pt>
                <c:pt idx="1951">
                  <c:v>20.87</c:v>
                </c:pt>
                <c:pt idx="1952">
                  <c:v>2.46</c:v>
                </c:pt>
                <c:pt idx="1953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63-47AA-BF8E-39B6CBBA9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117503"/>
        <c:axId val="1500117983"/>
      </c:scatterChart>
      <c:valAx>
        <c:axId val="15001175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500117983"/>
        <c:crosses val="autoZero"/>
        <c:crossBetween val="midCat"/>
      </c:valAx>
      <c:valAx>
        <c:axId val="15001179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150011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Gross Profit &amp; Ratings Correlation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379155730533683"/>
                  <c:y val="-0.254698891805191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'Cleaned &amp; Transformed IMDB Movi'!$E$4:$E$1957</c:f>
              <c:numCache>
                <c:formatCode>General</c:formatCode>
                <c:ptCount val="1954"/>
                <c:pt idx="0">
                  <c:v>7.3</c:v>
                </c:pt>
                <c:pt idx="1">
                  <c:v>6.7</c:v>
                </c:pt>
                <c:pt idx="2">
                  <c:v>7.9</c:v>
                </c:pt>
                <c:pt idx="3">
                  <c:v>7.6</c:v>
                </c:pt>
                <c:pt idx="4">
                  <c:v>8.1</c:v>
                </c:pt>
                <c:pt idx="5">
                  <c:v>6.9</c:v>
                </c:pt>
                <c:pt idx="6">
                  <c:v>8.1999999999999993</c:v>
                </c:pt>
                <c:pt idx="7">
                  <c:v>5.7</c:v>
                </c:pt>
                <c:pt idx="8">
                  <c:v>6.5</c:v>
                </c:pt>
                <c:pt idx="9">
                  <c:v>5.2</c:v>
                </c:pt>
                <c:pt idx="10">
                  <c:v>7</c:v>
                </c:pt>
                <c:pt idx="11">
                  <c:v>5.0999999999999996</c:v>
                </c:pt>
                <c:pt idx="12">
                  <c:v>7.6</c:v>
                </c:pt>
                <c:pt idx="13">
                  <c:v>5.7</c:v>
                </c:pt>
                <c:pt idx="14">
                  <c:v>4.8</c:v>
                </c:pt>
                <c:pt idx="15">
                  <c:v>6.9</c:v>
                </c:pt>
                <c:pt idx="16">
                  <c:v>7.3</c:v>
                </c:pt>
                <c:pt idx="17">
                  <c:v>7.4</c:v>
                </c:pt>
                <c:pt idx="18">
                  <c:v>6.5</c:v>
                </c:pt>
                <c:pt idx="19">
                  <c:v>7.4</c:v>
                </c:pt>
                <c:pt idx="20">
                  <c:v>7.7</c:v>
                </c:pt>
                <c:pt idx="21">
                  <c:v>7.5</c:v>
                </c:pt>
                <c:pt idx="22">
                  <c:v>7.6</c:v>
                </c:pt>
                <c:pt idx="23">
                  <c:v>7.1</c:v>
                </c:pt>
                <c:pt idx="24">
                  <c:v>7.7</c:v>
                </c:pt>
                <c:pt idx="25">
                  <c:v>7.3</c:v>
                </c:pt>
                <c:pt idx="26">
                  <c:v>7.4</c:v>
                </c:pt>
                <c:pt idx="27">
                  <c:v>6</c:v>
                </c:pt>
                <c:pt idx="28">
                  <c:v>6.6</c:v>
                </c:pt>
                <c:pt idx="29">
                  <c:v>6.3</c:v>
                </c:pt>
                <c:pt idx="30">
                  <c:v>6.6</c:v>
                </c:pt>
                <c:pt idx="31">
                  <c:v>6.5</c:v>
                </c:pt>
                <c:pt idx="32">
                  <c:v>7.9</c:v>
                </c:pt>
                <c:pt idx="33">
                  <c:v>6.8</c:v>
                </c:pt>
                <c:pt idx="34">
                  <c:v>5.4</c:v>
                </c:pt>
                <c:pt idx="35">
                  <c:v>7.4</c:v>
                </c:pt>
                <c:pt idx="36">
                  <c:v>5.0999999999999996</c:v>
                </c:pt>
                <c:pt idx="37">
                  <c:v>6</c:v>
                </c:pt>
                <c:pt idx="38">
                  <c:v>4.5999999999999996</c:v>
                </c:pt>
                <c:pt idx="39">
                  <c:v>7.9</c:v>
                </c:pt>
                <c:pt idx="40">
                  <c:v>7.2</c:v>
                </c:pt>
                <c:pt idx="41">
                  <c:v>7.6</c:v>
                </c:pt>
                <c:pt idx="42">
                  <c:v>7.2</c:v>
                </c:pt>
                <c:pt idx="43">
                  <c:v>6.9</c:v>
                </c:pt>
                <c:pt idx="44">
                  <c:v>7.7</c:v>
                </c:pt>
                <c:pt idx="45">
                  <c:v>6.8</c:v>
                </c:pt>
                <c:pt idx="46">
                  <c:v>6.7</c:v>
                </c:pt>
                <c:pt idx="47">
                  <c:v>7.5</c:v>
                </c:pt>
                <c:pt idx="48">
                  <c:v>7</c:v>
                </c:pt>
                <c:pt idx="49">
                  <c:v>7.8</c:v>
                </c:pt>
                <c:pt idx="50">
                  <c:v>6.2</c:v>
                </c:pt>
                <c:pt idx="51">
                  <c:v>6.5</c:v>
                </c:pt>
                <c:pt idx="52">
                  <c:v>7.3</c:v>
                </c:pt>
                <c:pt idx="53">
                  <c:v>6.9</c:v>
                </c:pt>
                <c:pt idx="54">
                  <c:v>7.9</c:v>
                </c:pt>
                <c:pt idx="55">
                  <c:v>7</c:v>
                </c:pt>
                <c:pt idx="56">
                  <c:v>6.9</c:v>
                </c:pt>
                <c:pt idx="57">
                  <c:v>4.5999999999999996</c:v>
                </c:pt>
                <c:pt idx="58">
                  <c:v>6.6</c:v>
                </c:pt>
                <c:pt idx="59">
                  <c:v>6.9</c:v>
                </c:pt>
                <c:pt idx="60">
                  <c:v>6.2</c:v>
                </c:pt>
                <c:pt idx="61">
                  <c:v>6.8</c:v>
                </c:pt>
                <c:pt idx="62">
                  <c:v>6.5</c:v>
                </c:pt>
                <c:pt idx="63">
                  <c:v>7.1</c:v>
                </c:pt>
                <c:pt idx="64">
                  <c:v>7.2</c:v>
                </c:pt>
                <c:pt idx="65">
                  <c:v>5.7</c:v>
                </c:pt>
                <c:pt idx="66">
                  <c:v>7.3</c:v>
                </c:pt>
                <c:pt idx="67">
                  <c:v>5.5</c:v>
                </c:pt>
                <c:pt idx="68">
                  <c:v>7.6</c:v>
                </c:pt>
                <c:pt idx="69">
                  <c:v>6.3</c:v>
                </c:pt>
                <c:pt idx="70">
                  <c:v>7</c:v>
                </c:pt>
                <c:pt idx="71">
                  <c:v>7.2</c:v>
                </c:pt>
                <c:pt idx="72">
                  <c:v>6</c:v>
                </c:pt>
                <c:pt idx="73">
                  <c:v>7</c:v>
                </c:pt>
                <c:pt idx="74">
                  <c:v>7.5</c:v>
                </c:pt>
                <c:pt idx="75">
                  <c:v>4.8</c:v>
                </c:pt>
                <c:pt idx="76">
                  <c:v>5.6</c:v>
                </c:pt>
                <c:pt idx="77">
                  <c:v>5.6</c:v>
                </c:pt>
                <c:pt idx="78">
                  <c:v>7.3</c:v>
                </c:pt>
                <c:pt idx="79">
                  <c:v>7.8</c:v>
                </c:pt>
                <c:pt idx="80">
                  <c:v>7.8</c:v>
                </c:pt>
                <c:pt idx="81">
                  <c:v>6</c:v>
                </c:pt>
                <c:pt idx="82">
                  <c:v>7.4</c:v>
                </c:pt>
                <c:pt idx="83">
                  <c:v>5.4</c:v>
                </c:pt>
                <c:pt idx="84">
                  <c:v>7</c:v>
                </c:pt>
                <c:pt idx="85">
                  <c:v>6.9</c:v>
                </c:pt>
                <c:pt idx="86">
                  <c:v>6.6</c:v>
                </c:pt>
                <c:pt idx="87">
                  <c:v>6.8</c:v>
                </c:pt>
                <c:pt idx="88">
                  <c:v>5.8</c:v>
                </c:pt>
                <c:pt idx="89">
                  <c:v>7.3</c:v>
                </c:pt>
                <c:pt idx="90">
                  <c:v>6.6</c:v>
                </c:pt>
                <c:pt idx="91">
                  <c:v>6.9</c:v>
                </c:pt>
                <c:pt idx="92">
                  <c:v>6.3</c:v>
                </c:pt>
                <c:pt idx="93">
                  <c:v>5.3</c:v>
                </c:pt>
                <c:pt idx="94">
                  <c:v>8.4</c:v>
                </c:pt>
                <c:pt idx="95">
                  <c:v>7.3</c:v>
                </c:pt>
                <c:pt idx="96">
                  <c:v>5.4</c:v>
                </c:pt>
                <c:pt idx="97">
                  <c:v>7.9</c:v>
                </c:pt>
                <c:pt idx="98">
                  <c:v>6.4</c:v>
                </c:pt>
                <c:pt idx="99">
                  <c:v>6.2</c:v>
                </c:pt>
                <c:pt idx="100">
                  <c:v>5.0999999999999996</c:v>
                </c:pt>
                <c:pt idx="101">
                  <c:v>7.1</c:v>
                </c:pt>
                <c:pt idx="102">
                  <c:v>6.4</c:v>
                </c:pt>
                <c:pt idx="103">
                  <c:v>7.4</c:v>
                </c:pt>
                <c:pt idx="104">
                  <c:v>7.6</c:v>
                </c:pt>
                <c:pt idx="105">
                  <c:v>8</c:v>
                </c:pt>
                <c:pt idx="106">
                  <c:v>6.4</c:v>
                </c:pt>
                <c:pt idx="107">
                  <c:v>7.3</c:v>
                </c:pt>
                <c:pt idx="108">
                  <c:v>6.9</c:v>
                </c:pt>
                <c:pt idx="109">
                  <c:v>7.1</c:v>
                </c:pt>
                <c:pt idx="110">
                  <c:v>6.4</c:v>
                </c:pt>
                <c:pt idx="111">
                  <c:v>6.2</c:v>
                </c:pt>
                <c:pt idx="112">
                  <c:v>7</c:v>
                </c:pt>
                <c:pt idx="113">
                  <c:v>6.6</c:v>
                </c:pt>
                <c:pt idx="114">
                  <c:v>6.7</c:v>
                </c:pt>
                <c:pt idx="115">
                  <c:v>5.2</c:v>
                </c:pt>
                <c:pt idx="116">
                  <c:v>6.3</c:v>
                </c:pt>
                <c:pt idx="117">
                  <c:v>5.7</c:v>
                </c:pt>
                <c:pt idx="118">
                  <c:v>7.1</c:v>
                </c:pt>
                <c:pt idx="119">
                  <c:v>8.1999999999999993</c:v>
                </c:pt>
                <c:pt idx="120">
                  <c:v>5.8</c:v>
                </c:pt>
                <c:pt idx="121">
                  <c:v>6.2</c:v>
                </c:pt>
                <c:pt idx="122">
                  <c:v>3.7</c:v>
                </c:pt>
                <c:pt idx="123">
                  <c:v>5.2</c:v>
                </c:pt>
                <c:pt idx="124">
                  <c:v>7.3</c:v>
                </c:pt>
                <c:pt idx="125">
                  <c:v>6.9</c:v>
                </c:pt>
                <c:pt idx="126">
                  <c:v>5.6</c:v>
                </c:pt>
                <c:pt idx="127">
                  <c:v>6</c:v>
                </c:pt>
                <c:pt idx="128">
                  <c:v>7.4</c:v>
                </c:pt>
                <c:pt idx="129">
                  <c:v>6.7</c:v>
                </c:pt>
                <c:pt idx="130">
                  <c:v>5.8</c:v>
                </c:pt>
                <c:pt idx="131">
                  <c:v>7.5</c:v>
                </c:pt>
                <c:pt idx="132">
                  <c:v>7.3</c:v>
                </c:pt>
                <c:pt idx="133">
                  <c:v>6.7</c:v>
                </c:pt>
                <c:pt idx="134">
                  <c:v>7.7</c:v>
                </c:pt>
                <c:pt idx="135">
                  <c:v>6.7</c:v>
                </c:pt>
                <c:pt idx="136">
                  <c:v>7.2</c:v>
                </c:pt>
                <c:pt idx="137">
                  <c:v>8</c:v>
                </c:pt>
                <c:pt idx="138">
                  <c:v>5.7</c:v>
                </c:pt>
                <c:pt idx="139">
                  <c:v>5.2</c:v>
                </c:pt>
                <c:pt idx="140">
                  <c:v>6.5</c:v>
                </c:pt>
                <c:pt idx="141">
                  <c:v>7.3</c:v>
                </c:pt>
                <c:pt idx="142">
                  <c:v>6.9</c:v>
                </c:pt>
                <c:pt idx="143">
                  <c:v>7.2</c:v>
                </c:pt>
                <c:pt idx="144">
                  <c:v>7.1</c:v>
                </c:pt>
                <c:pt idx="145">
                  <c:v>6.2</c:v>
                </c:pt>
                <c:pt idx="146">
                  <c:v>7.2</c:v>
                </c:pt>
                <c:pt idx="147">
                  <c:v>5.3</c:v>
                </c:pt>
                <c:pt idx="148">
                  <c:v>7.8</c:v>
                </c:pt>
                <c:pt idx="149">
                  <c:v>7.1</c:v>
                </c:pt>
                <c:pt idx="150">
                  <c:v>7</c:v>
                </c:pt>
                <c:pt idx="151">
                  <c:v>6.7</c:v>
                </c:pt>
                <c:pt idx="152">
                  <c:v>5.8</c:v>
                </c:pt>
                <c:pt idx="153">
                  <c:v>7</c:v>
                </c:pt>
                <c:pt idx="154">
                  <c:v>6.8</c:v>
                </c:pt>
                <c:pt idx="155">
                  <c:v>7.1</c:v>
                </c:pt>
                <c:pt idx="156">
                  <c:v>7.4</c:v>
                </c:pt>
                <c:pt idx="157">
                  <c:v>6.6</c:v>
                </c:pt>
                <c:pt idx="158">
                  <c:v>8.5</c:v>
                </c:pt>
                <c:pt idx="159">
                  <c:v>7</c:v>
                </c:pt>
                <c:pt idx="160">
                  <c:v>5.7</c:v>
                </c:pt>
                <c:pt idx="161">
                  <c:v>6.1</c:v>
                </c:pt>
                <c:pt idx="162">
                  <c:v>7.7</c:v>
                </c:pt>
                <c:pt idx="163">
                  <c:v>6.9</c:v>
                </c:pt>
                <c:pt idx="164">
                  <c:v>6.9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6.4</c:v>
                </c:pt>
                <c:pt idx="169">
                  <c:v>5.9</c:v>
                </c:pt>
                <c:pt idx="170">
                  <c:v>6.1</c:v>
                </c:pt>
                <c:pt idx="171">
                  <c:v>4.5</c:v>
                </c:pt>
                <c:pt idx="172">
                  <c:v>6.6</c:v>
                </c:pt>
                <c:pt idx="173">
                  <c:v>7</c:v>
                </c:pt>
                <c:pt idx="174">
                  <c:v>7.3</c:v>
                </c:pt>
                <c:pt idx="175">
                  <c:v>6.1</c:v>
                </c:pt>
                <c:pt idx="176">
                  <c:v>7.9</c:v>
                </c:pt>
                <c:pt idx="177">
                  <c:v>7.2</c:v>
                </c:pt>
                <c:pt idx="178">
                  <c:v>7.6</c:v>
                </c:pt>
                <c:pt idx="179">
                  <c:v>5.8</c:v>
                </c:pt>
                <c:pt idx="180">
                  <c:v>6.9</c:v>
                </c:pt>
                <c:pt idx="181">
                  <c:v>6.2</c:v>
                </c:pt>
                <c:pt idx="182">
                  <c:v>6.7</c:v>
                </c:pt>
                <c:pt idx="183">
                  <c:v>5.6</c:v>
                </c:pt>
                <c:pt idx="184">
                  <c:v>8</c:v>
                </c:pt>
                <c:pt idx="185">
                  <c:v>7.1</c:v>
                </c:pt>
                <c:pt idx="186">
                  <c:v>6.1</c:v>
                </c:pt>
                <c:pt idx="187">
                  <c:v>6.1</c:v>
                </c:pt>
                <c:pt idx="188">
                  <c:v>6.2</c:v>
                </c:pt>
                <c:pt idx="189">
                  <c:v>6.6</c:v>
                </c:pt>
                <c:pt idx="190">
                  <c:v>6.3</c:v>
                </c:pt>
                <c:pt idx="191">
                  <c:v>7.4</c:v>
                </c:pt>
                <c:pt idx="192">
                  <c:v>7.5</c:v>
                </c:pt>
                <c:pt idx="193">
                  <c:v>6.5</c:v>
                </c:pt>
                <c:pt idx="194">
                  <c:v>7.7</c:v>
                </c:pt>
                <c:pt idx="195">
                  <c:v>6.5</c:v>
                </c:pt>
                <c:pt idx="196">
                  <c:v>7</c:v>
                </c:pt>
                <c:pt idx="197">
                  <c:v>5.6</c:v>
                </c:pt>
                <c:pt idx="198">
                  <c:v>7.9</c:v>
                </c:pt>
                <c:pt idx="199">
                  <c:v>7.1</c:v>
                </c:pt>
                <c:pt idx="200">
                  <c:v>7.1</c:v>
                </c:pt>
                <c:pt idx="201">
                  <c:v>5.4</c:v>
                </c:pt>
                <c:pt idx="202">
                  <c:v>6.8</c:v>
                </c:pt>
                <c:pt idx="203">
                  <c:v>6.3</c:v>
                </c:pt>
                <c:pt idx="204">
                  <c:v>6.4</c:v>
                </c:pt>
                <c:pt idx="205">
                  <c:v>7</c:v>
                </c:pt>
                <c:pt idx="206">
                  <c:v>7.8</c:v>
                </c:pt>
                <c:pt idx="207">
                  <c:v>7.5</c:v>
                </c:pt>
                <c:pt idx="208">
                  <c:v>8.4</c:v>
                </c:pt>
                <c:pt idx="209">
                  <c:v>5.6</c:v>
                </c:pt>
                <c:pt idx="210">
                  <c:v>7.7</c:v>
                </c:pt>
                <c:pt idx="211">
                  <c:v>6.7</c:v>
                </c:pt>
                <c:pt idx="212">
                  <c:v>6</c:v>
                </c:pt>
                <c:pt idx="213">
                  <c:v>6.8</c:v>
                </c:pt>
                <c:pt idx="214">
                  <c:v>7.4</c:v>
                </c:pt>
                <c:pt idx="215">
                  <c:v>7.2</c:v>
                </c:pt>
                <c:pt idx="216">
                  <c:v>5.9</c:v>
                </c:pt>
                <c:pt idx="217">
                  <c:v>6</c:v>
                </c:pt>
                <c:pt idx="218">
                  <c:v>5.0999999999999996</c:v>
                </c:pt>
                <c:pt idx="219">
                  <c:v>5.4</c:v>
                </c:pt>
                <c:pt idx="220">
                  <c:v>5.7</c:v>
                </c:pt>
                <c:pt idx="221">
                  <c:v>6.5</c:v>
                </c:pt>
                <c:pt idx="222">
                  <c:v>5.2</c:v>
                </c:pt>
                <c:pt idx="223">
                  <c:v>7.9</c:v>
                </c:pt>
                <c:pt idx="224">
                  <c:v>4.7</c:v>
                </c:pt>
                <c:pt idx="225">
                  <c:v>6.6</c:v>
                </c:pt>
                <c:pt idx="226">
                  <c:v>5.3</c:v>
                </c:pt>
                <c:pt idx="227">
                  <c:v>5.0999999999999996</c:v>
                </c:pt>
                <c:pt idx="228">
                  <c:v>6.1</c:v>
                </c:pt>
                <c:pt idx="229">
                  <c:v>5.2</c:v>
                </c:pt>
                <c:pt idx="230">
                  <c:v>5.2</c:v>
                </c:pt>
                <c:pt idx="231">
                  <c:v>7.6</c:v>
                </c:pt>
                <c:pt idx="232">
                  <c:v>5.9</c:v>
                </c:pt>
                <c:pt idx="233">
                  <c:v>3.3</c:v>
                </c:pt>
                <c:pt idx="234">
                  <c:v>6.1</c:v>
                </c:pt>
                <c:pt idx="235">
                  <c:v>4.0999999999999996</c:v>
                </c:pt>
                <c:pt idx="236">
                  <c:v>6.1</c:v>
                </c:pt>
                <c:pt idx="237">
                  <c:v>6.7</c:v>
                </c:pt>
                <c:pt idx="238">
                  <c:v>7.2</c:v>
                </c:pt>
                <c:pt idx="239">
                  <c:v>7.6</c:v>
                </c:pt>
                <c:pt idx="240">
                  <c:v>4.5</c:v>
                </c:pt>
                <c:pt idx="241">
                  <c:v>6</c:v>
                </c:pt>
                <c:pt idx="242">
                  <c:v>6.3</c:v>
                </c:pt>
                <c:pt idx="243">
                  <c:v>7.9</c:v>
                </c:pt>
                <c:pt idx="244">
                  <c:v>5.8</c:v>
                </c:pt>
                <c:pt idx="245">
                  <c:v>5.2</c:v>
                </c:pt>
                <c:pt idx="246">
                  <c:v>4.7</c:v>
                </c:pt>
                <c:pt idx="247">
                  <c:v>6.4</c:v>
                </c:pt>
                <c:pt idx="248">
                  <c:v>3.6</c:v>
                </c:pt>
                <c:pt idx="249">
                  <c:v>6.3</c:v>
                </c:pt>
                <c:pt idx="250">
                  <c:v>5.8</c:v>
                </c:pt>
                <c:pt idx="251">
                  <c:v>7.5</c:v>
                </c:pt>
                <c:pt idx="252">
                  <c:v>7.1</c:v>
                </c:pt>
                <c:pt idx="253">
                  <c:v>6.3</c:v>
                </c:pt>
                <c:pt idx="254">
                  <c:v>5.9</c:v>
                </c:pt>
                <c:pt idx="255">
                  <c:v>7.9</c:v>
                </c:pt>
                <c:pt idx="256">
                  <c:v>7.2</c:v>
                </c:pt>
                <c:pt idx="257">
                  <c:v>6.1</c:v>
                </c:pt>
                <c:pt idx="258">
                  <c:v>6.3</c:v>
                </c:pt>
                <c:pt idx="259">
                  <c:v>7.1</c:v>
                </c:pt>
                <c:pt idx="260">
                  <c:v>7.1</c:v>
                </c:pt>
                <c:pt idx="261">
                  <c:v>6.9</c:v>
                </c:pt>
                <c:pt idx="262">
                  <c:v>5.3</c:v>
                </c:pt>
                <c:pt idx="263">
                  <c:v>7.1</c:v>
                </c:pt>
                <c:pt idx="264">
                  <c:v>7.8</c:v>
                </c:pt>
                <c:pt idx="265">
                  <c:v>6.8</c:v>
                </c:pt>
                <c:pt idx="266">
                  <c:v>7.3</c:v>
                </c:pt>
                <c:pt idx="267">
                  <c:v>7.3</c:v>
                </c:pt>
                <c:pt idx="268">
                  <c:v>7.5</c:v>
                </c:pt>
                <c:pt idx="269">
                  <c:v>7.4</c:v>
                </c:pt>
                <c:pt idx="270">
                  <c:v>7.8</c:v>
                </c:pt>
                <c:pt idx="271">
                  <c:v>6.2</c:v>
                </c:pt>
                <c:pt idx="272">
                  <c:v>6.6</c:v>
                </c:pt>
                <c:pt idx="273">
                  <c:v>6.8</c:v>
                </c:pt>
                <c:pt idx="274">
                  <c:v>4.5</c:v>
                </c:pt>
                <c:pt idx="275">
                  <c:v>7.7</c:v>
                </c:pt>
                <c:pt idx="276">
                  <c:v>6.4</c:v>
                </c:pt>
                <c:pt idx="277">
                  <c:v>6.3</c:v>
                </c:pt>
                <c:pt idx="278">
                  <c:v>4.5999999999999996</c:v>
                </c:pt>
                <c:pt idx="279">
                  <c:v>4.7</c:v>
                </c:pt>
                <c:pt idx="280">
                  <c:v>7</c:v>
                </c:pt>
                <c:pt idx="281">
                  <c:v>7.1</c:v>
                </c:pt>
                <c:pt idx="282">
                  <c:v>5.7</c:v>
                </c:pt>
                <c:pt idx="283">
                  <c:v>7.9</c:v>
                </c:pt>
                <c:pt idx="284">
                  <c:v>6.5</c:v>
                </c:pt>
                <c:pt idx="285">
                  <c:v>6.2</c:v>
                </c:pt>
                <c:pt idx="286">
                  <c:v>6.9</c:v>
                </c:pt>
                <c:pt idx="287">
                  <c:v>7.2</c:v>
                </c:pt>
                <c:pt idx="288">
                  <c:v>7</c:v>
                </c:pt>
                <c:pt idx="289">
                  <c:v>6</c:v>
                </c:pt>
                <c:pt idx="290">
                  <c:v>7.4</c:v>
                </c:pt>
                <c:pt idx="291">
                  <c:v>6.4</c:v>
                </c:pt>
                <c:pt idx="292">
                  <c:v>7</c:v>
                </c:pt>
                <c:pt idx="293">
                  <c:v>6.7</c:v>
                </c:pt>
                <c:pt idx="294">
                  <c:v>6.7</c:v>
                </c:pt>
                <c:pt idx="295">
                  <c:v>4.8</c:v>
                </c:pt>
                <c:pt idx="296">
                  <c:v>5.9</c:v>
                </c:pt>
                <c:pt idx="297">
                  <c:v>6.1</c:v>
                </c:pt>
                <c:pt idx="298">
                  <c:v>7.9</c:v>
                </c:pt>
                <c:pt idx="299">
                  <c:v>7.1</c:v>
                </c:pt>
                <c:pt idx="300">
                  <c:v>7</c:v>
                </c:pt>
                <c:pt idx="301">
                  <c:v>6.1</c:v>
                </c:pt>
                <c:pt idx="302">
                  <c:v>5.3</c:v>
                </c:pt>
                <c:pt idx="303">
                  <c:v>7</c:v>
                </c:pt>
                <c:pt idx="304">
                  <c:v>6.6</c:v>
                </c:pt>
                <c:pt idx="305">
                  <c:v>6.2</c:v>
                </c:pt>
                <c:pt idx="306">
                  <c:v>6.5</c:v>
                </c:pt>
                <c:pt idx="307">
                  <c:v>5.5</c:v>
                </c:pt>
                <c:pt idx="308">
                  <c:v>7.7</c:v>
                </c:pt>
                <c:pt idx="309">
                  <c:v>5.5</c:v>
                </c:pt>
                <c:pt idx="310">
                  <c:v>5.7</c:v>
                </c:pt>
                <c:pt idx="311">
                  <c:v>5.7</c:v>
                </c:pt>
                <c:pt idx="312">
                  <c:v>5.7</c:v>
                </c:pt>
                <c:pt idx="313">
                  <c:v>6.2</c:v>
                </c:pt>
                <c:pt idx="314">
                  <c:v>6.3</c:v>
                </c:pt>
                <c:pt idx="315">
                  <c:v>6.8</c:v>
                </c:pt>
                <c:pt idx="316">
                  <c:v>7.1</c:v>
                </c:pt>
                <c:pt idx="317">
                  <c:v>5.5</c:v>
                </c:pt>
                <c:pt idx="318">
                  <c:v>6.1</c:v>
                </c:pt>
                <c:pt idx="319">
                  <c:v>7.1</c:v>
                </c:pt>
                <c:pt idx="320">
                  <c:v>5.0999999999999996</c:v>
                </c:pt>
                <c:pt idx="321">
                  <c:v>6.3</c:v>
                </c:pt>
                <c:pt idx="322">
                  <c:v>5.2</c:v>
                </c:pt>
                <c:pt idx="323">
                  <c:v>7.2</c:v>
                </c:pt>
                <c:pt idx="324">
                  <c:v>4.8</c:v>
                </c:pt>
                <c:pt idx="325">
                  <c:v>8.1999999999999993</c:v>
                </c:pt>
                <c:pt idx="326">
                  <c:v>7.9</c:v>
                </c:pt>
                <c:pt idx="327">
                  <c:v>7.1</c:v>
                </c:pt>
                <c:pt idx="328">
                  <c:v>4.5999999999999996</c:v>
                </c:pt>
                <c:pt idx="329">
                  <c:v>6.4</c:v>
                </c:pt>
                <c:pt idx="330">
                  <c:v>7</c:v>
                </c:pt>
                <c:pt idx="331">
                  <c:v>6.2</c:v>
                </c:pt>
                <c:pt idx="332">
                  <c:v>5.2</c:v>
                </c:pt>
                <c:pt idx="333">
                  <c:v>6.4</c:v>
                </c:pt>
                <c:pt idx="334">
                  <c:v>7.3</c:v>
                </c:pt>
                <c:pt idx="335">
                  <c:v>7.4</c:v>
                </c:pt>
                <c:pt idx="336">
                  <c:v>5.8</c:v>
                </c:pt>
                <c:pt idx="337">
                  <c:v>5.7</c:v>
                </c:pt>
                <c:pt idx="338">
                  <c:v>4.8</c:v>
                </c:pt>
                <c:pt idx="339">
                  <c:v>6.5</c:v>
                </c:pt>
                <c:pt idx="340">
                  <c:v>6.5</c:v>
                </c:pt>
                <c:pt idx="341">
                  <c:v>6.3</c:v>
                </c:pt>
                <c:pt idx="342">
                  <c:v>6.8</c:v>
                </c:pt>
                <c:pt idx="343">
                  <c:v>6.4</c:v>
                </c:pt>
                <c:pt idx="344">
                  <c:v>4.8</c:v>
                </c:pt>
                <c:pt idx="345">
                  <c:v>6.5</c:v>
                </c:pt>
                <c:pt idx="346">
                  <c:v>6.6</c:v>
                </c:pt>
                <c:pt idx="347">
                  <c:v>7.4</c:v>
                </c:pt>
                <c:pt idx="348">
                  <c:v>6.4</c:v>
                </c:pt>
                <c:pt idx="349">
                  <c:v>6.2</c:v>
                </c:pt>
                <c:pt idx="350">
                  <c:v>5.7</c:v>
                </c:pt>
                <c:pt idx="351">
                  <c:v>6.2</c:v>
                </c:pt>
                <c:pt idx="352">
                  <c:v>7.5</c:v>
                </c:pt>
                <c:pt idx="353">
                  <c:v>5.6</c:v>
                </c:pt>
                <c:pt idx="354">
                  <c:v>7.6</c:v>
                </c:pt>
                <c:pt idx="355">
                  <c:v>7.5</c:v>
                </c:pt>
                <c:pt idx="356">
                  <c:v>5.6</c:v>
                </c:pt>
                <c:pt idx="357">
                  <c:v>6.3</c:v>
                </c:pt>
                <c:pt idx="358">
                  <c:v>5.9</c:v>
                </c:pt>
                <c:pt idx="359">
                  <c:v>5.7</c:v>
                </c:pt>
                <c:pt idx="360">
                  <c:v>6.9</c:v>
                </c:pt>
                <c:pt idx="361">
                  <c:v>6</c:v>
                </c:pt>
                <c:pt idx="362">
                  <c:v>5.9</c:v>
                </c:pt>
                <c:pt idx="363">
                  <c:v>7.4</c:v>
                </c:pt>
                <c:pt idx="364">
                  <c:v>8.3000000000000007</c:v>
                </c:pt>
                <c:pt idx="365">
                  <c:v>7.2</c:v>
                </c:pt>
                <c:pt idx="366">
                  <c:v>7.3</c:v>
                </c:pt>
                <c:pt idx="367">
                  <c:v>6</c:v>
                </c:pt>
                <c:pt idx="368">
                  <c:v>6.4</c:v>
                </c:pt>
                <c:pt idx="369">
                  <c:v>7.5</c:v>
                </c:pt>
                <c:pt idx="370">
                  <c:v>5.8</c:v>
                </c:pt>
                <c:pt idx="371">
                  <c:v>7.1</c:v>
                </c:pt>
                <c:pt idx="372">
                  <c:v>7.1</c:v>
                </c:pt>
                <c:pt idx="373">
                  <c:v>7.5</c:v>
                </c:pt>
                <c:pt idx="374">
                  <c:v>7.1</c:v>
                </c:pt>
                <c:pt idx="375">
                  <c:v>5.8</c:v>
                </c:pt>
                <c:pt idx="376">
                  <c:v>6.4</c:v>
                </c:pt>
                <c:pt idx="377">
                  <c:v>7.3</c:v>
                </c:pt>
                <c:pt idx="378">
                  <c:v>6.6</c:v>
                </c:pt>
                <c:pt idx="379">
                  <c:v>7.6</c:v>
                </c:pt>
                <c:pt idx="380">
                  <c:v>7.1</c:v>
                </c:pt>
                <c:pt idx="381">
                  <c:v>6.6</c:v>
                </c:pt>
                <c:pt idx="382">
                  <c:v>7.8</c:v>
                </c:pt>
                <c:pt idx="383">
                  <c:v>6.9</c:v>
                </c:pt>
                <c:pt idx="384">
                  <c:v>7.6</c:v>
                </c:pt>
                <c:pt idx="385">
                  <c:v>6</c:v>
                </c:pt>
                <c:pt idx="386">
                  <c:v>7.8</c:v>
                </c:pt>
                <c:pt idx="387">
                  <c:v>6.1</c:v>
                </c:pt>
                <c:pt idx="388">
                  <c:v>6.2</c:v>
                </c:pt>
                <c:pt idx="389">
                  <c:v>6.5</c:v>
                </c:pt>
                <c:pt idx="390">
                  <c:v>6.3</c:v>
                </c:pt>
                <c:pt idx="391">
                  <c:v>7.4</c:v>
                </c:pt>
                <c:pt idx="392">
                  <c:v>7.6</c:v>
                </c:pt>
                <c:pt idx="393">
                  <c:v>7</c:v>
                </c:pt>
                <c:pt idx="394">
                  <c:v>6.4</c:v>
                </c:pt>
                <c:pt idx="395">
                  <c:v>7.6</c:v>
                </c:pt>
                <c:pt idx="396">
                  <c:v>5.2</c:v>
                </c:pt>
                <c:pt idx="397">
                  <c:v>6.7</c:v>
                </c:pt>
                <c:pt idx="398">
                  <c:v>5.7</c:v>
                </c:pt>
                <c:pt idx="399">
                  <c:v>6.6</c:v>
                </c:pt>
                <c:pt idx="400">
                  <c:v>6.7</c:v>
                </c:pt>
                <c:pt idx="401">
                  <c:v>6.2</c:v>
                </c:pt>
                <c:pt idx="402">
                  <c:v>7.1</c:v>
                </c:pt>
                <c:pt idx="403">
                  <c:v>5.0999999999999996</c:v>
                </c:pt>
                <c:pt idx="404">
                  <c:v>6.3</c:v>
                </c:pt>
                <c:pt idx="405">
                  <c:v>6.1</c:v>
                </c:pt>
                <c:pt idx="406">
                  <c:v>5.6</c:v>
                </c:pt>
                <c:pt idx="407">
                  <c:v>7</c:v>
                </c:pt>
                <c:pt idx="408">
                  <c:v>5.8</c:v>
                </c:pt>
                <c:pt idx="409">
                  <c:v>7.1</c:v>
                </c:pt>
                <c:pt idx="410">
                  <c:v>6.1</c:v>
                </c:pt>
                <c:pt idx="411">
                  <c:v>6.6</c:v>
                </c:pt>
                <c:pt idx="412">
                  <c:v>6.2</c:v>
                </c:pt>
                <c:pt idx="413">
                  <c:v>5.8</c:v>
                </c:pt>
                <c:pt idx="414">
                  <c:v>6.2</c:v>
                </c:pt>
                <c:pt idx="415">
                  <c:v>6.6</c:v>
                </c:pt>
                <c:pt idx="416">
                  <c:v>5.7</c:v>
                </c:pt>
                <c:pt idx="417">
                  <c:v>6.4</c:v>
                </c:pt>
                <c:pt idx="418">
                  <c:v>5.7</c:v>
                </c:pt>
                <c:pt idx="419">
                  <c:v>5.9</c:v>
                </c:pt>
                <c:pt idx="420">
                  <c:v>5.3</c:v>
                </c:pt>
                <c:pt idx="421">
                  <c:v>7.2</c:v>
                </c:pt>
                <c:pt idx="422">
                  <c:v>6.5</c:v>
                </c:pt>
                <c:pt idx="423">
                  <c:v>5.3</c:v>
                </c:pt>
                <c:pt idx="424">
                  <c:v>5.7</c:v>
                </c:pt>
                <c:pt idx="425">
                  <c:v>7.2</c:v>
                </c:pt>
                <c:pt idx="426">
                  <c:v>6.6</c:v>
                </c:pt>
                <c:pt idx="427">
                  <c:v>5.7</c:v>
                </c:pt>
                <c:pt idx="428">
                  <c:v>6.2</c:v>
                </c:pt>
                <c:pt idx="429">
                  <c:v>7.2</c:v>
                </c:pt>
                <c:pt idx="430">
                  <c:v>5.6</c:v>
                </c:pt>
                <c:pt idx="431">
                  <c:v>6.4</c:v>
                </c:pt>
                <c:pt idx="432">
                  <c:v>6.1</c:v>
                </c:pt>
                <c:pt idx="433">
                  <c:v>6</c:v>
                </c:pt>
                <c:pt idx="434">
                  <c:v>5.6</c:v>
                </c:pt>
                <c:pt idx="435">
                  <c:v>6.9</c:v>
                </c:pt>
                <c:pt idx="436">
                  <c:v>6.6</c:v>
                </c:pt>
                <c:pt idx="437">
                  <c:v>7</c:v>
                </c:pt>
                <c:pt idx="438">
                  <c:v>4.8</c:v>
                </c:pt>
                <c:pt idx="439">
                  <c:v>7.2</c:v>
                </c:pt>
                <c:pt idx="440">
                  <c:v>6.4</c:v>
                </c:pt>
                <c:pt idx="441">
                  <c:v>6.8</c:v>
                </c:pt>
                <c:pt idx="442">
                  <c:v>5.8</c:v>
                </c:pt>
                <c:pt idx="443">
                  <c:v>6.4</c:v>
                </c:pt>
                <c:pt idx="444">
                  <c:v>5.2</c:v>
                </c:pt>
                <c:pt idx="445">
                  <c:v>6.9</c:v>
                </c:pt>
                <c:pt idx="446">
                  <c:v>6</c:v>
                </c:pt>
                <c:pt idx="447">
                  <c:v>6.4</c:v>
                </c:pt>
                <c:pt idx="448">
                  <c:v>7.7</c:v>
                </c:pt>
                <c:pt idx="449">
                  <c:v>5.6</c:v>
                </c:pt>
                <c:pt idx="450">
                  <c:v>6.4</c:v>
                </c:pt>
                <c:pt idx="451">
                  <c:v>5.6</c:v>
                </c:pt>
                <c:pt idx="452">
                  <c:v>5.6</c:v>
                </c:pt>
                <c:pt idx="453">
                  <c:v>7.7</c:v>
                </c:pt>
                <c:pt idx="454">
                  <c:v>6.4</c:v>
                </c:pt>
                <c:pt idx="455">
                  <c:v>8.1</c:v>
                </c:pt>
                <c:pt idx="456">
                  <c:v>4.4000000000000004</c:v>
                </c:pt>
                <c:pt idx="457">
                  <c:v>6.3</c:v>
                </c:pt>
                <c:pt idx="458">
                  <c:v>7.4</c:v>
                </c:pt>
                <c:pt idx="459">
                  <c:v>5.6</c:v>
                </c:pt>
                <c:pt idx="460">
                  <c:v>6.2</c:v>
                </c:pt>
                <c:pt idx="461">
                  <c:v>6.8</c:v>
                </c:pt>
                <c:pt idx="462">
                  <c:v>6.6</c:v>
                </c:pt>
                <c:pt idx="463">
                  <c:v>5.7</c:v>
                </c:pt>
                <c:pt idx="464">
                  <c:v>3.5</c:v>
                </c:pt>
                <c:pt idx="465">
                  <c:v>7</c:v>
                </c:pt>
                <c:pt idx="466">
                  <c:v>5.5</c:v>
                </c:pt>
                <c:pt idx="467">
                  <c:v>6.4</c:v>
                </c:pt>
                <c:pt idx="468">
                  <c:v>6.7</c:v>
                </c:pt>
                <c:pt idx="469">
                  <c:v>6.5</c:v>
                </c:pt>
                <c:pt idx="470">
                  <c:v>5.7</c:v>
                </c:pt>
                <c:pt idx="471">
                  <c:v>7.5</c:v>
                </c:pt>
                <c:pt idx="472">
                  <c:v>7.8</c:v>
                </c:pt>
                <c:pt idx="473">
                  <c:v>7.4</c:v>
                </c:pt>
                <c:pt idx="474">
                  <c:v>7.7</c:v>
                </c:pt>
                <c:pt idx="475">
                  <c:v>6.7</c:v>
                </c:pt>
                <c:pt idx="476">
                  <c:v>6.3</c:v>
                </c:pt>
                <c:pt idx="477">
                  <c:v>5.9</c:v>
                </c:pt>
                <c:pt idx="478">
                  <c:v>5.7</c:v>
                </c:pt>
                <c:pt idx="479">
                  <c:v>6.4</c:v>
                </c:pt>
                <c:pt idx="480">
                  <c:v>5.6</c:v>
                </c:pt>
                <c:pt idx="481">
                  <c:v>5.7</c:v>
                </c:pt>
                <c:pt idx="482">
                  <c:v>5.8</c:v>
                </c:pt>
                <c:pt idx="483">
                  <c:v>5.6</c:v>
                </c:pt>
                <c:pt idx="484">
                  <c:v>6.4</c:v>
                </c:pt>
                <c:pt idx="485">
                  <c:v>6.7</c:v>
                </c:pt>
                <c:pt idx="486">
                  <c:v>6.3</c:v>
                </c:pt>
                <c:pt idx="487">
                  <c:v>5</c:v>
                </c:pt>
                <c:pt idx="488">
                  <c:v>7.8</c:v>
                </c:pt>
                <c:pt idx="489">
                  <c:v>7.2</c:v>
                </c:pt>
                <c:pt idx="490">
                  <c:v>6.9</c:v>
                </c:pt>
                <c:pt idx="491">
                  <c:v>7.7</c:v>
                </c:pt>
                <c:pt idx="492">
                  <c:v>6.9</c:v>
                </c:pt>
                <c:pt idx="493">
                  <c:v>7.1</c:v>
                </c:pt>
                <c:pt idx="494">
                  <c:v>6.4</c:v>
                </c:pt>
                <c:pt idx="495">
                  <c:v>7.5</c:v>
                </c:pt>
                <c:pt idx="496">
                  <c:v>5.6</c:v>
                </c:pt>
                <c:pt idx="497">
                  <c:v>8.1</c:v>
                </c:pt>
                <c:pt idx="498">
                  <c:v>8.1999999999999993</c:v>
                </c:pt>
                <c:pt idx="499">
                  <c:v>7.2</c:v>
                </c:pt>
                <c:pt idx="500">
                  <c:v>7.9</c:v>
                </c:pt>
                <c:pt idx="501">
                  <c:v>6.6</c:v>
                </c:pt>
                <c:pt idx="502">
                  <c:v>6.7</c:v>
                </c:pt>
                <c:pt idx="503">
                  <c:v>5.9</c:v>
                </c:pt>
                <c:pt idx="504">
                  <c:v>5.7</c:v>
                </c:pt>
                <c:pt idx="505">
                  <c:v>7.4</c:v>
                </c:pt>
                <c:pt idx="506">
                  <c:v>8</c:v>
                </c:pt>
                <c:pt idx="507">
                  <c:v>5.6</c:v>
                </c:pt>
                <c:pt idx="508">
                  <c:v>7.5</c:v>
                </c:pt>
                <c:pt idx="509">
                  <c:v>7.9</c:v>
                </c:pt>
                <c:pt idx="510">
                  <c:v>8</c:v>
                </c:pt>
                <c:pt idx="511">
                  <c:v>5.8</c:v>
                </c:pt>
                <c:pt idx="512">
                  <c:v>6.5</c:v>
                </c:pt>
                <c:pt idx="513">
                  <c:v>5.3</c:v>
                </c:pt>
                <c:pt idx="514">
                  <c:v>7.8</c:v>
                </c:pt>
                <c:pt idx="515">
                  <c:v>5.4</c:v>
                </c:pt>
                <c:pt idx="516">
                  <c:v>5.7</c:v>
                </c:pt>
                <c:pt idx="517">
                  <c:v>5.4</c:v>
                </c:pt>
                <c:pt idx="518">
                  <c:v>8.1</c:v>
                </c:pt>
                <c:pt idx="519">
                  <c:v>6.4</c:v>
                </c:pt>
                <c:pt idx="520">
                  <c:v>6.5</c:v>
                </c:pt>
                <c:pt idx="521">
                  <c:v>6.3</c:v>
                </c:pt>
                <c:pt idx="522">
                  <c:v>4.9000000000000004</c:v>
                </c:pt>
                <c:pt idx="523">
                  <c:v>6.4</c:v>
                </c:pt>
                <c:pt idx="524">
                  <c:v>6.6</c:v>
                </c:pt>
                <c:pt idx="525">
                  <c:v>6.5</c:v>
                </c:pt>
                <c:pt idx="526">
                  <c:v>6.7</c:v>
                </c:pt>
                <c:pt idx="527">
                  <c:v>7.3</c:v>
                </c:pt>
                <c:pt idx="528">
                  <c:v>7</c:v>
                </c:pt>
                <c:pt idx="529">
                  <c:v>7.4</c:v>
                </c:pt>
                <c:pt idx="530">
                  <c:v>7</c:v>
                </c:pt>
                <c:pt idx="531">
                  <c:v>6.1</c:v>
                </c:pt>
                <c:pt idx="532">
                  <c:v>6.5</c:v>
                </c:pt>
                <c:pt idx="533">
                  <c:v>7.1</c:v>
                </c:pt>
                <c:pt idx="534">
                  <c:v>5.0999999999999996</c:v>
                </c:pt>
                <c:pt idx="535">
                  <c:v>6.3</c:v>
                </c:pt>
                <c:pt idx="536">
                  <c:v>6.5</c:v>
                </c:pt>
                <c:pt idx="537">
                  <c:v>5.8</c:v>
                </c:pt>
                <c:pt idx="538">
                  <c:v>6.4</c:v>
                </c:pt>
                <c:pt idx="539">
                  <c:v>7.2</c:v>
                </c:pt>
                <c:pt idx="540">
                  <c:v>6.5</c:v>
                </c:pt>
                <c:pt idx="541">
                  <c:v>6.6</c:v>
                </c:pt>
                <c:pt idx="542">
                  <c:v>5.9</c:v>
                </c:pt>
                <c:pt idx="543">
                  <c:v>6.9</c:v>
                </c:pt>
                <c:pt idx="544">
                  <c:v>7.1</c:v>
                </c:pt>
                <c:pt idx="545">
                  <c:v>6.1</c:v>
                </c:pt>
                <c:pt idx="546">
                  <c:v>7</c:v>
                </c:pt>
                <c:pt idx="547">
                  <c:v>5.9</c:v>
                </c:pt>
                <c:pt idx="548">
                  <c:v>6.2</c:v>
                </c:pt>
                <c:pt idx="549">
                  <c:v>7.2</c:v>
                </c:pt>
                <c:pt idx="550">
                  <c:v>6.3</c:v>
                </c:pt>
                <c:pt idx="551">
                  <c:v>7.2</c:v>
                </c:pt>
                <c:pt idx="552">
                  <c:v>5.4</c:v>
                </c:pt>
                <c:pt idx="553">
                  <c:v>6.2</c:v>
                </c:pt>
                <c:pt idx="554">
                  <c:v>6.1</c:v>
                </c:pt>
                <c:pt idx="555">
                  <c:v>7.2</c:v>
                </c:pt>
                <c:pt idx="556">
                  <c:v>5.6</c:v>
                </c:pt>
                <c:pt idx="557">
                  <c:v>7.3</c:v>
                </c:pt>
                <c:pt idx="558">
                  <c:v>6.8</c:v>
                </c:pt>
                <c:pt idx="559">
                  <c:v>6.4</c:v>
                </c:pt>
                <c:pt idx="560">
                  <c:v>6.6</c:v>
                </c:pt>
                <c:pt idx="561">
                  <c:v>6.4</c:v>
                </c:pt>
                <c:pt idx="562">
                  <c:v>6.1</c:v>
                </c:pt>
                <c:pt idx="563">
                  <c:v>6.5</c:v>
                </c:pt>
                <c:pt idx="564">
                  <c:v>7.5</c:v>
                </c:pt>
                <c:pt idx="565">
                  <c:v>7.1</c:v>
                </c:pt>
                <c:pt idx="566">
                  <c:v>5.9</c:v>
                </c:pt>
                <c:pt idx="567">
                  <c:v>6.2</c:v>
                </c:pt>
                <c:pt idx="568">
                  <c:v>7.5</c:v>
                </c:pt>
                <c:pt idx="569">
                  <c:v>8</c:v>
                </c:pt>
                <c:pt idx="570">
                  <c:v>4.9000000000000004</c:v>
                </c:pt>
                <c:pt idx="571">
                  <c:v>6</c:v>
                </c:pt>
                <c:pt idx="572">
                  <c:v>6.4</c:v>
                </c:pt>
                <c:pt idx="573">
                  <c:v>6.7</c:v>
                </c:pt>
                <c:pt idx="574">
                  <c:v>4.8</c:v>
                </c:pt>
                <c:pt idx="575">
                  <c:v>7.5</c:v>
                </c:pt>
                <c:pt idx="576">
                  <c:v>7.1</c:v>
                </c:pt>
                <c:pt idx="577">
                  <c:v>6.4</c:v>
                </c:pt>
                <c:pt idx="578">
                  <c:v>6.1</c:v>
                </c:pt>
                <c:pt idx="579">
                  <c:v>6.1</c:v>
                </c:pt>
                <c:pt idx="580">
                  <c:v>5.4</c:v>
                </c:pt>
                <c:pt idx="581">
                  <c:v>6.1</c:v>
                </c:pt>
                <c:pt idx="582">
                  <c:v>6.9</c:v>
                </c:pt>
                <c:pt idx="583">
                  <c:v>6.1</c:v>
                </c:pt>
                <c:pt idx="584">
                  <c:v>6.8</c:v>
                </c:pt>
                <c:pt idx="585">
                  <c:v>6.2</c:v>
                </c:pt>
                <c:pt idx="586">
                  <c:v>6.8</c:v>
                </c:pt>
                <c:pt idx="587">
                  <c:v>7.3</c:v>
                </c:pt>
                <c:pt idx="588">
                  <c:v>6</c:v>
                </c:pt>
                <c:pt idx="589">
                  <c:v>5.4</c:v>
                </c:pt>
                <c:pt idx="590">
                  <c:v>4.5999999999999996</c:v>
                </c:pt>
                <c:pt idx="591">
                  <c:v>7.5</c:v>
                </c:pt>
                <c:pt idx="592">
                  <c:v>6.2</c:v>
                </c:pt>
                <c:pt idx="593">
                  <c:v>5.9</c:v>
                </c:pt>
                <c:pt idx="594">
                  <c:v>7.8</c:v>
                </c:pt>
                <c:pt idx="595">
                  <c:v>6.5</c:v>
                </c:pt>
                <c:pt idx="596">
                  <c:v>6.3</c:v>
                </c:pt>
                <c:pt idx="597">
                  <c:v>6.5</c:v>
                </c:pt>
                <c:pt idx="598">
                  <c:v>6.3</c:v>
                </c:pt>
                <c:pt idx="599">
                  <c:v>6.3</c:v>
                </c:pt>
                <c:pt idx="600">
                  <c:v>7.1</c:v>
                </c:pt>
                <c:pt idx="601">
                  <c:v>7.3</c:v>
                </c:pt>
                <c:pt idx="602">
                  <c:v>5.9</c:v>
                </c:pt>
                <c:pt idx="603">
                  <c:v>6.1</c:v>
                </c:pt>
                <c:pt idx="604">
                  <c:v>7.2</c:v>
                </c:pt>
                <c:pt idx="605">
                  <c:v>6.2</c:v>
                </c:pt>
                <c:pt idx="606">
                  <c:v>7.3</c:v>
                </c:pt>
                <c:pt idx="607">
                  <c:v>7.6</c:v>
                </c:pt>
                <c:pt idx="608">
                  <c:v>6.1</c:v>
                </c:pt>
                <c:pt idx="609">
                  <c:v>6.6</c:v>
                </c:pt>
                <c:pt idx="610">
                  <c:v>7.4</c:v>
                </c:pt>
                <c:pt idx="611">
                  <c:v>7</c:v>
                </c:pt>
                <c:pt idx="612">
                  <c:v>6.3</c:v>
                </c:pt>
                <c:pt idx="613">
                  <c:v>6.1</c:v>
                </c:pt>
                <c:pt idx="614">
                  <c:v>7.5</c:v>
                </c:pt>
                <c:pt idx="615">
                  <c:v>6.2</c:v>
                </c:pt>
                <c:pt idx="616">
                  <c:v>6.2</c:v>
                </c:pt>
                <c:pt idx="617">
                  <c:v>7.1</c:v>
                </c:pt>
                <c:pt idx="618">
                  <c:v>7.3</c:v>
                </c:pt>
                <c:pt idx="619">
                  <c:v>6.4</c:v>
                </c:pt>
                <c:pt idx="620">
                  <c:v>7.6</c:v>
                </c:pt>
                <c:pt idx="621">
                  <c:v>7.3</c:v>
                </c:pt>
                <c:pt idx="622">
                  <c:v>6</c:v>
                </c:pt>
                <c:pt idx="623">
                  <c:v>6.9</c:v>
                </c:pt>
                <c:pt idx="624">
                  <c:v>6.1</c:v>
                </c:pt>
                <c:pt idx="625">
                  <c:v>6.1</c:v>
                </c:pt>
                <c:pt idx="626">
                  <c:v>7.1</c:v>
                </c:pt>
                <c:pt idx="627">
                  <c:v>6.1</c:v>
                </c:pt>
                <c:pt idx="628">
                  <c:v>7.3</c:v>
                </c:pt>
                <c:pt idx="629">
                  <c:v>6.9</c:v>
                </c:pt>
                <c:pt idx="630">
                  <c:v>6.9</c:v>
                </c:pt>
                <c:pt idx="631">
                  <c:v>6.6</c:v>
                </c:pt>
                <c:pt idx="632">
                  <c:v>6.4</c:v>
                </c:pt>
                <c:pt idx="633">
                  <c:v>7.2</c:v>
                </c:pt>
                <c:pt idx="634">
                  <c:v>7</c:v>
                </c:pt>
                <c:pt idx="635">
                  <c:v>6.3</c:v>
                </c:pt>
                <c:pt idx="636">
                  <c:v>5.3</c:v>
                </c:pt>
                <c:pt idx="637">
                  <c:v>7.2</c:v>
                </c:pt>
                <c:pt idx="638">
                  <c:v>5.7</c:v>
                </c:pt>
                <c:pt idx="639">
                  <c:v>4.9000000000000004</c:v>
                </c:pt>
                <c:pt idx="640">
                  <c:v>6.9</c:v>
                </c:pt>
                <c:pt idx="641">
                  <c:v>6.7</c:v>
                </c:pt>
                <c:pt idx="642">
                  <c:v>6.6</c:v>
                </c:pt>
                <c:pt idx="643">
                  <c:v>6.3</c:v>
                </c:pt>
                <c:pt idx="644">
                  <c:v>6.7</c:v>
                </c:pt>
                <c:pt idx="645">
                  <c:v>5.7</c:v>
                </c:pt>
                <c:pt idx="646">
                  <c:v>7</c:v>
                </c:pt>
                <c:pt idx="647">
                  <c:v>6.1</c:v>
                </c:pt>
                <c:pt idx="648">
                  <c:v>6</c:v>
                </c:pt>
                <c:pt idx="649">
                  <c:v>6.9</c:v>
                </c:pt>
                <c:pt idx="650">
                  <c:v>6.6</c:v>
                </c:pt>
                <c:pt idx="651">
                  <c:v>5.5</c:v>
                </c:pt>
                <c:pt idx="652">
                  <c:v>6.3</c:v>
                </c:pt>
                <c:pt idx="653">
                  <c:v>8</c:v>
                </c:pt>
                <c:pt idx="654">
                  <c:v>7.4</c:v>
                </c:pt>
                <c:pt idx="655">
                  <c:v>7.5</c:v>
                </c:pt>
                <c:pt idx="656">
                  <c:v>3.6</c:v>
                </c:pt>
                <c:pt idx="657">
                  <c:v>5.6</c:v>
                </c:pt>
                <c:pt idx="658">
                  <c:v>7.8</c:v>
                </c:pt>
                <c:pt idx="659">
                  <c:v>6.9</c:v>
                </c:pt>
                <c:pt idx="660">
                  <c:v>5.7</c:v>
                </c:pt>
                <c:pt idx="661">
                  <c:v>4.5</c:v>
                </c:pt>
                <c:pt idx="662">
                  <c:v>5.9</c:v>
                </c:pt>
                <c:pt idx="663">
                  <c:v>7</c:v>
                </c:pt>
                <c:pt idx="664">
                  <c:v>6.6</c:v>
                </c:pt>
                <c:pt idx="665">
                  <c:v>7.4</c:v>
                </c:pt>
                <c:pt idx="666">
                  <c:v>6.9</c:v>
                </c:pt>
                <c:pt idx="667">
                  <c:v>6.8</c:v>
                </c:pt>
                <c:pt idx="668">
                  <c:v>7.5</c:v>
                </c:pt>
                <c:pt idx="669">
                  <c:v>6.7</c:v>
                </c:pt>
                <c:pt idx="670">
                  <c:v>7.2</c:v>
                </c:pt>
                <c:pt idx="671">
                  <c:v>4.5</c:v>
                </c:pt>
                <c:pt idx="672">
                  <c:v>7.4</c:v>
                </c:pt>
                <c:pt idx="673">
                  <c:v>6.1</c:v>
                </c:pt>
                <c:pt idx="674">
                  <c:v>7.1</c:v>
                </c:pt>
                <c:pt idx="675">
                  <c:v>6.7</c:v>
                </c:pt>
                <c:pt idx="676">
                  <c:v>7.4</c:v>
                </c:pt>
                <c:pt idx="677">
                  <c:v>7.5</c:v>
                </c:pt>
                <c:pt idx="678">
                  <c:v>7.3</c:v>
                </c:pt>
                <c:pt idx="679">
                  <c:v>6</c:v>
                </c:pt>
                <c:pt idx="680">
                  <c:v>6.9</c:v>
                </c:pt>
                <c:pt idx="681">
                  <c:v>5.7</c:v>
                </c:pt>
                <c:pt idx="682">
                  <c:v>7.7</c:v>
                </c:pt>
                <c:pt idx="683">
                  <c:v>5.3</c:v>
                </c:pt>
                <c:pt idx="684">
                  <c:v>7.7</c:v>
                </c:pt>
                <c:pt idx="685">
                  <c:v>7.4</c:v>
                </c:pt>
                <c:pt idx="686">
                  <c:v>6.2</c:v>
                </c:pt>
                <c:pt idx="687">
                  <c:v>7.7</c:v>
                </c:pt>
                <c:pt idx="688">
                  <c:v>8.1</c:v>
                </c:pt>
                <c:pt idx="689">
                  <c:v>4.5</c:v>
                </c:pt>
                <c:pt idx="690">
                  <c:v>6.3</c:v>
                </c:pt>
                <c:pt idx="691">
                  <c:v>5.2</c:v>
                </c:pt>
                <c:pt idx="692">
                  <c:v>7</c:v>
                </c:pt>
                <c:pt idx="693">
                  <c:v>6.8</c:v>
                </c:pt>
                <c:pt idx="694">
                  <c:v>6.9</c:v>
                </c:pt>
                <c:pt idx="695">
                  <c:v>5.2</c:v>
                </c:pt>
                <c:pt idx="696">
                  <c:v>6.2</c:v>
                </c:pt>
                <c:pt idx="697">
                  <c:v>5.6</c:v>
                </c:pt>
                <c:pt idx="698">
                  <c:v>6.2</c:v>
                </c:pt>
                <c:pt idx="699">
                  <c:v>6.5</c:v>
                </c:pt>
                <c:pt idx="700">
                  <c:v>6.4</c:v>
                </c:pt>
                <c:pt idx="701">
                  <c:v>7.4</c:v>
                </c:pt>
                <c:pt idx="702">
                  <c:v>7.3</c:v>
                </c:pt>
                <c:pt idx="703">
                  <c:v>4.3</c:v>
                </c:pt>
                <c:pt idx="704">
                  <c:v>5.7</c:v>
                </c:pt>
                <c:pt idx="705">
                  <c:v>6.4</c:v>
                </c:pt>
                <c:pt idx="706">
                  <c:v>6.5</c:v>
                </c:pt>
                <c:pt idx="707">
                  <c:v>7.7</c:v>
                </c:pt>
                <c:pt idx="708">
                  <c:v>6.6</c:v>
                </c:pt>
                <c:pt idx="709">
                  <c:v>6.2</c:v>
                </c:pt>
                <c:pt idx="710">
                  <c:v>5.0999999999999996</c:v>
                </c:pt>
                <c:pt idx="711">
                  <c:v>8.1</c:v>
                </c:pt>
                <c:pt idx="712">
                  <c:v>6.2</c:v>
                </c:pt>
                <c:pt idx="713">
                  <c:v>6.3</c:v>
                </c:pt>
                <c:pt idx="714">
                  <c:v>5.7</c:v>
                </c:pt>
                <c:pt idx="715">
                  <c:v>6.2</c:v>
                </c:pt>
                <c:pt idx="716">
                  <c:v>6.7</c:v>
                </c:pt>
                <c:pt idx="717">
                  <c:v>6.2</c:v>
                </c:pt>
                <c:pt idx="718">
                  <c:v>5.2</c:v>
                </c:pt>
                <c:pt idx="719">
                  <c:v>5</c:v>
                </c:pt>
                <c:pt idx="720">
                  <c:v>6.1</c:v>
                </c:pt>
                <c:pt idx="721">
                  <c:v>6.6</c:v>
                </c:pt>
                <c:pt idx="722">
                  <c:v>6.1</c:v>
                </c:pt>
                <c:pt idx="723">
                  <c:v>5.5</c:v>
                </c:pt>
                <c:pt idx="724">
                  <c:v>6.2</c:v>
                </c:pt>
                <c:pt idx="725">
                  <c:v>6</c:v>
                </c:pt>
                <c:pt idx="726">
                  <c:v>4.2</c:v>
                </c:pt>
                <c:pt idx="727">
                  <c:v>6.5</c:v>
                </c:pt>
                <c:pt idx="728">
                  <c:v>6.2</c:v>
                </c:pt>
                <c:pt idx="729">
                  <c:v>5.4</c:v>
                </c:pt>
                <c:pt idx="730">
                  <c:v>5.7</c:v>
                </c:pt>
                <c:pt idx="731">
                  <c:v>6</c:v>
                </c:pt>
                <c:pt idx="732">
                  <c:v>6.1</c:v>
                </c:pt>
                <c:pt idx="733">
                  <c:v>6</c:v>
                </c:pt>
                <c:pt idx="734">
                  <c:v>6.2</c:v>
                </c:pt>
                <c:pt idx="735">
                  <c:v>6.9</c:v>
                </c:pt>
                <c:pt idx="736">
                  <c:v>7.9</c:v>
                </c:pt>
                <c:pt idx="737">
                  <c:v>5.8</c:v>
                </c:pt>
                <c:pt idx="738">
                  <c:v>6.6</c:v>
                </c:pt>
                <c:pt idx="739">
                  <c:v>5.7</c:v>
                </c:pt>
                <c:pt idx="740">
                  <c:v>6.4</c:v>
                </c:pt>
                <c:pt idx="741">
                  <c:v>6.8</c:v>
                </c:pt>
                <c:pt idx="742">
                  <c:v>6.6</c:v>
                </c:pt>
                <c:pt idx="743">
                  <c:v>5.7</c:v>
                </c:pt>
                <c:pt idx="744">
                  <c:v>6.3</c:v>
                </c:pt>
                <c:pt idx="745">
                  <c:v>7.9</c:v>
                </c:pt>
                <c:pt idx="746">
                  <c:v>6.4</c:v>
                </c:pt>
                <c:pt idx="747">
                  <c:v>6.2</c:v>
                </c:pt>
                <c:pt idx="748">
                  <c:v>7.7</c:v>
                </c:pt>
                <c:pt idx="749">
                  <c:v>6</c:v>
                </c:pt>
                <c:pt idx="750">
                  <c:v>6.6</c:v>
                </c:pt>
                <c:pt idx="751">
                  <c:v>6.4</c:v>
                </c:pt>
                <c:pt idx="752">
                  <c:v>6.4</c:v>
                </c:pt>
                <c:pt idx="753">
                  <c:v>6.4</c:v>
                </c:pt>
                <c:pt idx="754">
                  <c:v>4.5999999999999996</c:v>
                </c:pt>
                <c:pt idx="755">
                  <c:v>5.6</c:v>
                </c:pt>
                <c:pt idx="756">
                  <c:v>6.1</c:v>
                </c:pt>
                <c:pt idx="757">
                  <c:v>6.7</c:v>
                </c:pt>
                <c:pt idx="758">
                  <c:v>7.3</c:v>
                </c:pt>
                <c:pt idx="759">
                  <c:v>6.9</c:v>
                </c:pt>
                <c:pt idx="760">
                  <c:v>6.4</c:v>
                </c:pt>
                <c:pt idx="761">
                  <c:v>5.8</c:v>
                </c:pt>
                <c:pt idx="762">
                  <c:v>6.2</c:v>
                </c:pt>
                <c:pt idx="763">
                  <c:v>6.2</c:v>
                </c:pt>
                <c:pt idx="764">
                  <c:v>6.1</c:v>
                </c:pt>
                <c:pt idx="765">
                  <c:v>6.3</c:v>
                </c:pt>
                <c:pt idx="766">
                  <c:v>6.2</c:v>
                </c:pt>
                <c:pt idx="767">
                  <c:v>5.5</c:v>
                </c:pt>
                <c:pt idx="768">
                  <c:v>6.6</c:v>
                </c:pt>
                <c:pt idx="769">
                  <c:v>6.3</c:v>
                </c:pt>
                <c:pt idx="770">
                  <c:v>5.6</c:v>
                </c:pt>
                <c:pt idx="771">
                  <c:v>6.4</c:v>
                </c:pt>
                <c:pt idx="772">
                  <c:v>7</c:v>
                </c:pt>
                <c:pt idx="773">
                  <c:v>6.4</c:v>
                </c:pt>
                <c:pt idx="774">
                  <c:v>5.3</c:v>
                </c:pt>
                <c:pt idx="775">
                  <c:v>6</c:v>
                </c:pt>
                <c:pt idx="776">
                  <c:v>6.6</c:v>
                </c:pt>
                <c:pt idx="777">
                  <c:v>6.5</c:v>
                </c:pt>
                <c:pt idx="778">
                  <c:v>6.7</c:v>
                </c:pt>
                <c:pt idx="779">
                  <c:v>6.5</c:v>
                </c:pt>
                <c:pt idx="780">
                  <c:v>5.8</c:v>
                </c:pt>
                <c:pt idx="781">
                  <c:v>3.1</c:v>
                </c:pt>
                <c:pt idx="782">
                  <c:v>6.3</c:v>
                </c:pt>
                <c:pt idx="783">
                  <c:v>7.6</c:v>
                </c:pt>
                <c:pt idx="784">
                  <c:v>7.4</c:v>
                </c:pt>
                <c:pt idx="785">
                  <c:v>6.7</c:v>
                </c:pt>
                <c:pt idx="786">
                  <c:v>6.7</c:v>
                </c:pt>
                <c:pt idx="787">
                  <c:v>6.4</c:v>
                </c:pt>
                <c:pt idx="788">
                  <c:v>7.4</c:v>
                </c:pt>
                <c:pt idx="789">
                  <c:v>6</c:v>
                </c:pt>
                <c:pt idx="790">
                  <c:v>5.8</c:v>
                </c:pt>
                <c:pt idx="791">
                  <c:v>7.3</c:v>
                </c:pt>
                <c:pt idx="792">
                  <c:v>7</c:v>
                </c:pt>
                <c:pt idx="793">
                  <c:v>6.4</c:v>
                </c:pt>
                <c:pt idx="794">
                  <c:v>6.2</c:v>
                </c:pt>
                <c:pt idx="795">
                  <c:v>6.9</c:v>
                </c:pt>
                <c:pt idx="796">
                  <c:v>7.4</c:v>
                </c:pt>
                <c:pt idx="797">
                  <c:v>6.6</c:v>
                </c:pt>
                <c:pt idx="798">
                  <c:v>6.8</c:v>
                </c:pt>
                <c:pt idx="799">
                  <c:v>5.4</c:v>
                </c:pt>
                <c:pt idx="800">
                  <c:v>6</c:v>
                </c:pt>
                <c:pt idx="801">
                  <c:v>5.4</c:v>
                </c:pt>
                <c:pt idx="802">
                  <c:v>7.1</c:v>
                </c:pt>
                <c:pt idx="803">
                  <c:v>6.2</c:v>
                </c:pt>
                <c:pt idx="804">
                  <c:v>6.7</c:v>
                </c:pt>
                <c:pt idx="805">
                  <c:v>7.2</c:v>
                </c:pt>
                <c:pt idx="806">
                  <c:v>6.7</c:v>
                </c:pt>
                <c:pt idx="807">
                  <c:v>5.9</c:v>
                </c:pt>
                <c:pt idx="808">
                  <c:v>6.6</c:v>
                </c:pt>
                <c:pt idx="809">
                  <c:v>4.5</c:v>
                </c:pt>
                <c:pt idx="810">
                  <c:v>7.4</c:v>
                </c:pt>
                <c:pt idx="811">
                  <c:v>6.8</c:v>
                </c:pt>
                <c:pt idx="812">
                  <c:v>6.5</c:v>
                </c:pt>
                <c:pt idx="813">
                  <c:v>7.8</c:v>
                </c:pt>
                <c:pt idx="814">
                  <c:v>7.2</c:v>
                </c:pt>
                <c:pt idx="815">
                  <c:v>6.7</c:v>
                </c:pt>
                <c:pt idx="816">
                  <c:v>6.1</c:v>
                </c:pt>
                <c:pt idx="817">
                  <c:v>6.6</c:v>
                </c:pt>
                <c:pt idx="818">
                  <c:v>7.6</c:v>
                </c:pt>
                <c:pt idx="819">
                  <c:v>6</c:v>
                </c:pt>
                <c:pt idx="820">
                  <c:v>7.3</c:v>
                </c:pt>
                <c:pt idx="821">
                  <c:v>8.1</c:v>
                </c:pt>
                <c:pt idx="822">
                  <c:v>6.2</c:v>
                </c:pt>
                <c:pt idx="823">
                  <c:v>7.2</c:v>
                </c:pt>
                <c:pt idx="824">
                  <c:v>6.1</c:v>
                </c:pt>
                <c:pt idx="825">
                  <c:v>5.4</c:v>
                </c:pt>
                <c:pt idx="826">
                  <c:v>7.3</c:v>
                </c:pt>
                <c:pt idx="827">
                  <c:v>7.9</c:v>
                </c:pt>
                <c:pt idx="828">
                  <c:v>6.3</c:v>
                </c:pt>
                <c:pt idx="829">
                  <c:v>7.8</c:v>
                </c:pt>
                <c:pt idx="830">
                  <c:v>8.1999999999999993</c:v>
                </c:pt>
                <c:pt idx="831">
                  <c:v>6.1</c:v>
                </c:pt>
                <c:pt idx="832">
                  <c:v>5.8</c:v>
                </c:pt>
                <c:pt idx="833">
                  <c:v>5.3</c:v>
                </c:pt>
                <c:pt idx="834">
                  <c:v>7.9</c:v>
                </c:pt>
                <c:pt idx="835">
                  <c:v>5.5</c:v>
                </c:pt>
                <c:pt idx="836">
                  <c:v>6.3</c:v>
                </c:pt>
                <c:pt idx="837">
                  <c:v>5.7</c:v>
                </c:pt>
                <c:pt idx="838">
                  <c:v>6.5</c:v>
                </c:pt>
                <c:pt idx="839">
                  <c:v>5.3</c:v>
                </c:pt>
                <c:pt idx="840">
                  <c:v>6.2</c:v>
                </c:pt>
                <c:pt idx="841">
                  <c:v>8</c:v>
                </c:pt>
                <c:pt idx="842">
                  <c:v>6.9</c:v>
                </c:pt>
                <c:pt idx="843">
                  <c:v>7.8</c:v>
                </c:pt>
                <c:pt idx="844">
                  <c:v>6.7</c:v>
                </c:pt>
                <c:pt idx="845">
                  <c:v>7</c:v>
                </c:pt>
                <c:pt idx="846">
                  <c:v>7.8</c:v>
                </c:pt>
                <c:pt idx="847">
                  <c:v>7.7</c:v>
                </c:pt>
                <c:pt idx="848">
                  <c:v>6.8</c:v>
                </c:pt>
                <c:pt idx="849">
                  <c:v>5.9</c:v>
                </c:pt>
                <c:pt idx="850">
                  <c:v>7.4</c:v>
                </c:pt>
                <c:pt idx="851">
                  <c:v>6</c:v>
                </c:pt>
                <c:pt idx="852">
                  <c:v>7.5</c:v>
                </c:pt>
                <c:pt idx="853">
                  <c:v>6.8</c:v>
                </c:pt>
                <c:pt idx="854">
                  <c:v>7.3</c:v>
                </c:pt>
                <c:pt idx="855">
                  <c:v>7.8</c:v>
                </c:pt>
                <c:pt idx="856">
                  <c:v>6.8</c:v>
                </c:pt>
                <c:pt idx="857">
                  <c:v>7.2</c:v>
                </c:pt>
                <c:pt idx="858">
                  <c:v>8.5</c:v>
                </c:pt>
                <c:pt idx="859">
                  <c:v>7.7</c:v>
                </c:pt>
                <c:pt idx="860">
                  <c:v>8.6999999999999993</c:v>
                </c:pt>
                <c:pt idx="861">
                  <c:v>6.4</c:v>
                </c:pt>
                <c:pt idx="862">
                  <c:v>6.2</c:v>
                </c:pt>
                <c:pt idx="863">
                  <c:v>7.8</c:v>
                </c:pt>
                <c:pt idx="864">
                  <c:v>7.2</c:v>
                </c:pt>
                <c:pt idx="865">
                  <c:v>5.2</c:v>
                </c:pt>
                <c:pt idx="866">
                  <c:v>5.0999999999999996</c:v>
                </c:pt>
                <c:pt idx="867">
                  <c:v>6.3</c:v>
                </c:pt>
                <c:pt idx="868">
                  <c:v>6</c:v>
                </c:pt>
                <c:pt idx="869">
                  <c:v>7.4</c:v>
                </c:pt>
                <c:pt idx="870">
                  <c:v>6.5</c:v>
                </c:pt>
                <c:pt idx="871">
                  <c:v>6.4</c:v>
                </c:pt>
                <c:pt idx="872">
                  <c:v>6.3</c:v>
                </c:pt>
                <c:pt idx="873">
                  <c:v>6.7</c:v>
                </c:pt>
                <c:pt idx="874">
                  <c:v>5.9</c:v>
                </c:pt>
                <c:pt idx="875">
                  <c:v>6.3</c:v>
                </c:pt>
                <c:pt idx="876">
                  <c:v>7</c:v>
                </c:pt>
                <c:pt idx="877">
                  <c:v>6.6</c:v>
                </c:pt>
                <c:pt idx="878">
                  <c:v>7.5</c:v>
                </c:pt>
                <c:pt idx="879">
                  <c:v>5.6</c:v>
                </c:pt>
                <c:pt idx="880">
                  <c:v>7.7</c:v>
                </c:pt>
                <c:pt idx="881">
                  <c:v>4.5999999999999996</c:v>
                </c:pt>
                <c:pt idx="882">
                  <c:v>6.5</c:v>
                </c:pt>
                <c:pt idx="883">
                  <c:v>5.8</c:v>
                </c:pt>
                <c:pt idx="884">
                  <c:v>6.2</c:v>
                </c:pt>
                <c:pt idx="885">
                  <c:v>7.2</c:v>
                </c:pt>
                <c:pt idx="886">
                  <c:v>6.4</c:v>
                </c:pt>
                <c:pt idx="887">
                  <c:v>6.1</c:v>
                </c:pt>
                <c:pt idx="888">
                  <c:v>7.1</c:v>
                </c:pt>
                <c:pt idx="889">
                  <c:v>6.9</c:v>
                </c:pt>
                <c:pt idx="890">
                  <c:v>6.4</c:v>
                </c:pt>
                <c:pt idx="891">
                  <c:v>7</c:v>
                </c:pt>
                <c:pt idx="892">
                  <c:v>6</c:v>
                </c:pt>
                <c:pt idx="893">
                  <c:v>6.4</c:v>
                </c:pt>
                <c:pt idx="894">
                  <c:v>6.8</c:v>
                </c:pt>
                <c:pt idx="895">
                  <c:v>6.5</c:v>
                </c:pt>
                <c:pt idx="896">
                  <c:v>6.4</c:v>
                </c:pt>
                <c:pt idx="897">
                  <c:v>7.6</c:v>
                </c:pt>
                <c:pt idx="898">
                  <c:v>5.5</c:v>
                </c:pt>
                <c:pt idx="899">
                  <c:v>6.6</c:v>
                </c:pt>
                <c:pt idx="900">
                  <c:v>6.3</c:v>
                </c:pt>
                <c:pt idx="901">
                  <c:v>8</c:v>
                </c:pt>
                <c:pt idx="902">
                  <c:v>6.2</c:v>
                </c:pt>
                <c:pt idx="903">
                  <c:v>5.8</c:v>
                </c:pt>
                <c:pt idx="904">
                  <c:v>8.1</c:v>
                </c:pt>
                <c:pt idx="905">
                  <c:v>5.8</c:v>
                </c:pt>
                <c:pt idx="906">
                  <c:v>5.6</c:v>
                </c:pt>
                <c:pt idx="907">
                  <c:v>6.6</c:v>
                </c:pt>
                <c:pt idx="908">
                  <c:v>7.1</c:v>
                </c:pt>
                <c:pt idx="909">
                  <c:v>6.7</c:v>
                </c:pt>
                <c:pt idx="910">
                  <c:v>5.8</c:v>
                </c:pt>
                <c:pt idx="911">
                  <c:v>6.3</c:v>
                </c:pt>
                <c:pt idx="912">
                  <c:v>5.5</c:v>
                </c:pt>
                <c:pt idx="913">
                  <c:v>5.8</c:v>
                </c:pt>
                <c:pt idx="914">
                  <c:v>5.9</c:v>
                </c:pt>
                <c:pt idx="915">
                  <c:v>7.2</c:v>
                </c:pt>
                <c:pt idx="916">
                  <c:v>6</c:v>
                </c:pt>
                <c:pt idx="917">
                  <c:v>6.3</c:v>
                </c:pt>
                <c:pt idx="918">
                  <c:v>7.1</c:v>
                </c:pt>
                <c:pt idx="919">
                  <c:v>5.9</c:v>
                </c:pt>
                <c:pt idx="920">
                  <c:v>6.6</c:v>
                </c:pt>
                <c:pt idx="921">
                  <c:v>7.1</c:v>
                </c:pt>
                <c:pt idx="922">
                  <c:v>7.4</c:v>
                </c:pt>
                <c:pt idx="923">
                  <c:v>5.8</c:v>
                </c:pt>
                <c:pt idx="924">
                  <c:v>5.6</c:v>
                </c:pt>
                <c:pt idx="925">
                  <c:v>6.1</c:v>
                </c:pt>
                <c:pt idx="926">
                  <c:v>6</c:v>
                </c:pt>
                <c:pt idx="927">
                  <c:v>6</c:v>
                </c:pt>
                <c:pt idx="928">
                  <c:v>7.7</c:v>
                </c:pt>
                <c:pt idx="929">
                  <c:v>6.9</c:v>
                </c:pt>
                <c:pt idx="930">
                  <c:v>6.4</c:v>
                </c:pt>
                <c:pt idx="931">
                  <c:v>6.1</c:v>
                </c:pt>
                <c:pt idx="932">
                  <c:v>5.7</c:v>
                </c:pt>
                <c:pt idx="933">
                  <c:v>6.8</c:v>
                </c:pt>
                <c:pt idx="934">
                  <c:v>7</c:v>
                </c:pt>
                <c:pt idx="935">
                  <c:v>6.3</c:v>
                </c:pt>
                <c:pt idx="936">
                  <c:v>5.8</c:v>
                </c:pt>
                <c:pt idx="937">
                  <c:v>7.7</c:v>
                </c:pt>
                <c:pt idx="938">
                  <c:v>7</c:v>
                </c:pt>
                <c:pt idx="939">
                  <c:v>6.7</c:v>
                </c:pt>
                <c:pt idx="940">
                  <c:v>6.4</c:v>
                </c:pt>
                <c:pt idx="941">
                  <c:v>6.4</c:v>
                </c:pt>
                <c:pt idx="942">
                  <c:v>7</c:v>
                </c:pt>
                <c:pt idx="943">
                  <c:v>8</c:v>
                </c:pt>
                <c:pt idx="944">
                  <c:v>6.6</c:v>
                </c:pt>
                <c:pt idx="945">
                  <c:v>6.5</c:v>
                </c:pt>
                <c:pt idx="946">
                  <c:v>6.4</c:v>
                </c:pt>
                <c:pt idx="947">
                  <c:v>7.3</c:v>
                </c:pt>
                <c:pt idx="948">
                  <c:v>6.8</c:v>
                </c:pt>
                <c:pt idx="949">
                  <c:v>6.1</c:v>
                </c:pt>
                <c:pt idx="950">
                  <c:v>7.2</c:v>
                </c:pt>
                <c:pt idx="951">
                  <c:v>6.3</c:v>
                </c:pt>
                <c:pt idx="952">
                  <c:v>6.7</c:v>
                </c:pt>
                <c:pt idx="953">
                  <c:v>7.1</c:v>
                </c:pt>
                <c:pt idx="954">
                  <c:v>7.3</c:v>
                </c:pt>
                <c:pt idx="955">
                  <c:v>7.2</c:v>
                </c:pt>
                <c:pt idx="956">
                  <c:v>7.3</c:v>
                </c:pt>
                <c:pt idx="957">
                  <c:v>5.2</c:v>
                </c:pt>
                <c:pt idx="958">
                  <c:v>5.7</c:v>
                </c:pt>
                <c:pt idx="959">
                  <c:v>3.7</c:v>
                </c:pt>
                <c:pt idx="960">
                  <c:v>7</c:v>
                </c:pt>
                <c:pt idx="961">
                  <c:v>6.4</c:v>
                </c:pt>
                <c:pt idx="962">
                  <c:v>5.8</c:v>
                </c:pt>
                <c:pt idx="963">
                  <c:v>6.5</c:v>
                </c:pt>
                <c:pt idx="964">
                  <c:v>6.2</c:v>
                </c:pt>
                <c:pt idx="965">
                  <c:v>6.3</c:v>
                </c:pt>
                <c:pt idx="966">
                  <c:v>6.8</c:v>
                </c:pt>
                <c:pt idx="967">
                  <c:v>5.9</c:v>
                </c:pt>
                <c:pt idx="968">
                  <c:v>7</c:v>
                </c:pt>
                <c:pt idx="969">
                  <c:v>7</c:v>
                </c:pt>
                <c:pt idx="970">
                  <c:v>6.7</c:v>
                </c:pt>
                <c:pt idx="971">
                  <c:v>6.1</c:v>
                </c:pt>
                <c:pt idx="972">
                  <c:v>5.9</c:v>
                </c:pt>
                <c:pt idx="973">
                  <c:v>7.7</c:v>
                </c:pt>
                <c:pt idx="974">
                  <c:v>6.8</c:v>
                </c:pt>
                <c:pt idx="975">
                  <c:v>5.7</c:v>
                </c:pt>
                <c:pt idx="976">
                  <c:v>4.5999999999999996</c:v>
                </c:pt>
                <c:pt idx="977">
                  <c:v>8.1</c:v>
                </c:pt>
                <c:pt idx="978">
                  <c:v>6.1</c:v>
                </c:pt>
                <c:pt idx="979">
                  <c:v>6.7</c:v>
                </c:pt>
                <c:pt idx="980">
                  <c:v>6.8</c:v>
                </c:pt>
                <c:pt idx="981">
                  <c:v>6.6</c:v>
                </c:pt>
                <c:pt idx="982">
                  <c:v>6.7</c:v>
                </c:pt>
                <c:pt idx="983">
                  <c:v>3.9</c:v>
                </c:pt>
                <c:pt idx="984">
                  <c:v>5</c:v>
                </c:pt>
                <c:pt idx="985">
                  <c:v>4.9000000000000004</c:v>
                </c:pt>
                <c:pt idx="986">
                  <c:v>6.7</c:v>
                </c:pt>
                <c:pt idx="987">
                  <c:v>8</c:v>
                </c:pt>
                <c:pt idx="988">
                  <c:v>7.1</c:v>
                </c:pt>
                <c:pt idx="989">
                  <c:v>4.9000000000000004</c:v>
                </c:pt>
                <c:pt idx="990">
                  <c:v>6.5</c:v>
                </c:pt>
                <c:pt idx="991">
                  <c:v>7.1</c:v>
                </c:pt>
                <c:pt idx="992">
                  <c:v>7.2</c:v>
                </c:pt>
                <c:pt idx="993">
                  <c:v>6.8</c:v>
                </c:pt>
                <c:pt idx="994">
                  <c:v>6.8</c:v>
                </c:pt>
                <c:pt idx="995">
                  <c:v>7.2</c:v>
                </c:pt>
                <c:pt idx="996">
                  <c:v>6.9</c:v>
                </c:pt>
                <c:pt idx="997">
                  <c:v>7.4</c:v>
                </c:pt>
                <c:pt idx="998">
                  <c:v>6.8</c:v>
                </c:pt>
                <c:pt idx="999">
                  <c:v>7.1</c:v>
                </c:pt>
                <c:pt idx="1000">
                  <c:v>6.3</c:v>
                </c:pt>
                <c:pt idx="1001">
                  <c:v>6.7</c:v>
                </c:pt>
                <c:pt idx="1002">
                  <c:v>6.7</c:v>
                </c:pt>
                <c:pt idx="1003">
                  <c:v>5.9</c:v>
                </c:pt>
                <c:pt idx="1004">
                  <c:v>5.8</c:v>
                </c:pt>
                <c:pt idx="1005">
                  <c:v>5.7</c:v>
                </c:pt>
                <c:pt idx="1006">
                  <c:v>6.3</c:v>
                </c:pt>
                <c:pt idx="1007">
                  <c:v>6</c:v>
                </c:pt>
                <c:pt idx="1008">
                  <c:v>5.7</c:v>
                </c:pt>
                <c:pt idx="1009">
                  <c:v>6.5</c:v>
                </c:pt>
                <c:pt idx="1010">
                  <c:v>7.2</c:v>
                </c:pt>
                <c:pt idx="1011">
                  <c:v>7.2</c:v>
                </c:pt>
                <c:pt idx="1012">
                  <c:v>6.4</c:v>
                </c:pt>
                <c:pt idx="1013">
                  <c:v>6</c:v>
                </c:pt>
                <c:pt idx="1014">
                  <c:v>6.6</c:v>
                </c:pt>
                <c:pt idx="1015">
                  <c:v>5.3</c:v>
                </c:pt>
                <c:pt idx="1016">
                  <c:v>6.3</c:v>
                </c:pt>
                <c:pt idx="1017">
                  <c:v>6.3</c:v>
                </c:pt>
                <c:pt idx="1018">
                  <c:v>7.6</c:v>
                </c:pt>
                <c:pt idx="1019">
                  <c:v>5.7</c:v>
                </c:pt>
                <c:pt idx="1020">
                  <c:v>7.1</c:v>
                </c:pt>
                <c:pt idx="1021">
                  <c:v>6.3</c:v>
                </c:pt>
                <c:pt idx="1022">
                  <c:v>4.5999999999999996</c:v>
                </c:pt>
                <c:pt idx="1023">
                  <c:v>7.5</c:v>
                </c:pt>
                <c:pt idx="1024">
                  <c:v>5.3</c:v>
                </c:pt>
                <c:pt idx="1025">
                  <c:v>7</c:v>
                </c:pt>
                <c:pt idx="1026">
                  <c:v>5</c:v>
                </c:pt>
                <c:pt idx="1027">
                  <c:v>4.3</c:v>
                </c:pt>
                <c:pt idx="1028">
                  <c:v>6.9</c:v>
                </c:pt>
                <c:pt idx="1029">
                  <c:v>7.2</c:v>
                </c:pt>
                <c:pt idx="1030">
                  <c:v>7.3</c:v>
                </c:pt>
                <c:pt idx="1031">
                  <c:v>6</c:v>
                </c:pt>
                <c:pt idx="1032">
                  <c:v>6.2</c:v>
                </c:pt>
                <c:pt idx="1033">
                  <c:v>5.0999999999999996</c:v>
                </c:pt>
                <c:pt idx="1034">
                  <c:v>5.9</c:v>
                </c:pt>
                <c:pt idx="1035">
                  <c:v>6</c:v>
                </c:pt>
                <c:pt idx="1036">
                  <c:v>4.3</c:v>
                </c:pt>
                <c:pt idx="1037">
                  <c:v>6.4</c:v>
                </c:pt>
                <c:pt idx="1038">
                  <c:v>6.9</c:v>
                </c:pt>
                <c:pt idx="1039">
                  <c:v>6.2</c:v>
                </c:pt>
                <c:pt idx="1040">
                  <c:v>7.2</c:v>
                </c:pt>
                <c:pt idx="1041">
                  <c:v>5.5</c:v>
                </c:pt>
                <c:pt idx="1042">
                  <c:v>5.0999999999999996</c:v>
                </c:pt>
                <c:pt idx="1043">
                  <c:v>6.6</c:v>
                </c:pt>
                <c:pt idx="1044">
                  <c:v>6.8</c:v>
                </c:pt>
                <c:pt idx="1045">
                  <c:v>7</c:v>
                </c:pt>
                <c:pt idx="1046">
                  <c:v>6.9</c:v>
                </c:pt>
                <c:pt idx="1047">
                  <c:v>6.1</c:v>
                </c:pt>
                <c:pt idx="1048">
                  <c:v>6.3</c:v>
                </c:pt>
                <c:pt idx="1049">
                  <c:v>7.1</c:v>
                </c:pt>
                <c:pt idx="1050">
                  <c:v>6.2</c:v>
                </c:pt>
                <c:pt idx="1051">
                  <c:v>5.0999999999999996</c:v>
                </c:pt>
                <c:pt idx="1052">
                  <c:v>5.9</c:v>
                </c:pt>
                <c:pt idx="1053">
                  <c:v>8.3000000000000007</c:v>
                </c:pt>
                <c:pt idx="1054">
                  <c:v>7.6</c:v>
                </c:pt>
                <c:pt idx="1055">
                  <c:v>6.9</c:v>
                </c:pt>
                <c:pt idx="1056">
                  <c:v>5.7</c:v>
                </c:pt>
                <c:pt idx="1057">
                  <c:v>4.5999999999999996</c:v>
                </c:pt>
                <c:pt idx="1058">
                  <c:v>5.6</c:v>
                </c:pt>
                <c:pt idx="1059">
                  <c:v>7</c:v>
                </c:pt>
                <c:pt idx="1060">
                  <c:v>5.0999999999999996</c:v>
                </c:pt>
                <c:pt idx="1061">
                  <c:v>5.2</c:v>
                </c:pt>
                <c:pt idx="1062">
                  <c:v>8.4</c:v>
                </c:pt>
                <c:pt idx="1063">
                  <c:v>7.4</c:v>
                </c:pt>
                <c:pt idx="1064">
                  <c:v>7</c:v>
                </c:pt>
                <c:pt idx="1065">
                  <c:v>5.5</c:v>
                </c:pt>
                <c:pt idx="1066">
                  <c:v>6.2</c:v>
                </c:pt>
                <c:pt idx="1067">
                  <c:v>6.8</c:v>
                </c:pt>
                <c:pt idx="1068">
                  <c:v>8.1999999999999993</c:v>
                </c:pt>
                <c:pt idx="1069">
                  <c:v>5.7</c:v>
                </c:pt>
                <c:pt idx="1070">
                  <c:v>7.5</c:v>
                </c:pt>
                <c:pt idx="1071">
                  <c:v>6.9</c:v>
                </c:pt>
                <c:pt idx="1072">
                  <c:v>5.0999999999999996</c:v>
                </c:pt>
                <c:pt idx="1073">
                  <c:v>6.5</c:v>
                </c:pt>
                <c:pt idx="1074">
                  <c:v>7.1</c:v>
                </c:pt>
                <c:pt idx="1075">
                  <c:v>5.7</c:v>
                </c:pt>
                <c:pt idx="1076">
                  <c:v>6.8</c:v>
                </c:pt>
                <c:pt idx="1077">
                  <c:v>6.9</c:v>
                </c:pt>
                <c:pt idx="1078">
                  <c:v>6.2</c:v>
                </c:pt>
                <c:pt idx="1079">
                  <c:v>6.4</c:v>
                </c:pt>
                <c:pt idx="1080">
                  <c:v>6.8</c:v>
                </c:pt>
                <c:pt idx="1081">
                  <c:v>6.8</c:v>
                </c:pt>
                <c:pt idx="1082">
                  <c:v>6.3</c:v>
                </c:pt>
                <c:pt idx="1083">
                  <c:v>7.1</c:v>
                </c:pt>
                <c:pt idx="1084">
                  <c:v>5.6</c:v>
                </c:pt>
                <c:pt idx="1085">
                  <c:v>6.8</c:v>
                </c:pt>
                <c:pt idx="1086">
                  <c:v>6.5</c:v>
                </c:pt>
                <c:pt idx="1087">
                  <c:v>5.8</c:v>
                </c:pt>
                <c:pt idx="1088">
                  <c:v>6.8</c:v>
                </c:pt>
                <c:pt idx="1089">
                  <c:v>7.1</c:v>
                </c:pt>
                <c:pt idx="1090">
                  <c:v>5</c:v>
                </c:pt>
                <c:pt idx="1091">
                  <c:v>4.8</c:v>
                </c:pt>
                <c:pt idx="1092">
                  <c:v>4.9000000000000004</c:v>
                </c:pt>
                <c:pt idx="1093">
                  <c:v>7.4</c:v>
                </c:pt>
                <c:pt idx="1094">
                  <c:v>6.9</c:v>
                </c:pt>
                <c:pt idx="1095">
                  <c:v>5.8</c:v>
                </c:pt>
                <c:pt idx="1096">
                  <c:v>7.2</c:v>
                </c:pt>
                <c:pt idx="1097">
                  <c:v>5.7</c:v>
                </c:pt>
                <c:pt idx="1098">
                  <c:v>5.6</c:v>
                </c:pt>
                <c:pt idx="1099">
                  <c:v>4.5999999999999996</c:v>
                </c:pt>
                <c:pt idx="1100">
                  <c:v>5.3</c:v>
                </c:pt>
                <c:pt idx="1101">
                  <c:v>5.9</c:v>
                </c:pt>
                <c:pt idx="1102">
                  <c:v>4.7</c:v>
                </c:pt>
                <c:pt idx="1103">
                  <c:v>6.1</c:v>
                </c:pt>
                <c:pt idx="1104">
                  <c:v>7</c:v>
                </c:pt>
                <c:pt idx="1105">
                  <c:v>6.2</c:v>
                </c:pt>
                <c:pt idx="1106">
                  <c:v>4.2</c:v>
                </c:pt>
                <c:pt idx="1107">
                  <c:v>5.4</c:v>
                </c:pt>
                <c:pt idx="1108">
                  <c:v>4.2</c:v>
                </c:pt>
                <c:pt idx="1109">
                  <c:v>5.5</c:v>
                </c:pt>
                <c:pt idx="1110">
                  <c:v>5.6</c:v>
                </c:pt>
                <c:pt idx="1111">
                  <c:v>7.4</c:v>
                </c:pt>
                <c:pt idx="1112">
                  <c:v>7.2</c:v>
                </c:pt>
                <c:pt idx="1113">
                  <c:v>7.2</c:v>
                </c:pt>
                <c:pt idx="1114">
                  <c:v>6.6</c:v>
                </c:pt>
                <c:pt idx="1115">
                  <c:v>5.2</c:v>
                </c:pt>
                <c:pt idx="1116">
                  <c:v>6.8</c:v>
                </c:pt>
                <c:pt idx="1117">
                  <c:v>5.6</c:v>
                </c:pt>
                <c:pt idx="1118">
                  <c:v>7</c:v>
                </c:pt>
                <c:pt idx="1119">
                  <c:v>4.8</c:v>
                </c:pt>
                <c:pt idx="1120">
                  <c:v>7.3</c:v>
                </c:pt>
                <c:pt idx="1121">
                  <c:v>6.2</c:v>
                </c:pt>
                <c:pt idx="1122">
                  <c:v>5.5</c:v>
                </c:pt>
                <c:pt idx="1123">
                  <c:v>7.5</c:v>
                </c:pt>
                <c:pt idx="1124">
                  <c:v>6.9</c:v>
                </c:pt>
                <c:pt idx="1125">
                  <c:v>4.9000000000000004</c:v>
                </c:pt>
                <c:pt idx="1126">
                  <c:v>7.1</c:v>
                </c:pt>
                <c:pt idx="1127">
                  <c:v>5.5</c:v>
                </c:pt>
                <c:pt idx="1128">
                  <c:v>5.8</c:v>
                </c:pt>
                <c:pt idx="1129">
                  <c:v>5.5</c:v>
                </c:pt>
                <c:pt idx="1130">
                  <c:v>6.4</c:v>
                </c:pt>
                <c:pt idx="1131">
                  <c:v>7.1</c:v>
                </c:pt>
                <c:pt idx="1132">
                  <c:v>6.3</c:v>
                </c:pt>
                <c:pt idx="1133">
                  <c:v>5.0999999999999996</c:v>
                </c:pt>
                <c:pt idx="1134">
                  <c:v>6.1</c:v>
                </c:pt>
                <c:pt idx="1135">
                  <c:v>5.5</c:v>
                </c:pt>
                <c:pt idx="1136">
                  <c:v>8.1</c:v>
                </c:pt>
                <c:pt idx="1137">
                  <c:v>5.6</c:v>
                </c:pt>
                <c:pt idx="1138">
                  <c:v>6.9</c:v>
                </c:pt>
                <c:pt idx="1139">
                  <c:v>5.8</c:v>
                </c:pt>
                <c:pt idx="1140">
                  <c:v>6.9</c:v>
                </c:pt>
                <c:pt idx="1141">
                  <c:v>5.2</c:v>
                </c:pt>
                <c:pt idx="1142">
                  <c:v>5.8</c:v>
                </c:pt>
                <c:pt idx="1143">
                  <c:v>5.0999999999999996</c:v>
                </c:pt>
                <c:pt idx="1144">
                  <c:v>5.4</c:v>
                </c:pt>
                <c:pt idx="1145">
                  <c:v>6.2</c:v>
                </c:pt>
                <c:pt idx="1146">
                  <c:v>6.8</c:v>
                </c:pt>
                <c:pt idx="1147">
                  <c:v>6.7</c:v>
                </c:pt>
                <c:pt idx="1148">
                  <c:v>7.8</c:v>
                </c:pt>
                <c:pt idx="1149">
                  <c:v>6</c:v>
                </c:pt>
                <c:pt idx="1150">
                  <c:v>6.5</c:v>
                </c:pt>
                <c:pt idx="1151">
                  <c:v>7.3</c:v>
                </c:pt>
                <c:pt idx="1152">
                  <c:v>6.5</c:v>
                </c:pt>
                <c:pt idx="1153">
                  <c:v>4.3</c:v>
                </c:pt>
                <c:pt idx="1154">
                  <c:v>6.9</c:v>
                </c:pt>
                <c:pt idx="1155">
                  <c:v>5.8</c:v>
                </c:pt>
                <c:pt idx="1156">
                  <c:v>6.2</c:v>
                </c:pt>
                <c:pt idx="1157">
                  <c:v>6.1</c:v>
                </c:pt>
                <c:pt idx="1158">
                  <c:v>5.6</c:v>
                </c:pt>
                <c:pt idx="1159">
                  <c:v>6</c:v>
                </c:pt>
                <c:pt idx="1160">
                  <c:v>5.0999999999999996</c:v>
                </c:pt>
                <c:pt idx="1161">
                  <c:v>6.5</c:v>
                </c:pt>
                <c:pt idx="1162">
                  <c:v>7.7</c:v>
                </c:pt>
                <c:pt idx="1163">
                  <c:v>7.4</c:v>
                </c:pt>
                <c:pt idx="1164">
                  <c:v>6.4</c:v>
                </c:pt>
                <c:pt idx="1165">
                  <c:v>5.9</c:v>
                </c:pt>
                <c:pt idx="1166">
                  <c:v>5.8</c:v>
                </c:pt>
                <c:pt idx="1167">
                  <c:v>7.3</c:v>
                </c:pt>
                <c:pt idx="1168">
                  <c:v>7.2</c:v>
                </c:pt>
                <c:pt idx="1169">
                  <c:v>6.2</c:v>
                </c:pt>
                <c:pt idx="1170">
                  <c:v>4.4000000000000004</c:v>
                </c:pt>
                <c:pt idx="1171">
                  <c:v>6.8</c:v>
                </c:pt>
                <c:pt idx="1172">
                  <c:v>5.8</c:v>
                </c:pt>
                <c:pt idx="1173">
                  <c:v>6.8</c:v>
                </c:pt>
                <c:pt idx="1174">
                  <c:v>6.4</c:v>
                </c:pt>
                <c:pt idx="1175">
                  <c:v>6.8</c:v>
                </c:pt>
                <c:pt idx="1176">
                  <c:v>6.4</c:v>
                </c:pt>
                <c:pt idx="1177">
                  <c:v>4.7</c:v>
                </c:pt>
                <c:pt idx="1178">
                  <c:v>6.2</c:v>
                </c:pt>
                <c:pt idx="1179">
                  <c:v>6.5</c:v>
                </c:pt>
                <c:pt idx="1180">
                  <c:v>5.4</c:v>
                </c:pt>
                <c:pt idx="1181">
                  <c:v>5.7</c:v>
                </c:pt>
                <c:pt idx="1182">
                  <c:v>5.3</c:v>
                </c:pt>
                <c:pt idx="1183">
                  <c:v>7.3</c:v>
                </c:pt>
                <c:pt idx="1184">
                  <c:v>4.4000000000000004</c:v>
                </c:pt>
                <c:pt idx="1185">
                  <c:v>6.4</c:v>
                </c:pt>
                <c:pt idx="1186">
                  <c:v>8</c:v>
                </c:pt>
                <c:pt idx="1187">
                  <c:v>7.2</c:v>
                </c:pt>
                <c:pt idx="1188">
                  <c:v>4.8</c:v>
                </c:pt>
                <c:pt idx="1189">
                  <c:v>6.3</c:v>
                </c:pt>
                <c:pt idx="1190">
                  <c:v>6.1</c:v>
                </c:pt>
                <c:pt idx="1191">
                  <c:v>5.5</c:v>
                </c:pt>
                <c:pt idx="1192">
                  <c:v>6.2</c:v>
                </c:pt>
                <c:pt idx="1193">
                  <c:v>7.1</c:v>
                </c:pt>
                <c:pt idx="1194">
                  <c:v>6</c:v>
                </c:pt>
                <c:pt idx="1195">
                  <c:v>6.7</c:v>
                </c:pt>
                <c:pt idx="1196">
                  <c:v>7</c:v>
                </c:pt>
                <c:pt idx="1197">
                  <c:v>7</c:v>
                </c:pt>
                <c:pt idx="1198">
                  <c:v>6</c:v>
                </c:pt>
                <c:pt idx="1199">
                  <c:v>6.5</c:v>
                </c:pt>
                <c:pt idx="1200">
                  <c:v>6.6</c:v>
                </c:pt>
                <c:pt idx="1201">
                  <c:v>8</c:v>
                </c:pt>
                <c:pt idx="1202">
                  <c:v>5.5</c:v>
                </c:pt>
                <c:pt idx="1203">
                  <c:v>7.3</c:v>
                </c:pt>
                <c:pt idx="1204">
                  <c:v>7.1</c:v>
                </c:pt>
                <c:pt idx="1205">
                  <c:v>7.6</c:v>
                </c:pt>
                <c:pt idx="1206">
                  <c:v>6.4</c:v>
                </c:pt>
                <c:pt idx="1207">
                  <c:v>6.7</c:v>
                </c:pt>
                <c:pt idx="1208">
                  <c:v>6.9</c:v>
                </c:pt>
                <c:pt idx="1209">
                  <c:v>4.9000000000000004</c:v>
                </c:pt>
                <c:pt idx="1210">
                  <c:v>7.8</c:v>
                </c:pt>
                <c:pt idx="1211">
                  <c:v>6.3</c:v>
                </c:pt>
                <c:pt idx="1212">
                  <c:v>7.7</c:v>
                </c:pt>
                <c:pt idx="1213">
                  <c:v>5.8</c:v>
                </c:pt>
                <c:pt idx="1214">
                  <c:v>5.8</c:v>
                </c:pt>
                <c:pt idx="1215">
                  <c:v>6.9</c:v>
                </c:pt>
                <c:pt idx="1216">
                  <c:v>5.0999999999999996</c:v>
                </c:pt>
                <c:pt idx="1217">
                  <c:v>6.9</c:v>
                </c:pt>
                <c:pt idx="1218">
                  <c:v>6.6</c:v>
                </c:pt>
                <c:pt idx="1219">
                  <c:v>4.9000000000000004</c:v>
                </c:pt>
                <c:pt idx="1220">
                  <c:v>6.3</c:v>
                </c:pt>
                <c:pt idx="1221">
                  <c:v>5.6</c:v>
                </c:pt>
                <c:pt idx="1222">
                  <c:v>5.8</c:v>
                </c:pt>
                <c:pt idx="1223">
                  <c:v>7.2</c:v>
                </c:pt>
                <c:pt idx="1224">
                  <c:v>7.2</c:v>
                </c:pt>
                <c:pt idx="1225">
                  <c:v>7.6</c:v>
                </c:pt>
                <c:pt idx="1226">
                  <c:v>7.3</c:v>
                </c:pt>
                <c:pt idx="1227">
                  <c:v>6.8</c:v>
                </c:pt>
                <c:pt idx="1228">
                  <c:v>5.7</c:v>
                </c:pt>
                <c:pt idx="1229">
                  <c:v>4.0999999999999996</c:v>
                </c:pt>
                <c:pt idx="1230">
                  <c:v>7.3</c:v>
                </c:pt>
                <c:pt idx="1231">
                  <c:v>6.1</c:v>
                </c:pt>
                <c:pt idx="1232">
                  <c:v>6.4</c:v>
                </c:pt>
                <c:pt idx="1233">
                  <c:v>7.5</c:v>
                </c:pt>
                <c:pt idx="1234">
                  <c:v>8.1</c:v>
                </c:pt>
                <c:pt idx="1235">
                  <c:v>7.1</c:v>
                </c:pt>
                <c:pt idx="1236">
                  <c:v>6.1</c:v>
                </c:pt>
                <c:pt idx="1237">
                  <c:v>7.1</c:v>
                </c:pt>
                <c:pt idx="1238">
                  <c:v>6.9</c:v>
                </c:pt>
                <c:pt idx="1239">
                  <c:v>7.1</c:v>
                </c:pt>
                <c:pt idx="1240">
                  <c:v>6.1</c:v>
                </c:pt>
                <c:pt idx="1241">
                  <c:v>6.9</c:v>
                </c:pt>
                <c:pt idx="1242">
                  <c:v>4.8</c:v>
                </c:pt>
                <c:pt idx="1243">
                  <c:v>7.1</c:v>
                </c:pt>
                <c:pt idx="1244">
                  <c:v>8.1</c:v>
                </c:pt>
                <c:pt idx="1245">
                  <c:v>5.4</c:v>
                </c:pt>
                <c:pt idx="1246">
                  <c:v>6.2</c:v>
                </c:pt>
                <c:pt idx="1247">
                  <c:v>7.6</c:v>
                </c:pt>
                <c:pt idx="1248">
                  <c:v>6.4</c:v>
                </c:pt>
                <c:pt idx="1249">
                  <c:v>6.3</c:v>
                </c:pt>
                <c:pt idx="1250">
                  <c:v>6</c:v>
                </c:pt>
                <c:pt idx="1251">
                  <c:v>7.7</c:v>
                </c:pt>
                <c:pt idx="1252">
                  <c:v>7.8</c:v>
                </c:pt>
                <c:pt idx="1253">
                  <c:v>6.6</c:v>
                </c:pt>
                <c:pt idx="1254">
                  <c:v>7.6</c:v>
                </c:pt>
                <c:pt idx="1255">
                  <c:v>7.2</c:v>
                </c:pt>
                <c:pt idx="1256">
                  <c:v>5.4</c:v>
                </c:pt>
                <c:pt idx="1257">
                  <c:v>7.1</c:v>
                </c:pt>
                <c:pt idx="1258">
                  <c:v>6.4</c:v>
                </c:pt>
                <c:pt idx="1259">
                  <c:v>6.9</c:v>
                </c:pt>
                <c:pt idx="1260">
                  <c:v>7.8</c:v>
                </c:pt>
                <c:pt idx="1261">
                  <c:v>6.2</c:v>
                </c:pt>
                <c:pt idx="1262">
                  <c:v>5.2</c:v>
                </c:pt>
                <c:pt idx="1263">
                  <c:v>6.1</c:v>
                </c:pt>
                <c:pt idx="1264">
                  <c:v>6.6</c:v>
                </c:pt>
                <c:pt idx="1265">
                  <c:v>6.8</c:v>
                </c:pt>
                <c:pt idx="1266">
                  <c:v>6.6</c:v>
                </c:pt>
                <c:pt idx="1267">
                  <c:v>6.6</c:v>
                </c:pt>
                <c:pt idx="1268">
                  <c:v>6.7</c:v>
                </c:pt>
                <c:pt idx="1269">
                  <c:v>6.8</c:v>
                </c:pt>
                <c:pt idx="1270">
                  <c:v>7.4</c:v>
                </c:pt>
                <c:pt idx="1271">
                  <c:v>6.7</c:v>
                </c:pt>
                <c:pt idx="1272">
                  <c:v>6.4</c:v>
                </c:pt>
                <c:pt idx="1273">
                  <c:v>6.7</c:v>
                </c:pt>
                <c:pt idx="1274">
                  <c:v>6.5</c:v>
                </c:pt>
                <c:pt idx="1275">
                  <c:v>5.6</c:v>
                </c:pt>
                <c:pt idx="1276">
                  <c:v>7.8</c:v>
                </c:pt>
                <c:pt idx="1277">
                  <c:v>6.3</c:v>
                </c:pt>
                <c:pt idx="1278">
                  <c:v>6.8</c:v>
                </c:pt>
                <c:pt idx="1279">
                  <c:v>7.1</c:v>
                </c:pt>
                <c:pt idx="1280">
                  <c:v>5.9</c:v>
                </c:pt>
                <c:pt idx="1281">
                  <c:v>5.9</c:v>
                </c:pt>
                <c:pt idx="1282">
                  <c:v>8</c:v>
                </c:pt>
                <c:pt idx="1283">
                  <c:v>5.6</c:v>
                </c:pt>
                <c:pt idx="1284">
                  <c:v>6.2</c:v>
                </c:pt>
                <c:pt idx="1285">
                  <c:v>7.3</c:v>
                </c:pt>
                <c:pt idx="1286">
                  <c:v>7.2</c:v>
                </c:pt>
                <c:pt idx="1287">
                  <c:v>6.6</c:v>
                </c:pt>
                <c:pt idx="1288">
                  <c:v>7</c:v>
                </c:pt>
                <c:pt idx="1289">
                  <c:v>7.5</c:v>
                </c:pt>
                <c:pt idx="1290">
                  <c:v>7</c:v>
                </c:pt>
                <c:pt idx="1291">
                  <c:v>8.1</c:v>
                </c:pt>
                <c:pt idx="1292">
                  <c:v>6.4</c:v>
                </c:pt>
                <c:pt idx="1293">
                  <c:v>7.6</c:v>
                </c:pt>
                <c:pt idx="1294">
                  <c:v>7</c:v>
                </c:pt>
                <c:pt idx="1295">
                  <c:v>5.9</c:v>
                </c:pt>
                <c:pt idx="1296">
                  <c:v>7.2</c:v>
                </c:pt>
                <c:pt idx="1297">
                  <c:v>5.8</c:v>
                </c:pt>
                <c:pt idx="1298">
                  <c:v>6.3</c:v>
                </c:pt>
                <c:pt idx="1299">
                  <c:v>5.7</c:v>
                </c:pt>
                <c:pt idx="1300">
                  <c:v>6.5</c:v>
                </c:pt>
                <c:pt idx="1301">
                  <c:v>8.3000000000000007</c:v>
                </c:pt>
                <c:pt idx="1302">
                  <c:v>7.4</c:v>
                </c:pt>
                <c:pt idx="1303">
                  <c:v>6.2</c:v>
                </c:pt>
                <c:pt idx="1304">
                  <c:v>7.3</c:v>
                </c:pt>
                <c:pt idx="1305">
                  <c:v>7.1</c:v>
                </c:pt>
                <c:pt idx="1306">
                  <c:v>6.6</c:v>
                </c:pt>
                <c:pt idx="1307">
                  <c:v>6.4</c:v>
                </c:pt>
                <c:pt idx="1308">
                  <c:v>7.1</c:v>
                </c:pt>
                <c:pt idx="1309">
                  <c:v>7.1</c:v>
                </c:pt>
                <c:pt idx="1310">
                  <c:v>6.9</c:v>
                </c:pt>
                <c:pt idx="1311">
                  <c:v>6.5</c:v>
                </c:pt>
                <c:pt idx="1312">
                  <c:v>5.3</c:v>
                </c:pt>
                <c:pt idx="1313">
                  <c:v>6.3</c:v>
                </c:pt>
                <c:pt idx="1314">
                  <c:v>6.1</c:v>
                </c:pt>
                <c:pt idx="1315">
                  <c:v>5.9</c:v>
                </c:pt>
                <c:pt idx="1316">
                  <c:v>7.2</c:v>
                </c:pt>
                <c:pt idx="1317">
                  <c:v>5.7</c:v>
                </c:pt>
                <c:pt idx="1318">
                  <c:v>6.6</c:v>
                </c:pt>
                <c:pt idx="1319">
                  <c:v>6.8</c:v>
                </c:pt>
                <c:pt idx="1320">
                  <c:v>6.1</c:v>
                </c:pt>
                <c:pt idx="1321">
                  <c:v>7.4</c:v>
                </c:pt>
                <c:pt idx="1322">
                  <c:v>7.4</c:v>
                </c:pt>
                <c:pt idx="1323">
                  <c:v>6</c:v>
                </c:pt>
                <c:pt idx="1324">
                  <c:v>6.6</c:v>
                </c:pt>
                <c:pt idx="1325">
                  <c:v>7.3</c:v>
                </c:pt>
                <c:pt idx="1326">
                  <c:v>6.6</c:v>
                </c:pt>
                <c:pt idx="1327">
                  <c:v>6.1</c:v>
                </c:pt>
                <c:pt idx="1328">
                  <c:v>7.5</c:v>
                </c:pt>
                <c:pt idx="1329">
                  <c:v>5.8</c:v>
                </c:pt>
                <c:pt idx="1330">
                  <c:v>5.0999999999999996</c:v>
                </c:pt>
                <c:pt idx="1331">
                  <c:v>7.8</c:v>
                </c:pt>
                <c:pt idx="1332">
                  <c:v>7.7</c:v>
                </c:pt>
                <c:pt idx="1333">
                  <c:v>6.3</c:v>
                </c:pt>
                <c:pt idx="1334">
                  <c:v>7.1</c:v>
                </c:pt>
                <c:pt idx="1335">
                  <c:v>6.6</c:v>
                </c:pt>
                <c:pt idx="1336">
                  <c:v>6.7</c:v>
                </c:pt>
                <c:pt idx="1337">
                  <c:v>6.7</c:v>
                </c:pt>
                <c:pt idx="1338">
                  <c:v>5.5</c:v>
                </c:pt>
                <c:pt idx="1339">
                  <c:v>5.2</c:v>
                </c:pt>
                <c:pt idx="1340">
                  <c:v>5.4</c:v>
                </c:pt>
                <c:pt idx="1341">
                  <c:v>6.7</c:v>
                </c:pt>
                <c:pt idx="1342">
                  <c:v>7.3</c:v>
                </c:pt>
                <c:pt idx="1343">
                  <c:v>5.9</c:v>
                </c:pt>
                <c:pt idx="1344">
                  <c:v>6.4</c:v>
                </c:pt>
                <c:pt idx="1345">
                  <c:v>6.1</c:v>
                </c:pt>
                <c:pt idx="1346">
                  <c:v>6.8</c:v>
                </c:pt>
                <c:pt idx="1347">
                  <c:v>7.6</c:v>
                </c:pt>
                <c:pt idx="1348">
                  <c:v>6.3</c:v>
                </c:pt>
                <c:pt idx="1349">
                  <c:v>6.7</c:v>
                </c:pt>
                <c:pt idx="1350">
                  <c:v>6.4</c:v>
                </c:pt>
                <c:pt idx="1351">
                  <c:v>6.7</c:v>
                </c:pt>
                <c:pt idx="1352">
                  <c:v>7.7</c:v>
                </c:pt>
                <c:pt idx="1353">
                  <c:v>6.7</c:v>
                </c:pt>
                <c:pt idx="1354">
                  <c:v>7.2</c:v>
                </c:pt>
                <c:pt idx="1355">
                  <c:v>7.3</c:v>
                </c:pt>
                <c:pt idx="1356">
                  <c:v>7</c:v>
                </c:pt>
                <c:pt idx="1357">
                  <c:v>6</c:v>
                </c:pt>
                <c:pt idx="1358">
                  <c:v>7</c:v>
                </c:pt>
                <c:pt idx="1359">
                  <c:v>6.1</c:v>
                </c:pt>
                <c:pt idx="1360">
                  <c:v>4.0999999999999996</c:v>
                </c:pt>
                <c:pt idx="1361">
                  <c:v>4.9000000000000004</c:v>
                </c:pt>
                <c:pt idx="1362">
                  <c:v>6.1</c:v>
                </c:pt>
                <c:pt idx="1363">
                  <c:v>6.2</c:v>
                </c:pt>
                <c:pt idx="1364">
                  <c:v>7</c:v>
                </c:pt>
                <c:pt idx="1365">
                  <c:v>6.6</c:v>
                </c:pt>
                <c:pt idx="1366">
                  <c:v>7.4</c:v>
                </c:pt>
                <c:pt idx="1367">
                  <c:v>6.1</c:v>
                </c:pt>
                <c:pt idx="1368">
                  <c:v>5.6</c:v>
                </c:pt>
                <c:pt idx="1369">
                  <c:v>5.8</c:v>
                </c:pt>
                <c:pt idx="1370">
                  <c:v>7</c:v>
                </c:pt>
                <c:pt idx="1371">
                  <c:v>6.1</c:v>
                </c:pt>
                <c:pt idx="1372">
                  <c:v>6.3</c:v>
                </c:pt>
                <c:pt idx="1373">
                  <c:v>5.5</c:v>
                </c:pt>
                <c:pt idx="1374">
                  <c:v>6.1</c:v>
                </c:pt>
                <c:pt idx="1375">
                  <c:v>5.0999999999999996</c:v>
                </c:pt>
                <c:pt idx="1376">
                  <c:v>7.4</c:v>
                </c:pt>
                <c:pt idx="1377">
                  <c:v>6.2</c:v>
                </c:pt>
                <c:pt idx="1378">
                  <c:v>6.3</c:v>
                </c:pt>
                <c:pt idx="1379">
                  <c:v>6.1</c:v>
                </c:pt>
                <c:pt idx="1380">
                  <c:v>6.8</c:v>
                </c:pt>
                <c:pt idx="1381">
                  <c:v>6.5</c:v>
                </c:pt>
                <c:pt idx="1382">
                  <c:v>5.4</c:v>
                </c:pt>
                <c:pt idx="1383">
                  <c:v>7.6</c:v>
                </c:pt>
                <c:pt idx="1384">
                  <c:v>6.4</c:v>
                </c:pt>
                <c:pt idx="1385">
                  <c:v>7.4</c:v>
                </c:pt>
                <c:pt idx="1386">
                  <c:v>5.8</c:v>
                </c:pt>
                <c:pt idx="1387">
                  <c:v>6.1</c:v>
                </c:pt>
                <c:pt idx="1388">
                  <c:v>6.5</c:v>
                </c:pt>
                <c:pt idx="1389">
                  <c:v>6.6</c:v>
                </c:pt>
                <c:pt idx="1390">
                  <c:v>6.5</c:v>
                </c:pt>
                <c:pt idx="1391">
                  <c:v>6.5</c:v>
                </c:pt>
                <c:pt idx="1392">
                  <c:v>6.1</c:v>
                </c:pt>
                <c:pt idx="1393">
                  <c:v>7.1</c:v>
                </c:pt>
                <c:pt idx="1394">
                  <c:v>7.6</c:v>
                </c:pt>
                <c:pt idx="1395">
                  <c:v>8.1</c:v>
                </c:pt>
                <c:pt idx="1396">
                  <c:v>6.1</c:v>
                </c:pt>
                <c:pt idx="1397">
                  <c:v>6.3</c:v>
                </c:pt>
                <c:pt idx="1398">
                  <c:v>6.6</c:v>
                </c:pt>
                <c:pt idx="1399">
                  <c:v>6.9</c:v>
                </c:pt>
                <c:pt idx="1400">
                  <c:v>6.7</c:v>
                </c:pt>
                <c:pt idx="1401">
                  <c:v>7.7</c:v>
                </c:pt>
                <c:pt idx="1402">
                  <c:v>6.3</c:v>
                </c:pt>
                <c:pt idx="1403">
                  <c:v>6</c:v>
                </c:pt>
                <c:pt idx="1404">
                  <c:v>5.6</c:v>
                </c:pt>
                <c:pt idx="1405">
                  <c:v>7.5</c:v>
                </c:pt>
                <c:pt idx="1406">
                  <c:v>7</c:v>
                </c:pt>
                <c:pt idx="1407">
                  <c:v>5.2</c:v>
                </c:pt>
                <c:pt idx="1408">
                  <c:v>5.3</c:v>
                </c:pt>
                <c:pt idx="1409">
                  <c:v>7.2</c:v>
                </c:pt>
                <c:pt idx="1410">
                  <c:v>6.1</c:v>
                </c:pt>
                <c:pt idx="1411">
                  <c:v>7.2</c:v>
                </c:pt>
                <c:pt idx="1412">
                  <c:v>5.6</c:v>
                </c:pt>
                <c:pt idx="1413">
                  <c:v>6.6</c:v>
                </c:pt>
                <c:pt idx="1414">
                  <c:v>7.5</c:v>
                </c:pt>
                <c:pt idx="1415">
                  <c:v>6.3</c:v>
                </c:pt>
                <c:pt idx="1416">
                  <c:v>6</c:v>
                </c:pt>
                <c:pt idx="1417">
                  <c:v>5.5</c:v>
                </c:pt>
                <c:pt idx="1418">
                  <c:v>6.1</c:v>
                </c:pt>
                <c:pt idx="1419">
                  <c:v>7.4</c:v>
                </c:pt>
                <c:pt idx="1420">
                  <c:v>4.8</c:v>
                </c:pt>
                <c:pt idx="1421">
                  <c:v>7.1</c:v>
                </c:pt>
                <c:pt idx="1422">
                  <c:v>4.3</c:v>
                </c:pt>
                <c:pt idx="1423">
                  <c:v>5.3</c:v>
                </c:pt>
                <c:pt idx="1424">
                  <c:v>5.2</c:v>
                </c:pt>
                <c:pt idx="1425">
                  <c:v>8</c:v>
                </c:pt>
                <c:pt idx="1426">
                  <c:v>5.8</c:v>
                </c:pt>
                <c:pt idx="1427">
                  <c:v>4.4000000000000004</c:v>
                </c:pt>
                <c:pt idx="1428">
                  <c:v>6.3</c:v>
                </c:pt>
                <c:pt idx="1429">
                  <c:v>6.4</c:v>
                </c:pt>
                <c:pt idx="1430">
                  <c:v>5.9</c:v>
                </c:pt>
                <c:pt idx="1431">
                  <c:v>5.4</c:v>
                </c:pt>
                <c:pt idx="1432">
                  <c:v>4.5999999999999996</c:v>
                </c:pt>
                <c:pt idx="1433">
                  <c:v>6.7</c:v>
                </c:pt>
                <c:pt idx="1434">
                  <c:v>6.5</c:v>
                </c:pt>
                <c:pt idx="1435">
                  <c:v>6.3</c:v>
                </c:pt>
                <c:pt idx="1436">
                  <c:v>5.4</c:v>
                </c:pt>
                <c:pt idx="1437">
                  <c:v>6.3</c:v>
                </c:pt>
                <c:pt idx="1438">
                  <c:v>5.7</c:v>
                </c:pt>
                <c:pt idx="1439">
                  <c:v>4.4000000000000004</c:v>
                </c:pt>
                <c:pt idx="1440">
                  <c:v>7.1</c:v>
                </c:pt>
                <c:pt idx="1441">
                  <c:v>7.2</c:v>
                </c:pt>
                <c:pt idx="1442">
                  <c:v>5.9</c:v>
                </c:pt>
                <c:pt idx="1443">
                  <c:v>6.6</c:v>
                </c:pt>
                <c:pt idx="1444">
                  <c:v>5.7</c:v>
                </c:pt>
                <c:pt idx="1445">
                  <c:v>6.3</c:v>
                </c:pt>
                <c:pt idx="1446">
                  <c:v>5.4</c:v>
                </c:pt>
                <c:pt idx="1447">
                  <c:v>6.4</c:v>
                </c:pt>
                <c:pt idx="1448">
                  <c:v>6.5</c:v>
                </c:pt>
                <c:pt idx="1449">
                  <c:v>7.4</c:v>
                </c:pt>
                <c:pt idx="1450">
                  <c:v>6</c:v>
                </c:pt>
                <c:pt idx="1451">
                  <c:v>6.9</c:v>
                </c:pt>
                <c:pt idx="1452">
                  <c:v>6.2</c:v>
                </c:pt>
                <c:pt idx="1453">
                  <c:v>6.7</c:v>
                </c:pt>
                <c:pt idx="1454">
                  <c:v>5.6</c:v>
                </c:pt>
                <c:pt idx="1455">
                  <c:v>4.9000000000000004</c:v>
                </c:pt>
                <c:pt idx="1456">
                  <c:v>6.6</c:v>
                </c:pt>
                <c:pt idx="1457">
                  <c:v>5.8</c:v>
                </c:pt>
                <c:pt idx="1458">
                  <c:v>5.2</c:v>
                </c:pt>
                <c:pt idx="1459">
                  <c:v>5.2</c:v>
                </c:pt>
                <c:pt idx="1460">
                  <c:v>6.7</c:v>
                </c:pt>
                <c:pt idx="1461">
                  <c:v>6.7</c:v>
                </c:pt>
                <c:pt idx="1462">
                  <c:v>6.5</c:v>
                </c:pt>
                <c:pt idx="1463">
                  <c:v>6.1</c:v>
                </c:pt>
                <c:pt idx="1464">
                  <c:v>7.1</c:v>
                </c:pt>
                <c:pt idx="1465">
                  <c:v>6.1</c:v>
                </c:pt>
                <c:pt idx="1466">
                  <c:v>6.3</c:v>
                </c:pt>
                <c:pt idx="1467">
                  <c:v>5.5</c:v>
                </c:pt>
                <c:pt idx="1468">
                  <c:v>6.5</c:v>
                </c:pt>
                <c:pt idx="1469">
                  <c:v>4.9000000000000004</c:v>
                </c:pt>
                <c:pt idx="1470">
                  <c:v>6.2</c:v>
                </c:pt>
                <c:pt idx="1471">
                  <c:v>7.3</c:v>
                </c:pt>
                <c:pt idx="1472">
                  <c:v>6.4</c:v>
                </c:pt>
                <c:pt idx="1473">
                  <c:v>5.7</c:v>
                </c:pt>
                <c:pt idx="1474">
                  <c:v>4.9000000000000004</c:v>
                </c:pt>
                <c:pt idx="1475">
                  <c:v>7.4</c:v>
                </c:pt>
                <c:pt idx="1476">
                  <c:v>6.9</c:v>
                </c:pt>
                <c:pt idx="1477">
                  <c:v>6.1</c:v>
                </c:pt>
                <c:pt idx="1478">
                  <c:v>6.2</c:v>
                </c:pt>
                <c:pt idx="1479">
                  <c:v>6</c:v>
                </c:pt>
                <c:pt idx="1480">
                  <c:v>6.3</c:v>
                </c:pt>
                <c:pt idx="1481">
                  <c:v>7.8</c:v>
                </c:pt>
                <c:pt idx="1482">
                  <c:v>6.4</c:v>
                </c:pt>
                <c:pt idx="1483">
                  <c:v>6.4</c:v>
                </c:pt>
                <c:pt idx="1484">
                  <c:v>6.7</c:v>
                </c:pt>
                <c:pt idx="1485">
                  <c:v>6</c:v>
                </c:pt>
                <c:pt idx="1486">
                  <c:v>5.7</c:v>
                </c:pt>
                <c:pt idx="1487">
                  <c:v>5.8</c:v>
                </c:pt>
                <c:pt idx="1488">
                  <c:v>7.6</c:v>
                </c:pt>
                <c:pt idx="1489">
                  <c:v>6.3</c:v>
                </c:pt>
                <c:pt idx="1490">
                  <c:v>6.8</c:v>
                </c:pt>
                <c:pt idx="1491">
                  <c:v>6.2</c:v>
                </c:pt>
                <c:pt idx="1492">
                  <c:v>6.6</c:v>
                </c:pt>
                <c:pt idx="1493">
                  <c:v>7.8</c:v>
                </c:pt>
                <c:pt idx="1494">
                  <c:v>6.8</c:v>
                </c:pt>
                <c:pt idx="1495">
                  <c:v>5.8</c:v>
                </c:pt>
                <c:pt idx="1496">
                  <c:v>7</c:v>
                </c:pt>
                <c:pt idx="1497">
                  <c:v>6.1</c:v>
                </c:pt>
                <c:pt idx="1498">
                  <c:v>7.6</c:v>
                </c:pt>
                <c:pt idx="1499">
                  <c:v>7.2</c:v>
                </c:pt>
                <c:pt idx="1500">
                  <c:v>6.6</c:v>
                </c:pt>
                <c:pt idx="1501">
                  <c:v>5.5</c:v>
                </c:pt>
                <c:pt idx="1502">
                  <c:v>5.4</c:v>
                </c:pt>
                <c:pt idx="1503">
                  <c:v>7.3</c:v>
                </c:pt>
                <c:pt idx="1504">
                  <c:v>6.1</c:v>
                </c:pt>
                <c:pt idx="1505">
                  <c:v>7.6</c:v>
                </c:pt>
                <c:pt idx="1506">
                  <c:v>6.7</c:v>
                </c:pt>
                <c:pt idx="1507">
                  <c:v>7.8</c:v>
                </c:pt>
                <c:pt idx="1508">
                  <c:v>5.4</c:v>
                </c:pt>
                <c:pt idx="1509">
                  <c:v>5.7</c:v>
                </c:pt>
                <c:pt idx="1510">
                  <c:v>4.8</c:v>
                </c:pt>
                <c:pt idx="1511">
                  <c:v>7.4</c:v>
                </c:pt>
                <c:pt idx="1512">
                  <c:v>6.7</c:v>
                </c:pt>
                <c:pt idx="1513">
                  <c:v>6.4</c:v>
                </c:pt>
                <c:pt idx="1514">
                  <c:v>6.9</c:v>
                </c:pt>
                <c:pt idx="1515">
                  <c:v>7.4</c:v>
                </c:pt>
                <c:pt idx="1516">
                  <c:v>6.2</c:v>
                </c:pt>
                <c:pt idx="1517">
                  <c:v>7.2</c:v>
                </c:pt>
                <c:pt idx="1518">
                  <c:v>5.6</c:v>
                </c:pt>
                <c:pt idx="1519">
                  <c:v>7.3</c:v>
                </c:pt>
                <c:pt idx="1520">
                  <c:v>5.7</c:v>
                </c:pt>
                <c:pt idx="1521">
                  <c:v>6.2</c:v>
                </c:pt>
                <c:pt idx="1522">
                  <c:v>5.8</c:v>
                </c:pt>
                <c:pt idx="1523">
                  <c:v>7.4</c:v>
                </c:pt>
                <c:pt idx="1524">
                  <c:v>7.1</c:v>
                </c:pt>
                <c:pt idx="1525">
                  <c:v>6.3</c:v>
                </c:pt>
                <c:pt idx="1526">
                  <c:v>6.8</c:v>
                </c:pt>
                <c:pt idx="1527">
                  <c:v>6.5</c:v>
                </c:pt>
                <c:pt idx="1528">
                  <c:v>6.8</c:v>
                </c:pt>
                <c:pt idx="1529">
                  <c:v>5.6</c:v>
                </c:pt>
                <c:pt idx="1530">
                  <c:v>5.9</c:v>
                </c:pt>
                <c:pt idx="1531">
                  <c:v>6.9</c:v>
                </c:pt>
                <c:pt idx="1532">
                  <c:v>6.7</c:v>
                </c:pt>
                <c:pt idx="1533">
                  <c:v>7</c:v>
                </c:pt>
                <c:pt idx="1534">
                  <c:v>7.3</c:v>
                </c:pt>
                <c:pt idx="1535">
                  <c:v>6.8</c:v>
                </c:pt>
                <c:pt idx="1536">
                  <c:v>7.7</c:v>
                </c:pt>
                <c:pt idx="1537">
                  <c:v>6.5</c:v>
                </c:pt>
                <c:pt idx="1538">
                  <c:v>8</c:v>
                </c:pt>
                <c:pt idx="1539">
                  <c:v>7.4</c:v>
                </c:pt>
                <c:pt idx="1540">
                  <c:v>6.4</c:v>
                </c:pt>
                <c:pt idx="1541">
                  <c:v>6.1</c:v>
                </c:pt>
                <c:pt idx="1542">
                  <c:v>4.5999999999999996</c:v>
                </c:pt>
                <c:pt idx="1543">
                  <c:v>7.3</c:v>
                </c:pt>
                <c:pt idx="1544">
                  <c:v>6.9</c:v>
                </c:pt>
                <c:pt idx="1545">
                  <c:v>7.4</c:v>
                </c:pt>
                <c:pt idx="1546">
                  <c:v>7.9</c:v>
                </c:pt>
                <c:pt idx="1547">
                  <c:v>7.2</c:v>
                </c:pt>
                <c:pt idx="1548">
                  <c:v>6.5</c:v>
                </c:pt>
                <c:pt idx="1549">
                  <c:v>5.3</c:v>
                </c:pt>
                <c:pt idx="1550">
                  <c:v>8.1</c:v>
                </c:pt>
                <c:pt idx="1551">
                  <c:v>7.2</c:v>
                </c:pt>
                <c:pt idx="1552">
                  <c:v>7</c:v>
                </c:pt>
                <c:pt idx="1553">
                  <c:v>5.8</c:v>
                </c:pt>
                <c:pt idx="1554">
                  <c:v>5.3</c:v>
                </c:pt>
                <c:pt idx="1555">
                  <c:v>6.6</c:v>
                </c:pt>
                <c:pt idx="1556">
                  <c:v>6.5</c:v>
                </c:pt>
                <c:pt idx="1557">
                  <c:v>8.1</c:v>
                </c:pt>
                <c:pt idx="1558">
                  <c:v>7.1</c:v>
                </c:pt>
                <c:pt idx="1559">
                  <c:v>7.4</c:v>
                </c:pt>
                <c:pt idx="1560">
                  <c:v>5.4</c:v>
                </c:pt>
                <c:pt idx="1561">
                  <c:v>5.9</c:v>
                </c:pt>
                <c:pt idx="1562">
                  <c:v>6.7</c:v>
                </c:pt>
                <c:pt idx="1563">
                  <c:v>6.5</c:v>
                </c:pt>
                <c:pt idx="1564">
                  <c:v>7.8</c:v>
                </c:pt>
                <c:pt idx="1565">
                  <c:v>7.5</c:v>
                </c:pt>
                <c:pt idx="1566">
                  <c:v>6</c:v>
                </c:pt>
                <c:pt idx="1567">
                  <c:v>6.6</c:v>
                </c:pt>
                <c:pt idx="1568">
                  <c:v>6.3</c:v>
                </c:pt>
                <c:pt idx="1569">
                  <c:v>4.7</c:v>
                </c:pt>
                <c:pt idx="1570">
                  <c:v>7.6</c:v>
                </c:pt>
                <c:pt idx="1571">
                  <c:v>7.8</c:v>
                </c:pt>
                <c:pt idx="1572">
                  <c:v>5.7</c:v>
                </c:pt>
                <c:pt idx="1573">
                  <c:v>7.2</c:v>
                </c:pt>
                <c:pt idx="1574">
                  <c:v>7</c:v>
                </c:pt>
                <c:pt idx="1575">
                  <c:v>4.5</c:v>
                </c:pt>
                <c:pt idx="1576">
                  <c:v>7.5</c:v>
                </c:pt>
                <c:pt idx="1577">
                  <c:v>6.3</c:v>
                </c:pt>
                <c:pt idx="1578">
                  <c:v>7.3</c:v>
                </c:pt>
                <c:pt idx="1579">
                  <c:v>6.8</c:v>
                </c:pt>
                <c:pt idx="1580">
                  <c:v>6.8</c:v>
                </c:pt>
                <c:pt idx="1581">
                  <c:v>6.6</c:v>
                </c:pt>
                <c:pt idx="1582">
                  <c:v>6.1</c:v>
                </c:pt>
                <c:pt idx="1583">
                  <c:v>6.1</c:v>
                </c:pt>
                <c:pt idx="1584">
                  <c:v>6.8</c:v>
                </c:pt>
                <c:pt idx="1585">
                  <c:v>6.2</c:v>
                </c:pt>
                <c:pt idx="1586">
                  <c:v>7</c:v>
                </c:pt>
                <c:pt idx="1587">
                  <c:v>7.3</c:v>
                </c:pt>
                <c:pt idx="1588">
                  <c:v>7.2</c:v>
                </c:pt>
                <c:pt idx="1589">
                  <c:v>6.3</c:v>
                </c:pt>
                <c:pt idx="1590">
                  <c:v>5.9</c:v>
                </c:pt>
                <c:pt idx="1591">
                  <c:v>7.5</c:v>
                </c:pt>
                <c:pt idx="1592">
                  <c:v>8</c:v>
                </c:pt>
                <c:pt idx="1593">
                  <c:v>6.7</c:v>
                </c:pt>
                <c:pt idx="1594">
                  <c:v>7.2</c:v>
                </c:pt>
                <c:pt idx="1595">
                  <c:v>5.4</c:v>
                </c:pt>
                <c:pt idx="1596">
                  <c:v>7.1</c:v>
                </c:pt>
                <c:pt idx="1597">
                  <c:v>6.1</c:v>
                </c:pt>
                <c:pt idx="1598">
                  <c:v>6.3</c:v>
                </c:pt>
                <c:pt idx="1599">
                  <c:v>7.4</c:v>
                </c:pt>
                <c:pt idx="1600">
                  <c:v>6.7</c:v>
                </c:pt>
                <c:pt idx="1601">
                  <c:v>7.4</c:v>
                </c:pt>
                <c:pt idx="1602">
                  <c:v>6.8</c:v>
                </c:pt>
                <c:pt idx="1603">
                  <c:v>7.9</c:v>
                </c:pt>
                <c:pt idx="1604">
                  <c:v>5.6</c:v>
                </c:pt>
                <c:pt idx="1605">
                  <c:v>7.4</c:v>
                </c:pt>
                <c:pt idx="1606">
                  <c:v>6.4</c:v>
                </c:pt>
                <c:pt idx="1607">
                  <c:v>7.5</c:v>
                </c:pt>
                <c:pt idx="1608">
                  <c:v>5.8</c:v>
                </c:pt>
                <c:pt idx="1609">
                  <c:v>6.9</c:v>
                </c:pt>
                <c:pt idx="1610">
                  <c:v>7.7</c:v>
                </c:pt>
                <c:pt idx="1611">
                  <c:v>7.3</c:v>
                </c:pt>
                <c:pt idx="1612">
                  <c:v>5.7</c:v>
                </c:pt>
                <c:pt idx="1613">
                  <c:v>6.4</c:v>
                </c:pt>
                <c:pt idx="1614">
                  <c:v>6.8</c:v>
                </c:pt>
                <c:pt idx="1615">
                  <c:v>5.3</c:v>
                </c:pt>
                <c:pt idx="1616">
                  <c:v>7.2</c:v>
                </c:pt>
                <c:pt idx="1617">
                  <c:v>7.1</c:v>
                </c:pt>
                <c:pt idx="1618">
                  <c:v>7</c:v>
                </c:pt>
                <c:pt idx="1619">
                  <c:v>7.8</c:v>
                </c:pt>
                <c:pt idx="1620">
                  <c:v>5.3</c:v>
                </c:pt>
                <c:pt idx="1621">
                  <c:v>7.8</c:v>
                </c:pt>
                <c:pt idx="1622">
                  <c:v>6.7</c:v>
                </c:pt>
                <c:pt idx="1623">
                  <c:v>7.6</c:v>
                </c:pt>
                <c:pt idx="1624">
                  <c:v>8.1999999999999993</c:v>
                </c:pt>
                <c:pt idx="1625">
                  <c:v>5.8</c:v>
                </c:pt>
                <c:pt idx="1626">
                  <c:v>5.8</c:v>
                </c:pt>
                <c:pt idx="1627">
                  <c:v>6.1</c:v>
                </c:pt>
                <c:pt idx="1628">
                  <c:v>7.3</c:v>
                </c:pt>
                <c:pt idx="1629">
                  <c:v>7</c:v>
                </c:pt>
                <c:pt idx="1630">
                  <c:v>6.5</c:v>
                </c:pt>
                <c:pt idx="1631">
                  <c:v>7.4</c:v>
                </c:pt>
                <c:pt idx="1632">
                  <c:v>6</c:v>
                </c:pt>
                <c:pt idx="1633">
                  <c:v>8</c:v>
                </c:pt>
                <c:pt idx="1634">
                  <c:v>6.8</c:v>
                </c:pt>
                <c:pt idx="1635">
                  <c:v>7.3</c:v>
                </c:pt>
                <c:pt idx="1636">
                  <c:v>7.2</c:v>
                </c:pt>
                <c:pt idx="1637">
                  <c:v>5.7</c:v>
                </c:pt>
                <c:pt idx="1638">
                  <c:v>6.6</c:v>
                </c:pt>
                <c:pt idx="1639">
                  <c:v>5.8</c:v>
                </c:pt>
                <c:pt idx="1640">
                  <c:v>7.9</c:v>
                </c:pt>
                <c:pt idx="1641">
                  <c:v>5.7</c:v>
                </c:pt>
                <c:pt idx="1642">
                  <c:v>6.5</c:v>
                </c:pt>
                <c:pt idx="1643">
                  <c:v>5.5</c:v>
                </c:pt>
                <c:pt idx="1644">
                  <c:v>5.4</c:v>
                </c:pt>
                <c:pt idx="1645">
                  <c:v>6.9</c:v>
                </c:pt>
                <c:pt idx="1646">
                  <c:v>7</c:v>
                </c:pt>
                <c:pt idx="1647">
                  <c:v>4.7</c:v>
                </c:pt>
                <c:pt idx="1648">
                  <c:v>5.8</c:v>
                </c:pt>
                <c:pt idx="1649">
                  <c:v>6.2</c:v>
                </c:pt>
                <c:pt idx="1650">
                  <c:v>7.1</c:v>
                </c:pt>
                <c:pt idx="1651">
                  <c:v>6.6</c:v>
                </c:pt>
                <c:pt idx="1652">
                  <c:v>5.4</c:v>
                </c:pt>
                <c:pt idx="1653">
                  <c:v>6.5</c:v>
                </c:pt>
                <c:pt idx="1654">
                  <c:v>6.2</c:v>
                </c:pt>
                <c:pt idx="1655">
                  <c:v>5.5</c:v>
                </c:pt>
                <c:pt idx="1656">
                  <c:v>5.9</c:v>
                </c:pt>
                <c:pt idx="1657">
                  <c:v>6.3</c:v>
                </c:pt>
                <c:pt idx="1658">
                  <c:v>7.3</c:v>
                </c:pt>
                <c:pt idx="1659">
                  <c:v>6.9</c:v>
                </c:pt>
                <c:pt idx="1660">
                  <c:v>7.3</c:v>
                </c:pt>
                <c:pt idx="1661">
                  <c:v>6.4</c:v>
                </c:pt>
                <c:pt idx="1662">
                  <c:v>6.1</c:v>
                </c:pt>
                <c:pt idx="1663">
                  <c:v>7.4</c:v>
                </c:pt>
                <c:pt idx="1664">
                  <c:v>6.5</c:v>
                </c:pt>
                <c:pt idx="1665">
                  <c:v>6.6</c:v>
                </c:pt>
                <c:pt idx="1666">
                  <c:v>7.2</c:v>
                </c:pt>
                <c:pt idx="1667">
                  <c:v>7.3</c:v>
                </c:pt>
                <c:pt idx="1668">
                  <c:v>6.4</c:v>
                </c:pt>
                <c:pt idx="1669">
                  <c:v>6.2</c:v>
                </c:pt>
                <c:pt idx="1670">
                  <c:v>7.9</c:v>
                </c:pt>
                <c:pt idx="1671">
                  <c:v>6.3</c:v>
                </c:pt>
                <c:pt idx="1672">
                  <c:v>6.8</c:v>
                </c:pt>
                <c:pt idx="1673">
                  <c:v>4.5999999999999996</c:v>
                </c:pt>
                <c:pt idx="1674">
                  <c:v>7.3</c:v>
                </c:pt>
                <c:pt idx="1675">
                  <c:v>6.4</c:v>
                </c:pt>
                <c:pt idx="1676">
                  <c:v>5.8</c:v>
                </c:pt>
                <c:pt idx="1677">
                  <c:v>5.9</c:v>
                </c:pt>
                <c:pt idx="1678">
                  <c:v>7.5</c:v>
                </c:pt>
                <c:pt idx="1679">
                  <c:v>5.9</c:v>
                </c:pt>
                <c:pt idx="1680">
                  <c:v>6.4</c:v>
                </c:pt>
                <c:pt idx="1681">
                  <c:v>6.7</c:v>
                </c:pt>
                <c:pt idx="1682">
                  <c:v>6.5</c:v>
                </c:pt>
                <c:pt idx="1683">
                  <c:v>6.1</c:v>
                </c:pt>
                <c:pt idx="1684">
                  <c:v>6.6</c:v>
                </c:pt>
                <c:pt idx="1685">
                  <c:v>5.6</c:v>
                </c:pt>
                <c:pt idx="1686">
                  <c:v>6.3</c:v>
                </c:pt>
                <c:pt idx="1687">
                  <c:v>6.3</c:v>
                </c:pt>
                <c:pt idx="1688">
                  <c:v>5.6</c:v>
                </c:pt>
                <c:pt idx="1689">
                  <c:v>5.8</c:v>
                </c:pt>
                <c:pt idx="1690">
                  <c:v>5.8</c:v>
                </c:pt>
                <c:pt idx="1691">
                  <c:v>5.6</c:v>
                </c:pt>
                <c:pt idx="1692">
                  <c:v>6.3</c:v>
                </c:pt>
                <c:pt idx="1693">
                  <c:v>6</c:v>
                </c:pt>
                <c:pt idx="1694">
                  <c:v>7.3</c:v>
                </c:pt>
                <c:pt idx="1695">
                  <c:v>4.8</c:v>
                </c:pt>
                <c:pt idx="1696">
                  <c:v>5.4</c:v>
                </c:pt>
                <c:pt idx="1697">
                  <c:v>5.7</c:v>
                </c:pt>
                <c:pt idx="1698">
                  <c:v>7</c:v>
                </c:pt>
                <c:pt idx="1699">
                  <c:v>5.7</c:v>
                </c:pt>
                <c:pt idx="1700">
                  <c:v>7.4</c:v>
                </c:pt>
                <c:pt idx="1701">
                  <c:v>7.2</c:v>
                </c:pt>
                <c:pt idx="1702">
                  <c:v>6.5</c:v>
                </c:pt>
                <c:pt idx="1703">
                  <c:v>5.2</c:v>
                </c:pt>
                <c:pt idx="1704">
                  <c:v>6.2</c:v>
                </c:pt>
                <c:pt idx="1705">
                  <c:v>6.6</c:v>
                </c:pt>
                <c:pt idx="1706">
                  <c:v>7.3</c:v>
                </c:pt>
                <c:pt idx="1707">
                  <c:v>6.3</c:v>
                </c:pt>
                <c:pt idx="1708">
                  <c:v>6</c:v>
                </c:pt>
                <c:pt idx="1709">
                  <c:v>7.5</c:v>
                </c:pt>
                <c:pt idx="1710">
                  <c:v>6.5</c:v>
                </c:pt>
                <c:pt idx="1711">
                  <c:v>5.5</c:v>
                </c:pt>
                <c:pt idx="1712">
                  <c:v>5.8</c:v>
                </c:pt>
                <c:pt idx="1713">
                  <c:v>6.1</c:v>
                </c:pt>
                <c:pt idx="1714">
                  <c:v>7.2</c:v>
                </c:pt>
                <c:pt idx="1715">
                  <c:v>7.3</c:v>
                </c:pt>
                <c:pt idx="1716">
                  <c:v>7.5</c:v>
                </c:pt>
                <c:pt idx="1717">
                  <c:v>6.5</c:v>
                </c:pt>
                <c:pt idx="1718">
                  <c:v>5.8</c:v>
                </c:pt>
                <c:pt idx="1719">
                  <c:v>5.9</c:v>
                </c:pt>
                <c:pt idx="1720">
                  <c:v>7.1</c:v>
                </c:pt>
                <c:pt idx="1721">
                  <c:v>6.9</c:v>
                </c:pt>
                <c:pt idx="1722">
                  <c:v>7.6</c:v>
                </c:pt>
                <c:pt idx="1723">
                  <c:v>6.5</c:v>
                </c:pt>
                <c:pt idx="1724">
                  <c:v>5.9</c:v>
                </c:pt>
                <c:pt idx="1725">
                  <c:v>6.2</c:v>
                </c:pt>
                <c:pt idx="1726">
                  <c:v>6.5</c:v>
                </c:pt>
                <c:pt idx="1727">
                  <c:v>7.8</c:v>
                </c:pt>
                <c:pt idx="1728">
                  <c:v>6.1</c:v>
                </c:pt>
                <c:pt idx="1729">
                  <c:v>6.9</c:v>
                </c:pt>
                <c:pt idx="1730">
                  <c:v>6.8</c:v>
                </c:pt>
                <c:pt idx="1731">
                  <c:v>5.9</c:v>
                </c:pt>
                <c:pt idx="1732">
                  <c:v>7.4</c:v>
                </c:pt>
                <c:pt idx="1733">
                  <c:v>6.1</c:v>
                </c:pt>
                <c:pt idx="1734">
                  <c:v>5.6</c:v>
                </c:pt>
                <c:pt idx="1735">
                  <c:v>6.5</c:v>
                </c:pt>
                <c:pt idx="1736">
                  <c:v>7.5</c:v>
                </c:pt>
                <c:pt idx="1737">
                  <c:v>6.7</c:v>
                </c:pt>
                <c:pt idx="1738">
                  <c:v>6.5</c:v>
                </c:pt>
                <c:pt idx="1739">
                  <c:v>7.8</c:v>
                </c:pt>
                <c:pt idx="1740">
                  <c:v>6.1</c:v>
                </c:pt>
                <c:pt idx="1741">
                  <c:v>7.7</c:v>
                </c:pt>
                <c:pt idx="1742">
                  <c:v>6.2</c:v>
                </c:pt>
                <c:pt idx="1743">
                  <c:v>6.8</c:v>
                </c:pt>
                <c:pt idx="1744">
                  <c:v>4.2</c:v>
                </c:pt>
                <c:pt idx="1745">
                  <c:v>5.9</c:v>
                </c:pt>
                <c:pt idx="1746">
                  <c:v>7.1</c:v>
                </c:pt>
                <c:pt idx="1747">
                  <c:v>5.9</c:v>
                </c:pt>
                <c:pt idx="1748">
                  <c:v>4.5999999999999996</c:v>
                </c:pt>
                <c:pt idx="1749">
                  <c:v>6.9</c:v>
                </c:pt>
                <c:pt idx="1750">
                  <c:v>5.7</c:v>
                </c:pt>
                <c:pt idx="1751">
                  <c:v>8.1</c:v>
                </c:pt>
                <c:pt idx="1752">
                  <c:v>7.2</c:v>
                </c:pt>
                <c:pt idx="1753">
                  <c:v>6.1</c:v>
                </c:pt>
                <c:pt idx="1754">
                  <c:v>5.8</c:v>
                </c:pt>
                <c:pt idx="1755">
                  <c:v>5.0999999999999996</c:v>
                </c:pt>
                <c:pt idx="1756">
                  <c:v>6.2</c:v>
                </c:pt>
                <c:pt idx="1757">
                  <c:v>6.4</c:v>
                </c:pt>
                <c:pt idx="1758">
                  <c:v>6.5</c:v>
                </c:pt>
                <c:pt idx="1759">
                  <c:v>6.3</c:v>
                </c:pt>
                <c:pt idx="1760">
                  <c:v>5</c:v>
                </c:pt>
                <c:pt idx="1761">
                  <c:v>4.8</c:v>
                </c:pt>
                <c:pt idx="1762">
                  <c:v>7.3</c:v>
                </c:pt>
                <c:pt idx="1763">
                  <c:v>6.6</c:v>
                </c:pt>
                <c:pt idx="1764">
                  <c:v>5.3</c:v>
                </c:pt>
                <c:pt idx="1765">
                  <c:v>5.9</c:v>
                </c:pt>
                <c:pt idx="1766">
                  <c:v>5.5</c:v>
                </c:pt>
                <c:pt idx="1767">
                  <c:v>7.8</c:v>
                </c:pt>
                <c:pt idx="1768">
                  <c:v>5.2</c:v>
                </c:pt>
                <c:pt idx="1769">
                  <c:v>6.3</c:v>
                </c:pt>
                <c:pt idx="1770">
                  <c:v>4.7</c:v>
                </c:pt>
                <c:pt idx="1771">
                  <c:v>5.6</c:v>
                </c:pt>
                <c:pt idx="1772">
                  <c:v>5.4</c:v>
                </c:pt>
                <c:pt idx="1773">
                  <c:v>7</c:v>
                </c:pt>
                <c:pt idx="1774">
                  <c:v>5.6</c:v>
                </c:pt>
                <c:pt idx="1775">
                  <c:v>5.2</c:v>
                </c:pt>
                <c:pt idx="1776">
                  <c:v>6.4</c:v>
                </c:pt>
                <c:pt idx="1777">
                  <c:v>6.1</c:v>
                </c:pt>
                <c:pt idx="1778">
                  <c:v>7.6</c:v>
                </c:pt>
                <c:pt idx="1779">
                  <c:v>6.4</c:v>
                </c:pt>
                <c:pt idx="1780">
                  <c:v>7.5</c:v>
                </c:pt>
                <c:pt idx="1781">
                  <c:v>7.4</c:v>
                </c:pt>
                <c:pt idx="1782">
                  <c:v>6.8</c:v>
                </c:pt>
                <c:pt idx="1783">
                  <c:v>5.3</c:v>
                </c:pt>
                <c:pt idx="1784">
                  <c:v>6</c:v>
                </c:pt>
                <c:pt idx="1785">
                  <c:v>6.3</c:v>
                </c:pt>
                <c:pt idx="1786">
                  <c:v>6.6</c:v>
                </c:pt>
                <c:pt idx="1787">
                  <c:v>5.8</c:v>
                </c:pt>
                <c:pt idx="1788">
                  <c:v>6.4</c:v>
                </c:pt>
                <c:pt idx="1789">
                  <c:v>5.4</c:v>
                </c:pt>
                <c:pt idx="1790">
                  <c:v>7.4</c:v>
                </c:pt>
                <c:pt idx="1791">
                  <c:v>5.8</c:v>
                </c:pt>
                <c:pt idx="1792">
                  <c:v>6.6</c:v>
                </c:pt>
                <c:pt idx="1793">
                  <c:v>5.8</c:v>
                </c:pt>
                <c:pt idx="1794">
                  <c:v>6</c:v>
                </c:pt>
                <c:pt idx="1795">
                  <c:v>6.7</c:v>
                </c:pt>
                <c:pt idx="1796">
                  <c:v>5.2</c:v>
                </c:pt>
                <c:pt idx="1797">
                  <c:v>6.7</c:v>
                </c:pt>
                <c:pt idx="1798">
                  <c:v>5.9</c:v>
                </c:pt>
                <c:pt idx="1799">
                  <c:v>6.3</c:v>
                </c:pt>
                <c:pt idx="1800">
                  <c:v>4.5</c:v>
                </c:pt>
                <c:pt idx="1801">
                  <c:v>5</c:v>
                </c:pt>
                <c:pt idx="1802">
                  <c:v>6.4</c:v>
                </c:pt>
                <c:pt idx="1803">
                  <c:v>6.7</c:v>
                </c:pt>
                <c:pt idx="1804">
                  <c:v>7.9</c:v>
                </c:pt>
                <c:pt idx="1805">
                  <c:v>6.8</c:v>
                </c:pt>
                <c:pt idx="1806">
                  <c:v>6</c:v>
                </c:pt>
                <c:pt idx="1807">
                  <c:v>7.2</c:v>
                </c:pt>
                <c:pt idx="1808">
                  <c:v>5.7</c:v>
                </c:pt>
                <c:pt idx="1809">
                  <c:v>6</c:v>
                </c:pt>
                <c:pt idx="1810">
                  <c:v>7.3</c:v>
                </c:pt>
                <c:pt idx="1811">
                  <c:v>6</c:v>
                </c:pt>
                <c:pt idx="1812">
                  <c:v>5.9</c:v>
                </c:pt>
                <c:pt idx="1813">
                  <c:v>6.8</c:v>
                </c:pt>
                <c:pt idx="1814">
                  <c:v>6.2</c:v>
                </c:pt>
                <c:pt idx="1815">
                  <c:v>7</c:v>
                </c:pt>
                <c:pt idx="1816">
                  <c:v>4.8</c:v>
                </c:pt>
                <c:pt idx="1817">
                  <c:v>5.8</c:v>
                </c:pt>
                <c:pt idx="1818">
                  <c:v>4.5999999999999996</c:v>
                </c:pt>
                <c:pt idx="1819">
                  <c:v>5.0999999999999996</c:v>
                </c:pt>
                <c:pt idx="1820">
                  <c:v>7.6</c:v>
                </c:pt>
                <c:pt idx="1821">
                  <c:v>5.9</c:v>
                </c:pt>
                <c:pt idx="1822">
                  <c:v>5.5</c:v>
                </c:pt>
                <c:pt idx="1823">
                  <c:v>7.3</c:v>
                </c:pt>
                <c:pt idx="1824">
                  <c:v>6</c:v>
                </c:pt>
                <c:pt idx="1825">
                  <c:v>6.9</c:v>
                </c:pt>
                <c:pt idx="1826">
                  <c:v>5.6</c:v>
                </c:pt>
                <c:pt idx="1827">
                  <c:v>6.7</c:v>
                </c:pt>
                <c:pt idx="1828">
                  <c:v>7.2</c:v>
                </c:pt>
                <c:pt idx="1829">
                  <c:v>6.8</c:v>
                </c:pt>
                <c:pt idx="1830">
                  <c:v>7.1</c:v>
                </c:pt>
                <c:pt idx="1831">
                  <c:v>7.7</c:v>
                </c:pt>
                <c:pt idx="1832">
                  <c:v>6.5</c:v>
                </c:pt>
                <c:pt idx="1833">
                  <c:v>6.4</c:v>
                </c:pt>
                <c:pt idx="1834">
                  <c:v>6.3</c:v>
                </c:pt>
                <c:pt idx="1835">
                  <c:v>4.2</c:v>
                </c:pt>
                <c:pt idx="1836">
                  <c:v>6.8</c:v>
                </c:pt>
                <c:pt idx="1837">
                  <c:v>6.3</c:v>
                </c:pt>
                <c:pt idx="1838">
                  <c:v>5.4</c:v>
                </c:pt>
                <c:pt idx="1839">
                  <c:v>7.6</c:v>
                </c:pt>
                <c:pt idx="1840">
                  <c:v>6.4</c:v>
                </c:pt>
                <c:pt idx="1841">
                  <c:v>6.6</c:v>
                </c:pt>
                <c:pt idx="1842">
                  <c:v>7.6</c:v>
                </c:pt>
                <c:pt idx="1843">
                  <c:v>4.0999999999999996</c:v>
                </c:pt>
                <c:pt idx="1844">
                  <c:v>7.1</c:v>
                </c:pt>
                <c:pt idx="1845">
                  <c:v>5.7</c:v>
                </c:pt>
                <c:pt idx="1846">
                  <c:v>7.1</c:v>
                </c:pt>
                <c:pt idx="1847">
                  <c:v>6.2</c:v>
                </c:pt>
                <c:pt idx="1848">
                  <c:v>5.8</c:v>
                </c:pt>
                <c:pt idx="1849">
                  <c:v>6.2</c:v>
                </c:pt>
                <c:pt idx="1850">
                  <c:v>6.8</c:v>
                </c:pt>
                <c:pt idx="1851">
                  <c:v>6.6</c:v>
                </c:pt>
                <c:pt idx="1852">
                  <c:v>6.8</c:v>
                </c:pt>
                <c:pt idx="1853">
                  <c:v>7</c:v>
                </c:pt>
                <c:pt idx="1854">
                  <c:v>7.4</c:v>
                </c:pt>
                <c:pt idx="1855">
                  <c:v>7.5</c:v>
                </c:pt>
                <c:pt idx="1856">
                  <c:v>7.4</c:v>
                </c:pt>
                <c:pt idx="1857">
                  <c:v>7.4</c:v>
                </c:pt>
                <c:pt idx="1858">
                  <c:v>6.8</c:v>
                </c:pt>
                <c:pt idx="1859">
                  <c:v>5.8</c:v>
                </c:pt>
                <c:pt idx="1860">
                  <c:v>5.2</c:v>
                </c:pt>
                <c:pt idx="1861">
                  <c:v>5.4</c:v>
                </c:pt>
                <c:pt idx="1862">
                  <c:v>6.7</c:v>
                </c:pt>
                <c:pt idx="1863">
                  <c:v>7.8</c:v>
                </c:pt>
                <c:pt idx="1864">
                  <c:v>6.4</c:v>
                </c:pt>
                <c:pt idx="1865">
                  <c:v>5.3</c:v>
                </c:pt>
                <c:pt idx="1866">
                  <c:v>5</c:v>
                </c:pt>
                <c:pt idx="1867">
                  <c:v>6.4</c:v>
                </c:pt>
                <c:pt idx="1868">
                  <c:v>7</c:v>
                </c:pt>
                <c:pt idx="1869">
                  <c:v>5.8</c:v>
                </c:pt>
                <c:pt idx="1870">
                  <c:v>7.1</c:v>
                </c:pt>
                <c:pt idx="1871">
                  <c:v>6.9</c:v>
                </c:pt>
                <c:pt idx="1872">
                  <c:v>6.7</c:v>
                </c:pt>
                <c:pt idx="1873">
                  <c:v>6.3</c:v>
                </c:pt>
                <c:pt idx="1874">
                  <c:v>6.4</c:v>
                </c:pt>
                <c:pt idx="1875">
                  <c:v>6.4</c:v>
                </c:pt>
                <c:pt idx="1876">
                  <c:v>7</c:v>
                </c:pt>
                <c:pt idx="1877">
                  <c:v>7.1</c:v>
                </c:pt>
                <c:pt idx="1878">
                  <c:v>6.1</c:v>
                </c:pt>
                <c:pt idx="1879">
                  <c:v>6.6</c:v>
                </c:pt>
                <c:pt idx="1880">
                  <c:v>6.7</c:v>
                </c:pt>
                <c:pt idx="1881">
                  <c:v>8</c:v>
                </c:pt>
                <c:pt idx="1882">
                  <c:v>7.8</c:v>
                </c:pt>
                <c:pt idx="1883">
                  <c:v>5.6</c:v>
                </c:pt>
                <c:pt idx="1884">
                  <c:v>6.1</c:v>
                </c:pt>
                <c:pt idx="1885">
                  <c:v>6.3</c:v>
                </c:pt>
                <c:pt idx="1886">
                  <c:v>7.3</c:v>
                </c:pt>
                <c:pt idx="1887">
                  <c:v>6.2</c:v>
                </c:pt>
                <c:pt idx="1888">
                  <c:v>7.5</c:v>
                </c:pt>
                <c:pt idx="1889">
                  <c:v>7.3</c:v>
                </c:pt>
                <c:pt idx="1890">
                  <c:v>6.3</c:v>
                </c:pt>
                <c:pt idx="1891">
                  <c:v>6.3</c:v>
                </c:pt>
                <c:pt idx="1892">
                  <c:v>5.3</c:v>
                </c:pt>
                <c:pt idx="1893">
                  <c:v>8.1</c:v>
                </c:pt>
                <c:pt idx="1894">
                  <c:v>7.4</c:v>
                </c:pt>
                <c:pt idx="1895">
                  <c:v>8.4</c:v>
                </c:pt>
                <c:pt idx="1896">
                  <c:v>6.9</c:v>
                </c:pt>
                <c:pt idx="1897">
                  <c:v>5.2</c:v>
                </c:pt>
                <c:pt idx="1898">
                  <c:v>6.9</c:v>
                </c:pt>
                <c:pt idx="1899">
                  <c:v>7.6</c:v>
                </c:pt>
                <c:pt idx="1900">
                  <c:v>6.9</c:v>
                </c:pt>
                <c:pt idx="1901">
                  <c:v>6.7</c:v>
                </c:pt>
                <c:pt idx="1902">
                  <c:v>6.2</c:v>
                </c:pt>
                <c:pt idx="1903">
                  <c:v>5.0999999999999996</c:v>
                </c:pt>
                <c:pt idx="1904">
                  <c:v>7</c:v>
                </c:pt>
                <c:pt idx="1905">
                  <c:v>6.2</c:v>
                </c:pt>
                <c:pt idx="1906">
                  <c:v>7.1</c:v>
                </c:pt>
                <c:pt idx="1907">
                  <c:v>7.3</c:v>
                </c:pt>
                <c:pt idx="1908">
                  <c:v>7.3</c:v>
                </c:pt>
                <c:pt idx="1909">
                  <c:v>5.4</c:v>
                </c:pt>
                <c:pt idx="1910">
                  <c:v>6.2</c:v>
                </c:pt>
                <c:pt idx="1911">
                  <c:v>7.4</c:v>
                </c:pt>
                <c:pt idx="1912">
                  <c:v>7</c:v>
                </c:pt>
                <c:pt idx="1913">
                  <c:v>6.6</c:v>
                </c:pt>
                <c:pt idx="1914">
                  <c:v>7.9</c:v>
                </c:pt>
                <c:pt idx="1915">
                  <c:v>7.6</c:v>
                </c:pt>
                <c:pt idx="1916">
                  <c:v>7.4</c:v>
                </c:pt>
                <c:pt idx="1917">
                  <c:v>6.5</c:v>
                </c:pt>
                <c:pt idx="1918">
                  <c:v>6.2</c:v>
                </c:pt>
                <c:pt idx="1919">
                  <c:v>7.2</c:v>
                </c:pt>
                <c:pt idx="1920">
                  <c:v>5.8</c:v>
                </c:pt>
                <c:pt idx="1921">
                  <c:v>6.3</c:v>
                </c:pt>
                <c:pt idx="1922">
                  <c:v>7.2</c:v>
                </c:pt>
                <c:pt idx="1923">
                  <c:v>6.8</c:v>
                </c:pt>
                <c:pt idx="1924">
                  <c:v>6.5</c:v>
                </c:pt>
                <c:pt idx="1925">
                  <c:v>6.3</c:v>
                </c:pt>
                <c:pt idx="1926">
                  <c:v>7.4</c:v>
                </c:pt>
                <c:pt idx="1927">
                  <c:v>6.7</c:v>
                </c:pt>
                <c:pt idx="1928">
                  <c:v>7.6</c:v>
                </c:pt>
                <c:pt idx="1929">
                  <c:v>7.3</c:v>
                </c:pt>
                <c:pt idx="1930">
                  <c:v>7.9</c:v>
                </c:pt>
                <c:pt idx="1931">
                  <c:v>6.3</c:v>
                </c:pt>
                <c:pt idx="1932">
                  <c:v>6.6</c:v>
                </c:pt>
                <c:pt idx="1933">
                  <c:v>6.5</c:v>
                </c:pt>
                <c:pt idx="1934">
                  <c:v>5.2</c:v>
                </c:pt>
                <c:pt idx="1935">
                  <c:v>6.7</c:v>
                </c:pt>
                <c:pt idx="1936">
                  <c:v>7.7</c:v>
                </c:pt>
                <c:pt idx="1937">
                  <c:v>7.2</c:v>
                </c:pt>
                <c:pt idx="1938">
                  <c:v>5.8</c:v>
                </c:pt>
                <c:pt idx="1939">
                  <c:v>5.6</c:v>
                </c:pt>
                <c:pt idx="1940">
                  <c:v>7.4</c:v>
                </c:pt>
                <c:pt idx="1941">
                  <c:v>6.5</c:v>
                </c:pt>
                <c:pt idx="1942">
                  <c:v>7.5</c:v>
                </c:pt>
                <c:pt idx="1943">
                  <c:v>6.8</c:v>
                </c:pt>
                <c:pt idx="1944">
                  <c:v>6.4</c:v>
                </c:pt>
                <c:pt idx="1945">
                  <c:v>7.3</c:v>
                </c:pt>
                <c:pt idx="1946">
                  <c:v>6.2</c:v>
                </c:pt>
                <c:pt idx="1947">
                  <c:v>6.7</c:v>
                </c:pt>
                <c:pt idx="1948">
                  <c:v>5.3</c:v>
                </c:pt>
                <c:pt idx="1949">
                  <c:v>6.8</c:v>
                </c:pt>
                <c:pt idx="1950">
                  <c:v>6.2</c:v>
                </c:pt>
                <c:pt idx="1951">
                  <c:v>5</c:v>
                </c:pt>
                <c:pt idx="1952">
                  <c:v>6.4</c:v>
                </c:pt>
                <c:pt idx="1953">
                  <c:v>8.4</c:v>
                </c:pt>
              </c:numCache>
            </c:numRef>
          </c:xVal>
          <c:yVal>
            <c:numRef>
              <c:f>'Cleaned &amp; Transformed IMDB Movi'!$G$4:$G$1957</c:f>
              <c:numCache>
                <c:formatCode>0.00</c:formatCode>
                <c:ptCount val="1954"/>
                <c:pt idx="0">
                  <c:v>2.2999999999999998</c:v>
                </c:pt>
                <c:pt idx="1">
                  <c:v>2.46</c:v>
                </c:pt>
                <c:pt idx="2">
                  <c:v>2.46</c:v>
                </c:pt>
                <c:pt idx="3">
                  <c:v>2.46</c:v>
                </c:pt>
                <c:pt idx="4">
                  <c:v>2.46</c:v>
                </c:pt>
                <c:pt idx="5">
                  <c:v>2.46</c:v>
                </c:pt>
                <c:pt idx="6">
                  <c:v>2.46</c:v>
                </c:pt>
                <c:pt idx="7">
                  <c:v>2.73</c:v>
                </c:pt>
                <c:pt idx="8">
                  <c:v>2.46</c:v>
                </c:pt>
                <c:pt idx="9">
                  <c:v>2.46</c:v>
                </c:pt>
                <c:pt idx="10">
                  <c:v>2.46</c:v>
                </c:pt>
                <c:pt idx="11">
                  <c:v>2.46</c:v>
                </c:pt>
                <c:pt idx="12">
                  <c:v>0.02</c:v>
                </c:pt>
                <c:pt idx="13">
                  <c:v>2.46</c:v>
                </c:pt>
                <c:pt idx="14">
                  <c:v>2.46</c:v>
                </c:pt>
                <c:pt idx="15">
                  <c:v>16.059999999999999</c:v>
                </c:pt>
                <c:pt idx="16">
                  <c:v>0.16</c:v>
                </c:pt>
                <c:pt idx="17">
                  <c:v>0.23</c:v>
                </c:pt>
                <c:pt idx="18">
                  <c:v>14</c:v>
                </c:pt>
                <c:pt idx="19">
                  <c:v>21.71</c:v>
                </c:pt>
                <c:pt idx="20">
                  <c:v>2.46</c:v>
                </c:pt>
                <c:pt idx="21">
                  <c:v>22.49</c:v>
                </c:pt>
                <c:pt idx="22">
                  <c:v>2.46</c:v>
                </c:pt>
                <c:pt idx="23">
                  <c:v>31.9</c:v>
                </c:pt>
                <c:pt idx="24">
                  <c:v>0.03</c:v>
                </c:pt>
                <c:pt idx="25">
                  <c:v>1.1100000000000001</c:v>
                </c:pt>
                <c:pt idx="26">
                  <c:v>13.75</c:v>
                </c:pt>
                <c:pt idx="27">
                  <c:v>2.46</c:v>
                </c:pt>
                <c:pt idx="28">
                  <c:v>34.729999999999997</c:v>
                </c:pt>
                <c:pt idx="29">
                  <c:v>5.56</c:v>
                </c:pt>
                <c:pt idx="30">
                  <c:v>6.14</c:v>
                </c:pt>
                <c:pt idx="31">
                  <c:v>25.1</c:v>
                </c:pt>
                <c:pt idx="32">
                  <c:v>0.22</c:v>
                </c:pt>
                <c:pt idx="33">
                  <c:v>4.2699999999999996</c:v>
                </c:pt>
                <c:pt idx="34">
                  <c:v>30</c:v>
                </c:pt>
                <c:pt idx="35">
                  <c:v>28.61</c:v>
                </c:pt>
                <c:pt idx="36">
                  <c:v>12.31</c:v>
                </c:pt>
                <c:pt idx="37">
                  <c:v>7.79</c:v>
                </c:pt>
                <c:pt idx="38">
                  <c:v>14.38</c:v>
                </c:pt>
                <c:pt idx="39">
                  <c:v>3.33</c:v>
                </c:pt>
                <c:pt idx="40">
                  <c:v>1.1100000000000001</c:v>
                </c:pt>
                <c:pt idx="41">
                  <c:v>2.84</c:v>
                </c:pt>
                <c:pt idx="42">
                  <c:v>2.46</c:v>
                </c:pt>
                <c:pt idx="43">
                  <c:v>2.23</c:v>
                </c:pt>
                <c:pt idx="44">
                  <c:v>2.02</c:v>
                </c:pt>
                <c:pt idx="45">
                  <c:v>2.46</c:v>
                </c:pt>
                <c:pt idx="46">
                  <c:v>0.62</c:v>
                </c:pt>
                <c:pt idx="47">
                  <c:v>10.56</c:v>
                </c:pt>
                <c:pt idx="48">
                  <c:v>2.5</c:v>
                </c:pt>
                <c:pt idx="49">
                  <c:v>5.62</c:v>
                </c:pt>
                <c:pt idx="50">
                  <c:v>15.19</c:v>
                </c:pt>
                <c:pt idx="51">
                  <c:v>20.100000000000001</c:v>
                </c:pt>
                <c:pt idx="52">
                  <c:v>2.46</c:v>
                </c:pt>
                <c:pt idx="53">
                  <c:v>13.04</c:v>
                </c:pt>
                <c:pt idx="54">
                  <c:v>0.52</c:v>
                </c:pt>
                <c:pt idx="55">
                  <c:v>0.19</c:v>
                </c:pt>
                <c:pt idx="56">
                  <c:v>0.56000000000000005</c:v>
                </c:pt>
                <c:pt idx="57">
                  <c:v>2.46</c:v>
                </c:pt>
                <c:pt idx="58">
                  <c:v>40.06</c:v>
                </c:pt>
                <c:pt idx="59">
                  <c:v>7.0000000000000007E-2</c:v>
                </c:pt>
                <c:pt idx="60">
                  <c:v>0.01</c:v>
                </c:pt>
                <c:pt idx="61">
                  <c:v>14.86</c:v>
                </c:pt>
                <c:pt idx="62">
                  <c:v>4.96</c:v>
                </c:pt>
                <c:pt idx="63">
                  <c:v>3.82</c:v>
                </c:pt>
                <c:pt idx="64">
                  <c:v>2.25</c:v>
                </c:pt>
                <c:pt idx="65">
                  <c:v>0.03</c:v>
                </c:pt>
                <c:pt idx="66">
                  <c:v>2.46</c:v>
                </c:pt>
                <c:pt idx="67">
                  <c:v>0.77</c:v>
                </c:pt>
                <c:pt idx="68">
                  <c:v>2.46</c:v>
                </c:pt>
                <c:pt idx="69">
                  <c:v>2.46</c:v>
                </c:pt>
                <c:pt idx="70">
                  <c:v>0.21</c:v>
                </c:pt>
                <c:pt idx="71">
                  <c:v>0.49</c:v>
                </c:pt>
                <c:pt idx="72">
                  <c:v>27.09</c:v>
                </c:pt>
                <c:pt idx="73">
                  <c:v>0.02</c:v>
                </c:pt>
                <c:pt idx="74">
                  <c:v>0.02</c:v>
                </c:pt>
                <c:pt idx="75">
                  <c:v>0.06</c:v>
                </c:pt>
                <c:pt idx="76">
                  <c:v>14.25</c:v>
                </c:pt>
                <c:pt idx="77">
                  <c:v>0.24</c:v>
                </c:pt>
                <c:pt idx="78">
                  <c:v>0.45</c:v>
                </c:pt>
                <c:pt idx="79">
                  <c:v>0.62</c:v>
                </c:pt>
                <c:pt idx="80">
                  <c:v>0.19</c:v>
                </c:pt>
                <c:pt idx="81">
                  <c:v>0.24</c:v>
                </c:pt>
                <c:pt idx="82">
                  <c:v>2.46</c:v>
                </c:pt>
                <c:pt idx="83">
                  <c:v>3.03</c:v>
                </c:pt>
                <c:pt idx="84">
                  <c:v>3.8</c:v>
                </c:pt>
                <c:pt idx="85">
                  <c:v>0.21</c:v>
                </c:pt>
                <c:pt idx="86">
                  <c:v>19.16</c:v>
                </c:pt>
                <c:pt idx="87">
                  <c:v>0.23</c:v>
                </c:pt>
                <c:pt idx="88">
                  <c:v>2.46</c:v>
                </c:pt>
                <c:pt idx="89">
                  <c:v>0.73</c:v>
                </c:pt>
                <c:pt idx="90">
                  <c:v>6.53</c:v>
                </c:pt>
                <c:pt idx="91">
                  <c:v>2.46</c:v>
                </c:pt>
                <c:pt idx="92">
                  <c:v>8.36</c:v>
                </c:pt>
                <c:pt idx="93">
                  <c:v>0.01</c:v>
                </c:pt>
                <c:pt idx="94">
                  <c:v>0.71</c:v>
                </c:pt>
                <c:pt idx="95">
                  <c:v>7.0000000000000007E-2</c:v>
                </c:pt>
                <c:pt idx="96">
                  <c:v>0.34</c:v>
                </c:pt>
                <c:pt idx="97">
                  <c:v>1.79</c:v>
                </c:pt>
                <c:pt idx="98">
                  <c:v>0.77</c:v>
                </c:pt>
                <c:pt idx="99">
                  <c:v>36.92</c:v>
                </c:pt>
                <c:pt idx="100">
                  <c:v>2.46</c:v>
                </c:pt>
                <c:pt idx="101">
                  <c:v>0.6</c:v>
                </c:pt>
                <c:pt idx="102">
                  <c:v>3.83</c:v>
                </c:pt>
                <c:pt idx="103">
                  <c:v>1.04</c:v>
                </c:pt>
                <c:pt idx="104">
                  <c:v>2.46</c:v>
                </c:pt>
                <c:pt idx="105">
                  <c:v>0.68</c:v>
                </c:pt>
                <c:pt idx="106">
                  <c:v>2.46</c:v>
                </c:pt>
                <c:pt idx="107">
                  <c:v>2.46</c:v>
                </c:pt>
                <c:pt idx="108">
                  <c:v>0.05</c:v>
                </c:pt>
                <c:pt idx="109">
                  <c:v>11.01</c:v>
                </c:pt>
                <c:pt idx="110">
                  <c:v>0.56999999999999995</c:v>
                </c:pt>
                <c:pt idx="111">
                  <c:v>0.01</c:v>
                </c:pt>
                <c:pt idx="112">
                  <c:v>62.66</c:v>
                </c:pt>
                <c:pt idx="113">
                  <c:v>10.17</c:v>
                </c:pt>
                <c:pt idx="114">
                  <c:v>11.97</c:v>
                </c:pt>
                <c:pt idx="115">
                  <c:v>28.21</c:v>
                </c:pt>
                <c:pt idx="116">
                  <c:v>2.46</c:v>
                </c:pt>
                <c:pt idx="117">
                  <c:v>2.46</c:v>
                </c:pt>
                <c:pt idx="118">
                  <c:v>2.2000000000000002</c:v>
                </c:pt>
                <c:pt idx="119">
                  <c:v>2.46</c:v>
                </c:pt>
                <c:pt idx="120">
                  <c:v>0.05</c:v>
                </c:pt>
                <c:pt idx="121">
                  <c:v>0.02</c:v>
                </c:pt>
                <c:pt idx="122">
                  <c:v>0</c:v>
                </c:pt>
                <c:pt idx="123">
                  <c:v>2.46</c:v>
                </c:pt>
                <c:pt idx="124">
                  <c:v>3.44</c:v>
                </c:pt>
                <c:pt idx="125">
                  <c:v>2.46</c:v>
                </c:pt>
                <c:pt idx="126">
                  <c:v>72.78</c:v>
                </c:pt>
                <c:pt idx="127">
                  <c:v>21</c:v>
                </c:pt>
                <c:pt idx="128">
                  <c:v>0.32</c:v>
                </c:pt>
                <c:pt idx="129">
                  <c:v>155.02000000000001</c:v>
                </c:pt>
                <c:pt idx="130">
                  <c:v>0.02</c:v>
                </c:pt>
                <c:pt idx="131">
                  <c:v>8.66</c:v>
                </c:pt>
                <c:pt idx="132">
                  <c:v>0.55000000000000004</c:v>
                </c:pt>
                <c:pt idx="133">
                  <c:v>0.21</c:v>
                </c:pt>
                <c:pt idx="134">
                  <c:v>2.46</c:v>
                </c:pt>
                <c:pt idx="135">
                  <c:v>3.17</c:v>
                </c:pt>
                <c:pt idx="136">
                  <c:v>0.15</c:v>
                </c:pt>
                <c:pt idx="137">
                  <c:v>0.01</c:v>
                </c:pt>
                <c:pt idx="138">
                  <c:v>2.46</c:v>
                </c:pt>
                <c:pt idx="139">
                  <c:v>217.33</c:v>
                </c:pt>
                <c:pt idx="140">
                  <c:v>7.0000000000000007E-2</c:v>
                </c:pt>
                <c:pt idx="141">
                  <c:v>2.46</c:v>
                </c:pt>
                <c:pt idx="142">
                  <c:v>0.63</c:v>
                </c:pt>
                <c:pt idx="143">
                  <c:v>0.17</c:v>
                </c:pt>
                <c:pt idx="144">
                  <c:v>0.05</c:v>
                </c:pt>
                <c:pt idx="145">
                  <c:v>0.79</c:v>
                </c:pt>
                <c:pt idx="146">
                  <c:v>0.31</c:v>
                </c:pt>
                <c:pt idx="147">
                  <c:v>3.53</c:v>
                </c:pt>
                <c:pt idx="148">
                  <c:v>0.21</c:v>
                </c:pt>
                <c:pt idx="149">
                  <c:v>25.59</c:v>
                </c:pt>
                <c:pt idx="150">
                  <c:v>2.46</c:v>
                </c:pt>
                <c:pt idx="151">
                  <c:v>2.46</c:v>
                </c:pt>
                <c:pt idx="152">
                  <c:v>0.27</c:v>
                </c:pt>
                <c:pt idx="153">
                  <c:v>0.12</c:v>
                </c:pt>
                <c:pt idx="154">
                  <c:v>2.46</c:v>
                </c:pt>
                <c:pt idx="155">
                  <c:v>2.46</c:v>
                </c:pt>
                <c:pt idx="156">
                  <c:v>0.71</c:v>
                </c:pt>
                <c:pt idx="157">
                  <c:v>0.01</c:v>
                </c:pt>
                <c:pt idx="158">
                  <c:v>0.02</c:v>
                </c:pt>
                <c:pt idx="159">
                  <c:v>75.75</c:v>
                </c:pt>
                <c:pt idx="160">
                  <c:v>0.02</c:v>
                </c:pt>
                <c:pt idx="161">
                  <c:v>50.88</c:v>
                </c:pt>
                <c:pt idx="162">
                  <c:v>0.8</c:v>
                </c:pt>
                <c:pt idx="163">
                  <c:v>0</c:v>
                </c:pt>
                <c:pt idx="164">
                  <c:v>0.01</c:v>
                </c:pt>
                <c:pt idx="165">
                  <c:v>0.13</c:v>
                </c:pt>
                <c:pt idx="166">
                  <c:v>3.82</c:v>
                </c:pt>
                <c:pt idx="167">
                  <c:v>9.4499999999999993</c:v>
                </c:pt>
                <c:pt idx="168">
                  <c:v>93.95</c:v>
                </c:pt>
                <c:pt idx="169">
                  <c:v>0.01</c:v>
                </c:pt>
                <c:pt idx="170">
                  <c:v>0.11</c:v>
                </c:pt>
                <c:pt idx="171">
                  <c:v>219.61</c:v>
                </c:pt>
                <c:pt idx="172">
                  <c:v>2.46</c:v>
                </c:pt>
                <c:pt idx="173">
                  <c:v>0.02</c:v>
                </c:pt>
                <c:pt idx="174">
                  <c:v>2.46</c:v>
                </c:pt>
                <c:pt idx="175">
                  <c:v>0.23</c:v>
                </c:pt>
                <c:pt idx="176">
                  <c:v>0.11</c:v>
                </c:pt>
                <c:pt idx="177">
                  <c:v>0.03</c:v>
                </c:pt>
                <c:pt idx="178">
                  <c:v>0.24</c:v>
                </c:pt>
                <c:pt idx="179">
                  <c:v>2.46</c:v>
                </c:pt>
                <c:pt idx="180">
                  <c:v>0.53</c:v>
                </c:pt>
                <c:pt idx="181">
                  <c:v>0.01</c:v>
                </c:pt>
                <c:pt idx="182">
                  <c:v>0.19</c:v>
                </c:pt>
                <c:pt idx="183">
                  <c:v>2.46</c:v>
                </c:pt>
                <c:pt idx="184">
                  <c:v>0.1</c:v>
                </c:pt>
                <c:pt idx="185">
                  <c:v>2.46</c:v>
                </c:pt>
                <c:pt idx="186">
                  <c:v>2.46</c:v>
                </c:pt>
                <c:pt idx="187">
                  <c:v>0</c:v>
                </c:pt>
                <c:pt idx="188">
                  <c:v>0.39</c:v>
                </c:pt>
                <c:pt idx="189">
                  <c:v>0.08</c:v>
                </c:pt>
                <c:pt idx="190">
                  <c:v>0.05</c:v>
                </c:pt>
                <c:pt idx="191">
                  <c:v>0.33</c:v>
                </c:pt>
                <c:pt idx="192">
                  <c:v>0.26</c:v>
                </c:pt>
                <c:pt idx="193">
                  <c:v>7.0000000000000007E-2</c:v>
                </c:pt>
                <c:pt idx="194">
                  <c:v>0.26</c:v>
                </c:pt>
                <c:pt idx="195">
                  <c:v>2.46</c:v>
                </c:pt>
                <c:pt idx="196">
                  <c:v>0.1</c:v>
                </c:pt>
                <c:pt idx="197">
                  <c:v>0.01</c:v>
                </c:pt>
                <c:pt idx="198">
                  <c:v>3.29</c:v>
                </c:pt>
                <c:pt idx="199">
                  <c:v>0.72</c:v>
                </c:pt>
                <c:pt idx="200">
                  <c:v>7.0000000000000007E-2</c:v>
                </c:pt>
                <c:pt idx="201">
                  <c:v>0.01</c:v>
                </c:pt>
                <c:pt idx="202">
                  <c:v>2.46</c:v>
                </c:pt>
                <c:pt idx="203">
                  <c:v>0.12</c:v>
                </c:pt>
                <c:pt idx="204">
                  <c:v>2.46</c:v>
                </c:pt>
                <c:pt idx="205">
                  <c:v>0</c:v>
                </c:pt>
                <c:pt idx="206">
                  <c:v>2.5499999999999998</c:v>
                </c:pt>
                <c:pt idx="207">
                  <c:v>1</c:v>
                </c:pt>
                <c:pt idx="208">
                  <c:v>2.67</c:v>
                </c:pt>
                <c:pt idx="209">
                  <c:v>0.11</c:v>
                </c:pt>
                <c:pt idx="210">
                  <c:v>0.56000000000000005</c:v>
                </c:pt>
                <c:pt idx="211">
                  <c:v>1.57</c:v>
                </c:pt>
                <c:pt idx="212">
                  <c:v>0.23</c:v>
                </c:pt>
                <c:pt idx="213">
                  <c:v>2.46</c:v>
                </c:pt>
                <c:pt idx="214">
                  <c:v>1.38</c:v>
                </c:pt>
                <c:pt idx="215">
                  <c:v>2.46</c:v>
                </c:pt>
                <c:pt idx="216">
                  <c:v>0</c:v>
                </c:pt>
                <c:pt idx="217">
                  <c:v>0.02</c:v>
                </c:pt>
                <c:pt idx="218">
                  <c:v>0</c:v>
                </c:pt>
                <c:pt idx="219">
                  <c:v>0.02</c:v>
                </c:pt>
                <c:pt idx="220">
                  <c:v>2.46</c:v>
                </c:pt>
                <c:pt idx="221">
                  <c:v>0.65</c:v>
                </c:pt>
                <c:pt idx="222">
                  <c:v>12.56</c:v>
                </c:pt>
                <c:pt idx="223">
                  <c:v>2.46</c:v>
                </c:pt>
                <c:pt idx="224">
                  <c:v>2.46</c:v>
                </c:pt>
                <c:pt idx="225">
                  <c:v>0.01</c:v>
                </c:pt>
                <c:pt idx="226">
                  <c:v>2.46</c:v>
                </c:pt>
                <c:pt idx="227">
                  <c:v>0</c:v>
                </c:pt>
                <c:pt idx="228">
                  <c:v>2.46</c:v>
                </c:pt>
                <c:pt idx="229">
                  <c:v>0.02</c:v>
                </c:pt>
                <c:pt idx="230">
                  <c:v>2.46</c:v>
                </c:pt>
                <c:pt idx="231">
                  <c:v>7.0000000000000007E-2</c:v>
                </c:pt>
                <c:pt idx="232">
                  <c:v>23.07</c:v>
                </c:pt>
                <c:pt idx="233">
                  <c:v>2.33</c:v>
                </c:pt>
                <c:pt idx="234">
                  <c:v>18</c:v>
                </c:pt>
                <c:pt idx="235">
                  <c:v>2.46</c:v>
                </c:pt>
                <c:pt idx="236">
                  <c:v>1.35</c:v>
                </c:pt>
                <c:pt idx="237">
                  <c:v>2.46</c:v>
                </c:pt>
                <c:pt idx="238">
                  <c:v>0.03</c:v>
                </c:pt>
                <c:pt idx="239">
                  <c:v>4.1100000000000003</c:v>
                </c:pt>
                <c:pt idx="240">
                  <c:v>2.46</c:v>
                </c:pt>
                <c:pt idx="241">
                  <c:v>0.1</c:v>
                </c:pt>
                <c:pt idx="242">
                  <c:v>2.46</c:v>
                </c:pt>
                <c:pt idx="243">
                  <c:v>44.67</c:v>
                </c:pt>
                <c:pt idx="244">
                  <c:v>2.46</c:v>
                </c:pt>
                <c:pt idx="245">
                  <c:v>2.46</c:v>
                </c:pt>
                <c:pt idx="246">
                  <c:v>0.3</c:v>
                </c:pt>
                <c:pt idx="247">
                  <c:v>2.46</c:v>
                </c:pt>
                <c:pt idx="248">
                  <c:v>2.46</c:v>
                </c:pt>
                <c:pt idx="249">
                  <c:v>2.46</c:v>
                </c:pt>
                <c:pt idx="250">
                  <c:v>2.46</c:v>
                </c:pt>
                <c:pt idx="251">
                  <c:v>19.02</c:v>
                </c:pt>
                <c:pt idx="252">
                  <c:v>13.41</c:v>
                </c:pt>
                <c:pt idx="253">
                  <c:v>0.1</c:v>
                </c:pt>
                <c:pt idx="254">
                  <c:v>2.46</c:v>
                </c:pt>
                <c:pt idx="255">
                  <c:v>17.739999999999998</c:v>
                </c:pt>
                <c:pt idx="256">
                  <c:v>12.8</c:v>
                </c:pt>
                <c:pt idx="257">
                  <c:v>12.84</c:v>
                </c:pt>
                <c:pt idx="258">
                  <c:v>2.46</c:v>
                </c:pt>
                <c:pt idx="259">
                  <c:v>2.46</c:v>
                </c:pt>
                <c:pt idx="260">
                  <c:v>1.52</c:v>
                </c:pt>
                <c:pt idx="261">
                  <c:v>2.46</c:v>
                </c:pt>
                <c:pt idx="262">
                  <c:v>42.35</c:v>
                </c:pt>
                <c:pt idx="263">
                  <c:v>65</c:v>
                </c:pt>
                <c:pt idx="264">
                  <c:v>304.36</c:v>
                </c:pt>
                <c:pt idx="265">
                  <c:v>6.01</c:v>
                </c:pt>
                <c:pt idx="266">
                  <c:v>93.77</c:v>
                </c:pt>
                <c:pt idx="267">
                  <c:v>182.21</c:v>
                </c:pt>
                <c:pt idx="268">
                  <c:v>0.89</c:v>
                </c:pt>
                <c:pt idx="269">
                  <c:v>95.72</c:v>
                </c:pt>
                <c:pt idx="270">
                  <c:v>303</c:v>
                </c:pt>
                <c:pt idx="271">
                  <c:v>7.0000000000000007E-2</c:v>
                </c:pt>
                <c:pt idx="272">
                  <c:v>12.82</c:v>
                </c:pt>
                <c:pt idx="273">
                  <c:v>216.39</c:v>
                </c:pt>
                <c:pt idx="274">
                  <c:v>0</c:v>
                </c:pt>
                <c:pt idx="275">
                  <c:v>132.09</c:v>
                </c:pt>
                <c:pt idx="276">
                  <c:v>5.31</c:v>
                </c:pt>
                <c:pt idx="277">
                  <c:v>2.46</c:v>
                </c:pt>
                <c:pt idx="278">
                  <c:v>0.35</c:v>
                </c:pt>
                <c:pt idx="279">
                  <c:v>2.46</c:v>
                </c:pt>
                <c:pt idx="280">
                  <c:v>148.31</c:v>
                </c:pt>
                <c:pt idx="281">
                  <c:v>1.56</c:v>
                </c:pt>
                <c:pt idx="282">
                  <c:v>0.69</c:v>
                </c:pt>
                <c:pt idx="283">
                  <c:v>0.31</c:v>
                </c:pt>
                <c:pt idx="284">
                  <c:v>20.28</c:v>
                </c:pt>
                <c:pt idx="285">
                  <c:v>15.03</c:v>
                </c:pt>
                <c:pt idx="286">
                  <c:v>35.29</c:v>
                </c:pt>
                <c:pt idx="287">
                  <c:v>6</c:v>
                </c:pt>
                <c:pt idx="288">
                  <c:v>2.46</c:v>
                </c:pt>
                <c:pt idx="289">
                  <c:v>0.63</c:v>
                </c:pt>
                <c:pt idx="290">
                  <c:v>2.34</c:v>
                </c:pt>
                <c:pt idx="291">
                  <c:v>3.3</c:v>
                </c:pt>
                <c:pt idx="292">
                  <c:v>3.33</c:v>
                </c:pt>
                <c:pt idx="293">
                  <c:v>0.01</c:v>
                </c:pt>
                <c:pt idx="294">
                  <c:v>31.05</c:v>
                </c:pt>
                <c:pt idx="295">
                  <c:v>2.46</c:v>
                </c:pt>
                <c:pt idx="296">
                  <c:v>6.37</c:v>
                </c:pt>
                <c:pt idx="297">
                  <c:v>0.03</c:v>
                </c:pt>
                <c:pt idx="298">
                  <c:v>124.99</c:v>
                </c:pt>
                <c:pt idx="299">
                  <c:v>16.38</c:v>
                </c:pt>
                <c:pt idx="300">
                  <c:v>0.3</c:v>
                </c:pt>
                <c:pt idx="301">
                  <c:v>13.75</c:v>
                </c:pt>
                <c:pt idx="302">
                  <c:v>0.02</c:v>
                </c:pt>
                <c:pt idx="303">
                  <c:v>2.46</c:v>
                </c:pt>
                <c:pt idx="304">
                  <c:v>3.09</c:v>
                </c:pt>
                <c:pt idx="305">
                  <c:v>0.1</c:v>
                </c:pt>
                <c:pt idx="306">
                  <c:v>1.63</c:v>
                </c:pt>
                <c:pt idx="307">
                  <c:v>292.3</c:v>
                </c:pt>
                <c:pt idx="308">
                  <c:v>189.42</c:v>
                </c:pt>
                <c:pt idx="309">
                  <c:v>31.61</c:v>
                </c:pt>
                <c:pt idx="310">
                  <c:v>35.35</c:v>
                </c:pt>
                <c:pt idx="311">
                  <c:v>41.15</c:v>
                </c:pt>
                <c:pt idx="312">
                  <c:v>0.02</c:v>
                </c:pt>
                <c:pt idx="313">
                  <c:v>2.46</c:v>
                </c:pt>
                <c:pt idx="314">
                  <c:v>0.14000000000000001</c:v>
                </c:pt>
                <c:pt idx="315">
                  <c:v>0.06</c:v>
                </c:pt>
                <c:pt idx="316">
                  <c:v>0.97</c:v>
                </c:pt>
                <c:pt idx="317">
                  <c:v>0.25</c:v>
                </c:pt>
                <c:pt idx="318">
                  <c:v>2.46</c:v>
                </c:pt>
                <c:pt idx="319">
                  <c:v>6</c:v>
                </c:pt>
                <c:pt idx="320">
                  <c:v>2.46</c:v>
                </c:pt>
                <c:pt idx="321">
                  <c:v>2.46</c:v>
                </c:pt>
                <c:pt idx="322">
                  <c:v>25.89</c:v>
                </c:pt>
                <c:pt idx="323">
                  <c:v>103.41</c:v>
                </c:pt>
                <c:pt idx="324">
                  <c:v>0</c:v>
                </c:pt>
                <c:pt idx="325">
                  <c:v>3.97</c:v>
                </c:pt>
                <c:pt idx="326">
                  <c:v>6.74</c:v>
                </c:pt>
                <c:pt idx="327">
                  <c:v>237.28</c:v>
                </c:pt>
                <c:pt idx="328">
                  <c:v>2.46</c:v>
                </c:pt>
                <c:pt idx="329">
                  <c:v>45.29</c:v>
                </c:pt>
                <c:pt idx="330">
                  <c:v>80.069999999999993</c:v>
                </c:pt>
                <c:pt idx="331">
                  <c:v>0.26</c:v>
                </c:pt>
                <c:pt idx="332">
                  <c:v>0</c:v>
                </c:pt>
                <c:pt idx="333">
                  <c:v>5.13</c:v>
                </c:pt>
                <c:pt idx="334">
                  <c:v>21.38</c:v>
                </c:pt>
                <c:pt idx="335">
                  <c:v>0.35</c:v>
                </c:pt>
                <c:pt idx="336">
                  <c:v>0.59</c:v>
                </c:pt>
                <c:pt idx="337">
                  <c:v>13.1</c:v>
                </c:pt>
                <c:pt idx="338">
                  <c:v>2.46</c:v>
                </c:pt>
                <c:pt idx="339">
                  <c:v>2.29</c:v>
                </c:pt>
                <c:pt idx="340">
                  <c:v>3.35</c:v>
                </c:pt>
                <c:pt idx="341">
                  <c:v>2.46</c:v>
                </c:pt>
                <c:pt idx="342">
                  <c:v>1.94</c:v>
                </c:pt>
                <c:pt idx="343">
                  <c:v>0.03</c:v>
                </c:pt>
                <c:pt idx="344">
                  <c:v>0.02</c:v>
                </c:pt>
                <c:pt idx="345">
                  <c:v>0.08</c:v>
                </c:pt>
                <c:pt idx="346">
                  <c:v>7.6</c:v>
                </c:pt>
                <c:pt idx="347">
                  <c:v>21.59</c:v>
                </c:pt>
                <c:pt idx="348">
                  <c:v>0.21</c:v>
                </c:pt>
                <c:pt idx="349">
                  <c:v>67.540000000000006</c:v>
                </c:pt>
                <c:pt idx="350">
                  <c:v>2.46</c:v>
                </c:pt>
                <c:pt idx="351">
                  <c:v>139.85</c:v>
                </c:pt>
                <c:pt idx="352">
                  <c:v>7.44</c:v>
                </c:pt>
                <c:pt idx="353">
                  <c:v>2.46</c:v>
                </c:pt>
                <c:pt idx="354">
                  <c:v>2.42</c:v>
                </c:pt>
                <c:pt idx="355">
                  <c:v>148.81</c:v>
                </c:pt>
                <c:pt idx="356">
                  <c:v>2.46</c:v>
                </c:pt>
                <c:pt idx="357">
                  <c:v>0.01</c:v>
                </c:pt>
                <c:pt idx="358">
                  <c:v>0.05</c:v>
                </c:pt>
                <c:pt idx="359">
                  <c:v>2.46</c:v>
                </c:pt>
                <c:pt idx="360">
                  <c:v>0.01</c:v>
                </c:pt>
                <c:pt idx="361">
                  <c:v>0.61</c:v>
                </c:pt>
                <c:pt idx="362">
                  <c:v>2.46</c:v>
                </c:pt>
                <c:pt idx="363">
                  <c:v>1.07</c:v>
                </c:pt>
                <c:pt idx="364">
                  <c:v>0.69</c:v>
                </c:pt>
                <c:pt idx="365">
                  <c:v>0.08</c:v>
                </c:pt>
                <c:pt idx="366">
                  <c:v>0.01</c:v>
                </c:pt>
                <c:pt idx="367">
                  <c:v>0.05</c:v>
                </c:pt>
                <c:pt idx="368">
                  <c:v>1.06</c:v>
                </c:pt>
                <c:pt idx="369">
                  <c:v>0.28000000000000003</c:v>
                </c:pt>
                <c:pt idx="370">
                  <c:v>2.46</c:v>
                </c:pt>
                <c:pt idx="371">
                  <c:v>0</c:v>
                </c:pt>
                <c:pt idx="372">
                  <c:v>0.71</c:v>
                </c:pt>
                <c:pt idx="373">
                  <c:v>1.35</c:v>
                </c:pt>
                <c:pt idx="374">
                  <c:v>0.15</c:v>
                </c:pt>
                <c:pt idx="375">
                  <c:v>57.01</c:v>
                </c:pt>
                <c:pt idx="376">
                  <c:v>0.25</c:v>
                </c:pt>
                <c:pt idx="377">
                  <c:v>0.15</c:v>
                </c:pt>
                <c:pt idx="378">
                  <c:v>2.46</c:v>
                </c:pt>
                <c:pt idx="379">
                  <c:v>0.01</c:v>
                </c:pt>
                <c:pt idx="380">
                  <c:v>15.02</c:v>
                </c:pt>
                <c:pt idx="381">
                  <c:v>0.1</c:v>
                </c:pt>
                <c:pt idx="382">
                  <c:v>0.28999999999999998</c:v>
                </c:pt>
                <c:pt idx="383">
                  <c:v>0.02</c:v>
                </c:pt>
                <c:pt idx="384">
                  <c:v>7.0000000000000007E-2</c:v>
                </c:pt>
                <c:pt idx="385">
                  <c:v>2.46</c:v>
                </c:pt>
                <c:pt idx="386">
                  <c:v>0.09</c:v>
                </c:pt>
                <c:pt idx="387">
                  <c:v>0.11</c:v>
                </c:pt>
                <c:pt idx="388">
                  <c:v>2.46</c:v>
                </c:pt>
                <c:pt idx="389">
                  <c:v>0.06</c:v>
                </c:pt>
                <c:pt idx="390">
                  <c:v>0.26</c:v>
                </c:pt>
                <c:pt idx="391">
                  <c:v>4.0599999999999996</c:v>
                </c:pt>
                <c:pt idx="392">
                  <c:v>0.03</c:v>
                </c:pt>
                <c:pt idx="393">
                  <c:v>2.46</c:v>
                </c:pt>
                <c:pt idx="394">
                  <c:v>0.02</c:v>
                </c:pt>
                <c:pt idx="395">
                  <c:v>2.46</c:v>
                </c:pt>
                <c:pt idx="396">
                  <c:v>2.46</c:v>
                </c:pt>
                <c:pt idx="397">
                  <c:v>12.5</c:v>
                </c:pt>
                <c:pt idx="398">
                  <c:v>2.46</c:v>
                </c:pt>
                <c:pt idx="399">
                  <c:v>2.46</c:v>
                </c:pt>
                <c:pt idx="400">
                  <c:v>46</c:v>
                </c:pt>
                <c:pt idx="401">
                  <c:v>71.63</c:v>
                </c:pt>
                <c:pt idx="402">
                  <c:v>32.17</c:v>
                </c:pt>
                <c:pt idx="403">
                  <c:v>2.46</c:v>
                </c:pt>
                <c:pt idx="404">
                  <c:v>17.41</c:v>
                </c:pt>
                <c:pt idx="405">
                  <c:v>19.7</c:v>
                </c:pt>
                <c:pt idx="406">
                  <c:v>2.46</c:v>
                </c:pt>
                <c:pt idx="407">
                  <c:v>89.02</c:v>
                </c:pt>
                <c:pt idx="408">
                  <c:v>26.63</c:v>
                </c:pt>
                <c:pt idx="409">
                  <c:v>409.01</c:v>
                </c:pt>
                <c:pt idx="410">
                  <c:v>55.7</c:v>
                </c:pt>
                <c:pt idx="411">
                  <c:v>71.349999999999994</c:v>
                </c:pt>
                <c:pt idx="412">
                  <c:v>17.62</c:v>
                </c:pt>
                <c:pt idx="413">
                  <c:v>25.68</c:v>
                </c:pt>
                <c:pt idx="414">
                  <c:v>2.46</c:v>
                </c:pt>
                <c:pt idx="415">
                  <c:v>0.06</c:v>
                </c:pt>
                <c:pt idx="416">
                  <c:v>0.03</c:v>
                </c:pt>
                <c:pt idx="417">
                  <c:v>10.88</c:v>
                </c:pt>
                <c:pt idx="418">
                  <c:v>64.47</c:v>
                </c:pt>
                <c:pt idx="419">
                  <c:v>0</c:v>
                </c:pt>
                <c:pt idx="420">
                  <c:v>2.46</c:v>
                </c:pt>
                <c:pt idx="421">
                  <c:v>187.17</c:v>
                </c:pt>
                <c:pt idx="422">
                  <c:v>0.44</c:v>
                </c:pt>
                <c:pt idx="423">
                  <c:v>0.04</c:v>
                </c:pt>
                <c:pt idx="424">
                  <c:v>18</c:v>
                </c:pt>
                <c:pt idx="425">
                  <c:v>268.49</c:v>
                </c:pt>
                <c:pt idx="426">
                  <c:v>159.58000000000001</c:v>
                </c:pt>
                <c:pt idx="427">
                  <c:v>0.78</c:v>
                </c:pt>
                <c:pt idx="428">
                  <c:v>0.36</c:v>
                </c:pt>
                <c:pt idx="429">
                  <c:v>144.84</c:v>
                </c:pt>
                <c:pt idx="430">
                  <c:v>21.78</c:v>
                </c:pt>
                <c:pt idx="431">
                  <c:v>49.88</c:v>
                </c:pt>
                <c:pt idx="432">
                  <c:v>19.45</c:v>
                </c:pt>
                <c:pt idx="433">
                  <c:v>0.02</c:v>
                </c:pt>
                <c:pt idx="434">
                  <c:v>33.619999999999997</c:v>
                </c:pt>
                <c:pt idx="435">
                  <c:v>2.3199999999999998</c:v>
                </c:pt>
                <c:pt idx="436">
                  <c:v>93.05</c:v>
                </c:pt>
                <c:pt idx="437">
                  <c:v>202.36</c:v>
                </c:pt>
                <c:pt idx="438">
                  <c:v>60.52</c:v>
                </c:pt>
                <c:pt idx="439">
                  <c:v>117.72</c:v>
                </c:pt>
                <c:pt idx="440">
                  <c:v>2.46</c:v>
                </c:pt>
                <c:pt idx="441">
                  <c:v>2.27</c:v>
                </c:pt>
                <c:pt idx="442">
                  <c:v>31.17</c:v>
                </c:pt>
                <c:pt idx="443">
                  <c:v>0.39</c:v>
                </c:pt>
                <c:pt idx="444">
                  <c:v>67.349999999999994</c:v>
                </c:pt>
                <c:pt idx="445">
                  <c:v>101.8</c:v>
                </c:pt>
                <c:pt idx="446">
                  <c:v>16.13</c:v>
                </c:pt>
                <c:pt idx="447">
                  <c:v>0.13</c:v>
                </c:pt>
                <c:pt idx="448">
                  <c:v>2.2000000000000002</c:v>
                </c:pt>
                <c:pt idx="449">
                  <c:v>0.04</c:v>
                </c:pt>
                <c:pt idx="450">
                  <c:v>83.03</c:v>
                </c:pt>
                <c:pt idx="451">
                  <c:v>2.46</c:v>
                </c:pt>
                <c:pt idx="452">
                  <c:v>5.84</c:v>
                </c:pt>
                <c:pt idx="453">
                  <c:v>228.78</c:v>
                </c:pt>
                <c:pt idx="454">
                  <c:v>0.65</c:v>
                </c:pt>
                <c:pt idx="455">
                  <c:v>61</c:v>
                </c:pt>
                <c:pt idx="456">
                  <c:v>10.49</c:v>
                </c:pt>
                <c:pt idx="457">
                  <c:v>0.01</c:v>
                </c:pt>
                <c:pt idx="458">
                  <c:v>0.09</c:v>
                </c:pt>
                <c:pt idx="459">
                  <c:v>2.46</c:v>
                </c:pt>
                <c:pt idx="460">
                  <c:v>0.32</c:v>
                </c:pt>
                <c:pt idx="461">
                  <c:v>2.46</c:v>
                </c:pt>
                <c:pt idx="462">
                  <c:v>53.26</c:v>
                </c:pt>
                <c:pt idx="463">
                  <c:v>0.03</c:v>
                </c:pt>
                <c:pt idx="464">
                  <c:v>2.46</c:v>
                </c:pt>
                <c:pt idx="465">
                  <c:v>6.85</c:v>
                </c:pt>
                <c:pt idx="466">
                  <c:v>0.02</c:v>
                </c:pt>
                <c:pt idx="467">
                  <c:v>0.06</c:v>
                </c:pt>
                <c:pt idx="468">
                  <c:v>11.33</c:v>
                </c:pt>
                <c:pt idx="469">
                  <c:v>83.59</c:v>
                </c:pt>
                <c:pt idx="470">
                  <c:v>68.56</c:v>
                </c:pt>
                <c:pt idx="471">
                  <c:v>16.100000000000001</c:v>
                </c:pt>
                <c:pt idx="472">
                  <c:v>107.1</c:v>
                </c:pt>
                <c:pt idx="473">
                  <c:v>21.5</c:v>
                </c:pt>
                <c:pt idx="474">
                  <c:v>274.08999999999997</c:v>
                </c:pt>
                <c:pt idx="475">
                  <c:v>2.46</c:v>
                </c:pt>
                <c:pt idx="476">
                  <c:v>73.099999999999994</c:v>
                </c:pt>
                <c:pt idx="477">
                  <c:v>0.08</c:v>
                </c:pt>
                <c:pt idx="478">
                  <c:v>2.46</c:v>
                </c:pt>
                <c:pt idx="479">
                  <c:v>42.03</c:v>
                </c:pt>
                <c:pt idx="480">
                  <c:v>19.32</c:v>
                </c:pt>
                <c:pt idx="481">
                  <c:v>1.01</c:v>
                </c:pt>
                <c:pt idx="482">
                  <c:v>0.04</c:v>
                </c:pt>
                <c:pt idx="483">
                  <c:v>2.46</c:v>
                </c:pt>
                <c:pt idx="484">
                  <c:v>2.46</c:v>
                </c:pt>
                <c:pt idx="485">
                  <c:v>132.56</c:v>
                </c:pt>
                <c:pt idx="486">
                  <c:v>36.92</c:v>
                </c:pt>
                <c:pt idx="487">
                  <c:v>2.46</c:v>
                </c:pt>
                <c:pt idx="488">
                  <c:v>0.09</c:v>
                </c:pt>
                <c:pt idx="489">
                  <c:v>116.63</c:v>
                </c:pt>
                <c:pt idx="490">
                  <c:v>2.11</c:v>
                </c:pt>
                <c:pt idx="491">
                  <c:v>1.33</c:v>
                </c:pt>
                <c:pt idx="492">
                  <c:v>0.15</c:v>
                </c:pt>
                <c:pt idx="493">
                  <c:v>8.32</c:v>
                </c:pt>
                <c:pt idx="494">
                  <c:v>89.3</c:v>
                </c:pt>
                <c:pt idx="495">
                  <c:v>424.67</c:v>
                </c:pt>
                <c:pt idx="496">
                  <c:v>2.46</c:v>
                </c:pt>
                <c:pt idx="497">
                  <c:v>56.67</c:v>
                </c:pt>
                <c:pt idx="498">
                  <c:v>116.9</c:v>
                </c:pt>
                <c:pt idx="499">
                  <c:v>37.74</c:v>
                </c:pt>
                <c:pt idx="500">
                  <c:v>27.3</c:v>
                </c:pt>
                <c:pt idx="501">
                  <c:v>61.74</c:v>
                </c:pt>
                <c:pt idx="502">
                  <c:v>25.13</c:v>
                </c:pt>
                <c:pt idx="503">
                  <c:v>0.09</c:v>
                </c:pt>
                <c:pt idx="504">
                  <c:v>2.46</c:v>
                </c:pt>
                <c:pt idx="505">
                  <c:v>400.74</c:v>
                </c:pt>
                <c:pt idx="506">
                  <c:v>25.57</c:v>
                </c:pt>
                <c:pt idx="507">
                  <c:v>0.33</c:v>
                </c:pt>
                <c:pt idx="508">
                  <c:v>0.49</c:v>
                </c:pt>
                <c:pt idx="509">
                  <c:v>1.01</c:v>
                </c:pt>
                <c:pt idx="510">
                  <c:v>2.46</c:v>
                </c:pt>
                <c:pt idx="511">
                  <c:v>35.270000000000003</c:v>
                </c:pt>
                <c:pt idx="512">
                  <c:v>24.48</c:v>
                </c:pt>
                <c:pt idx="513">
                  <c:v>0.02</c:v>
                </c:pt>
                <c:pt idx="514">
                  <c:v>15.32</c:v>
                </c:pt>
                <c:pt idx="515">
                  <c:v>1</c:v>
                </c:pt>
                <c:pt idx="516">
                  <c:v>0.17</c:v>
                </c:pt>
                <c:pt idx="517">
                  <c:v>16.97</c:v>
                </c:pt>
                <c:pt idx="518">
                  <c:v>26.95</c:v>
                </c:pt>
                <c:pt idx="519">
                  <c:v>29.81</c:v>
                </c:pt>
                <c:pt idx="520">
                  <c:v>102</c:v>
                </c:pt>
                <c:pt idx="521">
                  <c:v>234.91</c:v>
                </c:pt>
                <c:pt idx="522">
                  <c:v>2.46</c:v>
                </c:pt>
                <c:pt idx="523">
                  <c:v>0.14000000000000001</c:v>
                </c:pt>
                <c:pt idx="524">
                  <c:v>63.91</c:v>
                </c:pt>
                <c:pt idx="525">
                  <c:v>20.16</c:v>
                </c:pt>
                <c:pt idx="526">
                  <c:v>2.96</c:v>
                </c:pt>
                <c:pt idx="527">
                  <c:v>0.01</c:v>
                </c:pt>
                <c:pt idx="528">
                  <c:v>0.04</c:v>
                </c:pt>
                <c:pt idx="529">
                  <c:v>4.95</c:v>
                </c:pt>
                <c:pt idx="530">
                  <c:v>0.03</c:v>
                </c:pt>
                <c:pt idx="531">
                  <c:v>0</c:v>
                </c:pt>
                <c:pt idx="532">
                  <c:v>0.15</c:v>
                </c:pt>
                <c:pt idx="533">
                  <c:v>291.05</c:v>
                </c:pt>
                <c:pt idx="534">
                  <c:v>2.46</c:v>
                </c:pt>
                <c:pt idx="535">
                  <c:v>0.06</c:v>
                </c:pt>
                <c:pt idx="536">
                  <c:v>0.02</c:v>
                </c:pt>
                <c:pt idx="537">
                  <c:v>2.19</c:v>
                </c:pt>
                <c:pt idx="538">
                  <c:v>1.03</c:v>
                </c:pt>
                <c:pt idx="539">
                  <c:v>150.12</c:v>
                </c:pt>
                <c:pt idx="540">
                  <c:v>0.05</c:v>
                </c:pt>
                <c:pt idx="541">
                  <c:v>2.46</c:v>
                </c:pt>
                <c:pt idx="542">
                  <c:v>0.02</c:v>
                </c:pt>
                <c:pt idx="543">
                  <c:v>6.26</c:v>
                </c:pt>
                <c:pt idx="544">
                  <c:v>4.5599999999999996</c:v>
                </c:pt>
                <c:pt idx="545">
                  <c:v>2.46</c:v>
                </c:pt>
                <c:pt idx="546">
                  <c:v>17.54</c:v>
                </c:pt>
                <c:pt idx="547">
                  <c:v>2.46</c:v>
                </c:pt>
                <c:pt idx="548">
                  <c:v>3.25</c:v>
                </c:pt>
                <c:pt idx="549">
                  <c:v>0.14000000000000001</c:v>
                </c:pt>
                <c:pt idx="550">
                  <c:v>2.15</c:v>
                </c:pt>
                <c:pt idx="551">
                  <c:v>0.2</c:v>
                </c:pt>
                <c:pt idx="552">
                  <c:v>2.46</c:v>
                </c:pt>
                <c:pt idx="553">
                  <c:v>2.46</c:v>
                </c:pt>
                <c:pt idx="554">
                  <c:v>0.02</c:v>
                </c:pt>
                <c:pt idx="555">
                  <c:v>2.46</c:v>
                </c:pt>
                <c:pt idx="556">
                  <c:v>0.09</c:v>
                </c:pt>
                <c:pt idx="557">
                  <c:v>0.38</c:v>
                </c:pt>
                <c:pt idx="558">
                  <c:v>0.09</c:v>
                </c:pt>
                <c:pt idx="559">
                  <c:v>2.46</c:v>
                </c:pt>
                <c:pt idx="560">
                  <c:v>2.0099999999999998</c:v>
                </c:pt>
                <c:pt idx="561">
                  <c:v>2.2200000000000002</c:v>
                </c:pt>
                <c:pt idx="562">
                  <c:v>1.23</c:v>
                </c:pt>
                <c:pt idx="563">
                  <c:v>0.04</c:v>
                </c:pt>
                <c:pt idx="564">
                  <c:v>2.46</c:v>
                </c:pt>
                <c:pt idx="565">
                  <c:v>4.4400000000000004</c:v>
                </c:pt>
                <c:pt idx="566">
                  <c:v>2.46</c:v>
                </c:pt>
                <c:pt idx="567">
                  <c:v>2.46</c:v>
                </c:pt>
                <c:pt idx="568">
                  <c:v>83.3</c:v>
                </c:pt>
                <c:pt idx="569">
                  <c:v>0.65</c:v>
                </c:pt>
                <c:pt idx="570">
                  <c:v>2.46</c:v>
                </c:pt>
                <c:pt idx="571">
                  <c:v>2.46</c:v>
                </c:pt>
                <c:pt idx="572">
                  <c:v>1.36</c:v>
                </c:pt>
                <c:pt idx="573">
                  <c:v>0.41</c:v>
                </c:pt>
                <c:pt idx="574">
                  <c:v>7.02</c:v>
                </c:pt>
                <c:pt idx="575">
                  <c:v>125.1</c:v>
                </c:pt>
                <c:pt idx="576">
                  <c:v>0.26</c:v>
                </c:pt>
                <c:pt idx="577">
                  <c:v>0</c:v>
                </c:pt>
                <c:pt idx="578">
                  <c:v>0.01</c:v>
                </c:pt>
                <c:pt idx="579">
                  <c:v>0.02</c:v>
                </c:pt>
                <c:pt idx="580">
                  <c:v>2.46</c:v>
                </c:pt>
                <c:pt idx="581">
                  <c:v>0.05</c:v>
                </c:pt>
                <c:pt idx="582">
                  <c:v>1.01</c:v>
                </c:pt>
                <c:pt idx="583">
                  <c:v>0.52</c:v>
                </c:pt>
                <c:pt idx="584">
                  <c:v>2.46</c:v>
                </c:pt>
                <c:pt idx="585">
                  <c:v>0.04</c:v>
                </c:pt>
                <c:pt idx="586">
                  <c:v>0.37</c:v>
                </c:pt>
                <c:pt idx="587">
                  <c:v>2.46</c:v>
                </c:pt>
                <c:pt idx="588">
                  <c:v>2.46</c:v>
                </c:pt>
                <c:pt idx="589">
                  <c:v>2.46</c:v>
                </c:pt>
                <c:pt idx="590">
                  <c:v>2.46</c:v>
                </c:pt>
                <c:pt idx="591">
                  <c:v>44.47</c:v>
                </c:pt>
                <c:pt idx="592">
                  <c:v>38.36</c:v>
                </c:pt>
                <c:pt idx="593">
                  <c:v>2.46</c:v>
                </c:pt>
                <c:pt idx="594">
                  <c:v>0.28000000000000003</c:v>
                </c:pt>
                <c:pt idx="595">
                  <c:v>27.7</c:v>
                </c:pt>
                <c:pt idx="596">
                  <c:v>0.02</c:v>
                </c:pt>
                <c:pt idx="597">
                  <c:v>0.2</c:v>
                </c:pt>
                <c:pt idx="598">
                  <c:v>0.01</c:v>
                </c:pt>
                <c:pt idx="599">
                  <c:v>2.61</c:v>
                </c:pt>
                <c:pt idx="600">
                  <c:v>0.51</c:v>
                </c:pt>
                <c:pt idx="601">
                  <c:v>10.73</c:v>
                </c:pt>
                <c:pt idx="602">
                  <c:v>2.46</c:v>
                </c:pt>
                <c:pt idx="603">
                  <c:v>2.46</c:v>
                </c:pt>
                <c:pt idx="604">
                  <c:v>0.16</c:v>
                </c:pt>
                <c:pt idx="605">
                  <c:v>0.31</c:v>
                </c:pt>
                <c:pt idx="606">
                  <c:v>0.03</c:v>
                </c:pt>
                <c:pt idx="607">
                  <c:v>37.71</c:v>
                </c:pt>
                <c:pt idx="608">
                  <c:v>0.01</c:v>
                </c:pt>
                <c:pt idx="609">
                  <c:v>2.17</c:v>
                </c:pt>
                <c:pt idx="610">
                  <c:v>16.170000000000002</c:v>
                </c:pt>
                <c:pt idx="611">
                  <c:v>3.41</c:v>
                </c:pt>
                <c:pt idx="612">
                  <c:v>1.02</c:v>
                </c:pt>
                <c:pt idx="613">
                  <c:v>2.46</c:v>
                </c:pt>
                <c:pt idx="614">
                  <c:v>21.49</c:v>
                </c:pt>
                <c:pt idx="615">
                  <c:v>2.46</c:v>
                </c:pt>
                <c:pt idx="616">
                  <c:v>2.46</c:v>
                </c:pt>
                <c:pt idx="617">
                  <c:v>0.09</c:v>
                </c:pt>
                <c:pt idx="618">
                  <c:v>33.409999999999997</c:v>
                </c:pt>
                <c:pt idx="619">
                  <c:v>0</c:v>
                </c:pt>
                <c:pt idx="620">
                  <c:v>2.46</c:v>
                </c:pt>
                <c:pt idx="621">
                  <c:v>58.24</c:v>
                </c:pt>
                <c:pt idx="622">
                  <c:v>0.22</c:v>
                </c:pt>
                <c:pt idx="623">
                  <c:v>2.46</c:v>
                </c:pt>
                <c:pt idx="624">
                  <c:v>0.25</c:v>
                </c:pt>
                <c:pt idx="625">
                  <c:v>0.42</c:v>
                </c:pt>
                <c:pt idx="626">
                  <c:v>0.13</c:v>
                </c:pt>
                <c:pt idx="627">
                  <c:v>2.46</c:v>
                </c:pt>
                <c:pt idx="628">
                  <c:v>0.05</c:v>
                </c:pt>
                <c:pt idx="629">
                  <c:v>13.36</c:v>
                </c:pt>
                <c:pt idx="630">
                  <c:v>0.05</c:v>
                </c:pt>
                <c:pt idx="631">
                  <c:v>2.46</c:v>
                </c:pt>
                <c:pt idx="632">
                  <c:v>0.16</c:v>
                </c:pt>
                <c:pt idx="633">
                  <c:v>7.0000000000000007E-2</c:v>
                </c:pt>
                <c:pt idx="634">
                  <c:v>238.68</c:v>
                </c:pt>
                <c:pt idx="635">
                  <c:v>2.46</c:v>
                </c:pt>
                <c:pt idx="636">
                  <c:v>71.02</c:v>
                </c:pt>
                <c:pt idx="637">
                  <c:v>1.88</c:v>
                </c:pt>
                <c:pt idx="638">
                  <c:v>90.29</c:v>
                </c:pt>
                <c:pt idx="639">
                  <c:v>0.01</c:v>
                </c:pt>
                <c:pt idx="640">
                  <c:v>2.46</c:v>
                </c:pt>
                <c:pt idx="641">
                  <c:v>75.61</c:v>
                </c:pt>
                <c:pt idx="642">
                  <c:v>0.05</c:v>
                </c:pt>
                <c:pt idx="643">
                  <c:v>0.01</c:v>
                </c:pt>
                <c:pt idx="644">
                  <c:v>2.46</c:v>
                </c:pt>
                <c:pt idx="645">
                  <c:v>0.32</c:v>
                </c:pt>
                <c:pt idx="646">
                  <c:v>0.1</c:v>
                </c:pt>
                <c:pt idx="647">
                  <c:v>0.03</c:v>
                </c:pt>
                <c:pt idx="648">
                  <c:v>2.46</c:v>
                </c:pt>
                <c:pt idx="649">
                  <c:v>0.79</c:v>
                </c:pt>
                <c:pt idx="650">
                  <c:v>0.33</c:v>
                </c:pt>
                <c:pt idx="651">
                  <c:v>2.46</c:v>
                </c:pt>
                <c:pt idx="652">
                  <c:v>30.66</c:v>
                </c:pt>
                <c:pt idx="653">
                  <c:v>1.51</c:v>
                </c:pt>
                <c:pt idx="654">
                  <c:v>3.83</c:v>
                </c:pt>
                <c:pt idx="655">
                  <c:v>137.4</c:v>
                </c:pt>
                <c:pt idx="656">
                  <c:v>2.46</c:v>
                </c:pt>
                <c:pt idx="657">
                  <c:v>2.46</c:v>
                </c:pt>
                <c:pt idx="658">
                  <c:v>258.37</c:v>
                </c:pt>
                <c:pt idx="659">
                  <c:v>2.46</c:v>
                </c:pt>
                <c:pt idx="660">
                  <c:v>0.27</c:v>
                </c:pt>
                <c:pt idx="661">
                  <c:v>0.28999999999999998</c:v>
                </c:pt>
                <c:pt idx="662">
                  <c:v>0.01</c:v>
                </c:pt>
                <c:pt idx="663">
                  <c:v>0.05</c:v>
                </c:pt>
                <c:pt idx="664">
                  <c:v>2.46</c:v>
                </c:pt>
                <c:pt idx="665">
                  <c:v>13.24</c:v>
                </c:pt>
                <c:pt idx="666">
                  <c:v>2.46</c:v>
                </c:pt>
                <c:pt idx="667">
                  <c:v>2.46</c:v>
                </c:pt>
                <c:pt idx="668">
                  <c:v>0.19</c:v>
                </c:pt>
                <c:pt idx="669">
                  <c:v>0.25</c:v>
                </c:pt>
                <c:pt idx="670">
                  <c:v>2.46</c:v>
                </c:pt>
                <c:pt idx="671">
                  <c:v>0</c:v>
                </c:pt>
                <c:pt idx="672">
                  <c:v>2.46</c:v>
                </c:pt>
                <c:pt idx="673">
                  <c:v>2.46</c:v>
                </c:pt>
                <c:pt idx="674">
                  <c:v>1.36</c:v>
                </c:pt>
                <c:pt idx="675">
                  <c:v>0.57999999999999996</c:v>
                </c:pt>
                <c:pt idx="676">
                  <c:v>2.46</c:v>
                </c:pt>
                <c:pt idx="677">
                  <c:v>0.3</c:v>
                </c:pt>
                <c:pt idx="678">
                  <c:v>2.46</c:v>
                </c:pt>
                <c:pt idx="679">
                  <c:v>2.46</c:v>
                </c:pt>
                <c:pt idx="680">
                  <c:v>2.46</c:v>
                </c:pt>
                <c:pt idx="681">
                  <c:v>0.02</c:v>
                </c:pt>
                <c:pt idx="682">
                  <c:v>0.13</c:v>
                </c:pt>
                <c:pt idx="683">
                  <c:v>0</c:v>
                </c:pt>
                <c:pt idx="684">
                  <c:v>17.649999999999999</c:v>
                </c:pt>
                <c:pt idx="685">
                  <c:v>2.46</c:v>
                </c:pt>
                <c:pt idx="686">
                  <c:v>2.46</c:v>
                </c:pt>
                <c:pt idx="687">
                  <c:v>2.85</c:v>
                </c:pt>
                <c:pt idx="688">
                  <c:v>0.14000000000000001</c:v>
                </c:pt>
                <c:pt idx="689">
                  <c:v>0</c:v>
                </c:pt>
                <c:pt idx="690">
                  <c:v>2.46</c:v>
                </c:pt>
                <c:pt idx="691">
                  <c:v>2.46</c:v>
                </c:pt>
                <c:pt idx="692">
                  <c:v>1.08</c:v>
                </c:pt>
                <c:pt idx="693">
                  <c:v>0.11</c:v>
                </c:pt>
                <c:pt idx="694">
                  <c:v>0.01</c:v>
                </c:pt>
                <c:pt idx="695">
                  <c:v>0</c:v>
                </c:pt>
                <c:pt idx="696">
                  <c:v>0.75</c:v>
                </c:pt>
                <c:pt idx="697">
                  <c:v>0.06</c:v>
                </c:pt>
                <c:pt idx="698">
                  <c:v>0.31</c:v>
                </c:pt>
                <c:pt idx="699">
                  <c:v>2.46</c:v>
                </c:pt>
                <c:pt idx="700">
                  <c:v>2.46</c:v>
                </c:pt>
                <c:pt idx="701">
                  <c:v>7.0000000000000007E-2</c:v>
                </c:pt>
                <c:pt idx="702">
                  <c:v>0.05</c:v>
                </c:pt>
                <c:pt idx="703">
                  <c:v>8.83</c:v>
                </c:pt>
                <c:pt idx="704">
                  <c:v>0.01</c:v>
                </c:pt>
                <c:pt idx="705">
                  <c:v>2.46</c:v>
                </c:pt>
                <c:pt idx="706">
                  <c:v>98.93</c:v>
                </c:pt>
                <c:pt idx="707">
                  <c:v>2.46</c:v>
                </c:pt>
                <c:pt idx="708">
                  <c:v>2.46</c:v>
                </c:pt>
                <c:pt idx="709">
                  <c:v>2.46</c:v>
                </c:pt>
                <c:pt idx="710">
                  <c:v>19.079999999999998</c:v>
                </c:pt>
                <c:pt idx="711">
                  <c:v>59.1</c:v>
                </c:pt>
                <c:pt idx="712">
                  <c:v>106.58</c:v>
                </c:pt>
                <c:pt idx="713">
                  <c:v>0.01</c:v>
                </c:pt>
                <c:pt idx="714">
                  <c:v>2.46</c:v>
                </c:pt>
                <c:pt idx="715">
                  <c:v>7.0000000000000007E-2</c:v>
                </c:pt>
                <c:pt idx="716">
                  <c:v>3.32</c:v>
                </c:pt>
                <c:pt idx="717">
                  <c:v>0.72</c:v>
                </c:pt>
                <c:pt idx="718">
                  <c:v>0.05</c:v>
                </c:pt>
                <c:pt idx="719">
                  <c:v>2.46</c:v>
                </c:pt>
                <c:pt idx="720">
                  <c:v>58.61</c:v>
                </c:pt>
                <c:pt idx="721">
                  <c:v>2.46</c:v>
                </c:pt>
                <c:pt idx="722">
                  <c:v>78.03</c:v>
                </c:pt>
                <c:pt idx="723">
                  <c:v>23.22</c:v>
                </c:pt>
                <c:pt idx="724">
                  <c:v>30.7</c:v>
                </c:pt>
                <c:pt idx="725">
                  <c:v>0.04</c:v>
                </c:pt>
                <c:pt idx="726">
                  <c:v>18.850000000000001</c:v>
                </c:pt>
                <c:pt idx="727">
                  <c:v>0.01</c:v>
                </c:pt>
                <c:pt idx="728">
                  <c:v>50.58</c:v>
                </c:pt>
                <c:pt idx="729">
                  <c:v>7.79</c:v>
                </c:pt>
                <c:pt idx="730">
                  <c:v>2.46</c:v>
                </c:pt>
                <c:pt idx="731">
                  <c:v>2.46</c:v>
                </c:pt>
                <c:pt idx="732">
                  <c:v>0.02</c:v>
                </c:pt>
                <c:pt idx="733">
                  <c:v>2.46</c:v>
                </c:pt>
                <c:pt idx="734">
                  <c:v>23.39</c:v>
                </c:pt>
                <c:pt idx="735">
                  <c:v>92.17</c:v>
                </c:pt>
                <c:pt idx="736">
                  <c:v>100.21</c:v>
                </c:pt>
                <c:pt idx="737">
                  <c:v>101.2</c:v>
                </c:pt>
                <c:pt idx="738">
                  <c:v>150.94999999999999</c:v>
                </c:pt>
                <c:pt idx="739">
                  <c:v>2.46</c:v>
                </c:pt>
                <c:pt idx="740">
                  <c:v>5.55</c:v>
                </c:pt>
                <c:pt idx="741">
                  <c:v>28.83</c:v>
                </c:pt>
                <c:pt idx="742">
                  <c:v>0.06</c:v>
                </c:pt>
                <c:pt idx="743">
                  <c:v>10.51</c:v>
                </c:pt>
                <c:pt idx="744">
                  <c:v>0.21</c:v>
                </c:pt>
                <c:pt idx="745">
                  <c:v>233.92</c:v>
                </c:pt>
                <c:pt idx="746">
                  <c:v>43.58</c:v>
                </c:pt>
                <c:pt idx="747">
                  <c:v>23.02</c:v>
                </c:pt>
                <c:pt idx="748">
                  <c:v>124.87</c:v>
                </c:pt>
                <c:pt idx="749">
                  <c:v>83.91</c:v>
                </c:pt>
                <c:pt idx="750">
                  <c:v>202.85</c:v>
                </c:pt>
                <c:pt idx="751">
                  <c:v>200.68</c:v>
                </c:pt>
                <c:pt idx="752">
                  <c:v>71.959999999999994</c:v>
                </c:pt>
                <c:pt idx="753">
                  <c:v>1.1100000000000001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39.32</c:v>
                </c:pt>
                <c:pt idx="757">
                  <c:v>2.46</c:v>
                </c:pt>
                <c:pt idx="758">
                  <c:v>31.42</c:v>
                </c:pt>
                <c:pt idx="759">
                  <c:v>0.64</c:v>
                </c:pt>
                <c:pt idx="760">
                  <c:v>45.09</c:v>
                </c:pt>
                <c:pt idx="761">
                  <c:v>2.46</c:v>
                </c:pt>
                <c:pt idx="762">
                  <c:v>2.46</c:v>
                </c:pt>
                <c:pt idx="763">
                  <c:v>0.35</c:v>
                </c:pt>
                <c:pt idx="764">
                  <c:v>43.14</c:v>
                </c:pt>
                <c:pt idx="765">
                  <c:v>150.16</c:v>
                </c:pt>
                <c:pt idx="766">
                  <c:v>0.51</c:v>
                </c:pt>
                <c:pt idx="767">
                  <c:v>2.46</c:v>
                </c:pt>
                <c:pt idx="768">
                  <c:v>2.4300000000000002</c:v>
                </c:pt>
                <c:pt idx="769">
                  <c:v>24.98</c:v>
                </c:pt>
                <c:pt idx="770">
                  <c:v>245.44</c:v>
                </c:pt>
                <c:pt idx="771">
                  <c:v>2.46</c:v>
                </c:pt>
                <c:pt idx="772">
                  <c:v>36.450000000000003</c:v>
                </c:pt>
                <c:pt idx="773">
                  <c:v>0.03</c:v>
                </c:pt>
                <c:pt idx="774">
                  <c:v>2.46</c:v>
                </c:pt>
                <c:pt idx="775">
                  <c:v>2.46</c:v>
                </c:pt>
                <c:pt idx="776">
                  <c:v>2.46</c:v>
                </c:pt>
                <c:pt idx="777">
                  <c:v>26.31</c:v>
                </c:pt>
                <c:pt idx="778">
                  <c:v>0.41</c:v>
                </c:pt>
                <c:pt idx="779">
                  <c:v>13.76</c:v>
                </c:pt>
                <c:pt idx="780">
                  <c:v>2.46</c:v>
                </c:pt>
                <c:pt idx="781">
                  <c:v>14</c:v>
                </c:pt>
                <c:pt idx="782">
                  <c:v>0.01</c:v>
                </c:pt>
                <c:pt idx="783">
                  <c:v>208.55</c:v>
                </c:pt>
                <c:pt idx="784">
                  <c:v>47.12</c:v>
                </c:pt>
                <c:pt idx="785">
                  <c:v>2.46</c:v>
                </c:pt>
                <c:pt idx="786">
                  <c:v>50.47</c:v>
                </c:pt>
                <c:pt idx="787">
                  <c:v>0.1</c:v>
                </c:pt>
                <c:pt idx="788">
                  <c:v>0.28000000000000003</c:v>
                </c:pt>
                <c:pt idx="789">
                  <c:v>2.46</c:v>
                </c:pt>
                <c:pt idx="790">
                  <c:v>2.46</c:v>
                </c:pt>
                <c:pt idx="791">
                  <c:v>54.24</c:v>
                </c:pt>
                <c:pt idx="792">
                  <c:v>0.1</c:v>
                </c:pt>
                <c:pt idx="793">
                  <c:v>126.66</c:v>
                </c:pt>
                <c:pt idx="794">
                  <c:v>56.28</c:v>
                </c:pt>
                <c:pt idx="795">
                  <c:v>241.41</c:v>
                </c:pt>
                <c:pt idx="796">
                  <c:v>7.0000000000000007E-2</c:v>
                </c:pt>
                <c:pt idx="797">
                  <c:v>6.37</c:v>
                </c:pt>
                <c:pt idx="798">
                  <c:v>47.03</c:v>
                </c:pt>
                <c:pt idx="799">
                  <c:v>2.46</c:v>
                </c:pt>
                <c:pt idx="800">
                  <c:v>72.69</c:v>
                </c:pt>
                <c:pt idx="801">
                  <c:v>84.27</c:v>
                </c:pt>
                <c:pt idx="802">
                  <c:v>2.46</c:v>
                </c:pt>
                <c:pt idx="803">
                  <c:v>0.01</c:v>
                </c:pt>
                <c:pt idx="804">
                  <c:v>0.56000000000000005</c:v>
                </c:pt>
                <c:pt idx="805">
                  <c:v>44.13</c:v>
                </c:pt>
                <c:pt idx="806">
                  <c:v>0.32</c:v>
                </c:pt>
                <c:pt idx="807">
                  <c:v>2.46</c:v>
                </c:pt>
                <c:pt idx="808">
                  <c:v>34.29</c:v>
                </c:pt>
                <c:pt idx="809">
                  <c:v>2.46</c:v>
                </c:pt>
                <c:pt idx="810">
                  <c:v>0.04</c:v>
                </c:pt>
                <c:pt idx="811">
                  <c:v>102.43</c:v>
                </c:pt>
                <c:pt idx="812">
                  <c:v>10.51</c:v>
                </c:pt>
                <c:pt idx="813">
                  <c:v>0.81</c:v>
                </c:pt>
                <c:pt idx="814">
                  <c:v>2.46</c:v>
                </c:pt>
                <c:pt idx="815">
                  <c:v>17.239999999999998</c:v>
                </c:pt>
                <c:pt idx="816">
                  <c:v>0.01</c:v>
                </c:pt>
                <c:pt idx="817">
                  <c:v>7.0000000000000007E-2</c:v>
                </c:pt>
                <c:pt idx="818">
                  <c:v>85.82</c:v>
                </c:pt>
                <c:pt idx="819">
                  <c:v>2.46</c:v>
                </c:pt>
                <c:pt idx="820">
                  <c:v>0.33</c:v>
                </c:pt>
                <c:pt idx="821">
                  <c:v>167.77</c:v>
                </c:pt>
                <c:pt idx="822">
                  <c:v>21.2</c:v>
                </c:pt>
                <c:pt idx="823">
                  <c:v>101.53</c:v>
                </c:pt>
                <c:pt idx="824">
                  <c:v>0.1</c:v>
                </c:pt>
                <c:pt idx="825">
                  <c:v>0.18</c:v>
                </c:pt>
                <c:pt idx="826">
                  <c:v>1.44</c:v>
                </c:pt>
                <c:pt idx="827">
                  <c:v>2.63</c:v>
                </c:pt>
                <c:pt idx="828">
                  <c:v>2.96</c:v>
                </c:pt>
                <c:pt idx="829">
                  <c:v>259.77</c:v>
                </c:pt>
                <c:pt idx="830">
                  <c:v>0.15</c:v>
                </c:pt>
                <c:pt idx="831">
                  <c:v>2.46</c:v>
                </c:pt>
                <c:pt idx="832">
                  <c:v>2.46</c:v>
                </c:pt>
                <c:pt idx="833">
                  <c:v>2.46</c:v>
                </c:pt>
                <c:pt idx="834">
                  <c:v>25.38</c:v>
                </c:pt>
                <c:pt idx="835">
                  <c:v>2.46</c:v>
                </c:pt>
                <c:pt idx="836">
                  <c:v>2.46</c:v>
                </c:pt>
                <c:pt idx="837">
                  <c:v>2.46</c:v>
                </c:pt>
                <c:pt idx="838">
                  <c:v>2.46</c:v>
                </c:pt>
                <c:pt idx="839">
                  <c:v>2.46</c:v>
                </c:pt>
                <c:pt idx="840">
                  <c:v>2.46</c:v>
                </c:pt>
                <c:pt idx="841">
                  <c:v>91.13</c:v>
                </c:pt>
                <c:pt idx="842">
                  <c:v>30.51</c:v>
                </c:pt>
                <c:pt idx="843">
                  <c:v>222.53</c:v>
                </c:pt>
                <c:pt idx="844">
                  <c:v>2.25</c:v>
                </c:pt>
                <c:pt idx="845">
                  <c:v>12.1</c:v>
                </c:pt>
                <c:pt idx="846">
                  <c:v>177</c:v>
                </c:pt>
                <c:pt idx="847">
                  <c:v>257.76</c:v>
                </c:pt>
                <c:pt idx="848">
                  <c:v>0.92</c:v>
                </c:pt>
                <c:pt idx="849">
                  <c:v>128</c:v>
                </c:pt>
                <c:pt idx="850">
                  <c:v>43.04</c:v>
                </c:pt>
                <c:pt idx="851">
                  <c:v>2.46</c:v>
                </c:pt>
                <c:pt idx="852">
                  <c:v>18.75</c:v>
                </c:pt>
                <c:pt idx="853">
                  <c:v>3.96</c:v>
                </c:pt>
                <c:pt idx="854">
                  <c:v>350.13</c:v>
                </c:pt>
                <c:pt idx="855">
                  <c:v>32.380000000000003</c:v>
                </c:pt>
                <c:pt idx="856">
                  <c:v>1.81</c:v>
                </c:pt>
                <c:pt idx="857">
                  <c:v>50.15</c:v>
                </c:pt>
                <c:pt idx="858">
                  <c:v>13.09</c:v>
                </c:pt>
                <c:pt idx="859">
                  <c:v>42.34</c:v>
                </c:pt>
                <c:pt idx="860">
                  <c:v>188.02</c:v>
                </c:pt>
                <c:pt idx="861">
                  <c:v>0.44</c:v>
                </c:pt>
                <c:pt idx="862">
                  <c:v>0.01</c:v>
                </c:pt>
                <c:pt idx="863">
                  <c:v>2.46</c:v>
                </c:pt>
                <c:pt idx="864">
                  <c:v>115.64</c:v>
                </c:pt>
                <c:pt idx="865">
                  <c:v>2.46</c:v>
                </c:pt>
                <c:pt idx="866">
                  <c:v>2.46</c:v>
                </c:pt>
                <c:pt idx="867">
                  <c:v>2.46</c:v>
                </c:pt>
                <c:pt idx="868">
                  <c:v>33.68</c:v>
                </c:pt>
                <c:pt idx="869">
                  <c:v>255.12</c:v>
                </c:pt>
                <c:pt idx="870">
                  <c:v>0.11</c:v>
                </c:pt>
                <c:pt idx="871">
                  <c:v>0</c:v>
                </c:pt>
                <c:pt idx="872">
                  <c:v>0.23</c:v>
                </c:pt>
                <c:pt idx="873">
                  <c:v>26.76</c:v>
                </c:pt>
                <c:pt idx="874">
                  <c:v>2.46</c:v>
                </c:pt>
                <c:pt idx="875">
                  <c:v>2.46</c:v>
                </c:pt>
                <c:pt idx="876">
                  <c:v>14.48</c:v>
                </c:pt>
                <c:pt idx="877">
                  <c:v>337.14</c:v>
                </c:pt>
                <c:pt idx="878">
                  <c:v>52.08</c:v>
                </c:pt>
                <c:pt idx="879">
                  <c:v>20.399999999999999</c:v>
                </c:pt>
                <c:pt idx="880">
                  <c:v>35.89</c:v>
                </c:pt>
                <c:pt idx="881">
                  <c:v>60.76</c:v>
                </c:pt>
                <c:pt idx="882">
                  <c:v>46.29</c:v>
                </c:pt>
                <c:pt idx="883">
                  <c:v>2.46</c:v>
                </c:pt>
                <c:pt idx="884">
                  <c:v>113.75</c:v>
                </c:pt>
                <c:pt idx="885">
                  <c:v>0.26</c:v>
                </c:pt>
                <c:pt idx="886">
                  <c:v>1.87</c:v>
                </c:pt>
                <c:pt idx="887">
                  <c:v>26.05</c:v>
                </c:pt>
                <c:pt idx="888">
                  <c:v>0.02</c:v>
                </c:pt>
                <c:pt idx="889">
                  <c:v>2.4500000000000002</c:v>
                </c:pt>
                <c:pt idx="890">
                  <c:v>4.01</c:v>
                </c:pt>
                <c:pt idx="891">
                  <c:v>4.1900000000000004</c:v>
                </c:pt>
                <c:pt idx="892">
                  <c:v>65.010000000000005</c:v>
                </c:pt>
                <c:pt idx="893">
                  <c:v>0.19</c:v>
                </c:pt>
                <c:pt idx="894">
                  <c:v>50.84</c:v>
                </c:pt>
                <c:pt idx="895">
                  <c:v>0.2</c:v>
                </c:pt>
                <c:pt idx="896">
                  <c:v>1.17</c:v>
                </c:pt>
                <c:pt idx="897">
                  <c:v>3.33</c:v>
                </c:pt>
                <c:pt idx="898">
                  <c:v>2.46</c:v>
                </c:pt>
                <c:pt idx="899">
                  <c:v>0.46</c:v>
                </c:pt>
                <c:pt idx="900">
                  <c:v>5.98</c:v>
                </c:pt>
                <c:pt idx="901">
                  <c:v>2.8</c:v>
                </c:pt>
                <c:pt idx="902">
                  <c:v>4.4000000000000004</c:v>
                </c:pt>
                <c:pt idx="903">
                  <c:v>2.46</c:v>
                </c:pt>
                <c:pt idx="904">
                  <c:v>3.11</c:v>
                </c:pt>
                <c:pt idx="905">
                  <c:v>2.46</c:v>
                </c:pt>
                <c:pt idx="906">
                  <c:v>2.46</c:v>
                </c:pt>
                <c:pt idx="907">
                  <c:v>8.11</c:v>
                </c:pt>
                <c:pt idx="908">
                  <c:v>37.880000000000003</c:v>
                </c:pt>
                <c:pt idx="909">
                  <c:v>2.46</c:v>
                </c:pt>
                <c:pt idx="910">
                  <c:v>0.02</c:v>
                </c:pt>
                <c:pt idx="911">
                  <c:v>54.45</c:v>
                </c:pt>
                <c:pt idx="912">
                  <c:v>17.22</c:v>
                </c:pt>
                <c:pt idx="913">
                  <c:v>0.03</c:v>
                </c:pt>
                <c:pt idx="914">
                  <c:v>15.16</c:v>
                </c:pt>
                <c:pt idx="915">
                  <c:v>2.46</c:v>
                </c:pt>
                <c:pt idx="916">
                  <c:v>2.46</c:v>
                </c:pt>
                <c:pt idx="917">
                  <c:v>2.46</c:v>
                </c:pt>
                <c:pt idx="918">
                  <c:v>2.46</c:v>
                </c:pt>
                <c:pt idx="919">
                  <c:v>2.46</c:v>
                </c:pt>
                <c:pt idx="920">
                  <c:v>3.13</c:v>
                </c:pt>
                <c:pt idx="921">
                  <c:v>0.05</c:v>
                </c:pt>
                <c:pt idx="922">
                  <c:v>2.72</c:v>
                </c:pt>
                <c:pt idx="923">
                  <c:v>2.46</c:v>
                </c:pt>
                <c:pt idx="924">
                  <c:v>0.04</c:v>
                </c:pt>
                <c:pt idx="925">
                  <c:v>2.46</c:v>
                </c:pt>
                <c:pt idx="926">
                  <c:v>0.34</c:v>
                </c:pt>
                <c:pt idx="927">
                  <c:v>89.26</c:v>
                </c:pt>
                <c:pt idx="928">
                  <c:v>128.26</c:v>
                </c:pt>
                <c:pt idx="929">
                  <c:v>0.01</c:v>
                </c:pt>
                <c:pt idx="930">
                  <c:v>0.01</c:v>
                </c:pt>
                <c:pt idx="931">
                  <c:v>0.04</c:v>
                </c:pt>
                <c:pt idx="932">
                  <c:v>0.04</c:v>
                </c:pt>
                <c:pt idx="933">
                  <c:v>5.28</c:v>
                </c:pt>
                <c:pt idx="934">
                  <c:v>0.04</c:v>
                </c:pt>
                <c:pt idx="935">
                  <c:v>1.06</c:v>
                </c:pt>
                <c:pt idx="936">
                  <c:v>2.46</c:v>
                </c:pt>
                <c:pt idx="937">
                  <c:v>25.44</c:v>
                </c:pt>
                <c:pt idx="938">
                  <c:v>2.46</c:v>
                </c:pt>
                <c:pt idx="939">
                  <c:v>0.01</c:v>
                </c:pt>
                <c:pt idx="940">
                  <c:v>0.32</c:v>
                </c:pt>
                <c:pt idx="941">
                  <c:v>2.46</c:v>
                </c:pt>
                <c:pt idx="942">
                  <c:v>0.51</c:v>
                </c:pt>
                <c:pt idx="943">
                  <c:v>0.86</c:v>
                </c:pt>
                <c:pt idx="944">
                  <c:v>21.57</c:v>
                </c:pt>
                <c:pt idx="945">
                  <c:v>2.46</c:v>
                </c:pt>
                <c:pt idx="946">
                  <c:v>2.46</c:v>
                </c:pt>
                <c:pt idx="947">
                  <c:v>0.79</c:v>
                </c:pt>
                <c:pt idx="948">
                  <c:v>2.46</c:v>
                </c:pt>
                <c:pt idx="949">
                  <c:v>0.43</c:v>
                </c:pt>
                <c:pt idx="950">
                  <c:v>1.82</c:v>
                </c:pt>
                <c:pt idx="951">
                  <c:v>0.33</c:v>
                </c:pt>
                <c:pt idx="952">
                  <c:v>2.46</c:v>
                </c:pt>
                <c:pt idx="953">
                  <c:v>0.12</c:v>
                </c:pt>
                <c:pt idx="954">
                  <c:v>2.46</c:v>
                </c:pt>
                <c:pt idx="955">
                  <c:v>0.02</c:v>
                </c:pt>
                <c:pt idx="956">
                  <c:v>2.46</c:v>
                </c:pt>
                <c:pt idx="957">
                  <c:v>2.46</c:v>
                </c:pt>
                <c:pt idx="958">
                  <c:v>2.46</c:v>
                </c:pt>
                <c:pt idx="959">
                  <c:v>2.46</c:v>
                </c:pt>
                <c:pt idx="960">
                  <c:v>2.46</c:v>
                </c:pt>
                <c:pt idx="961">
                  <c:v>2.46</c:v>
                </c:pt>
                <c:pt idx="962">
                  <c:v>2.46</c:v>
                </c:pt>
                <c:pt idx="963">
                  <c:v>0.55000000000000004</c:v>
                </c:pt>
                <c:pt idx="964">
                  <c:v>1.01</c:v>
                </c:pt>
                <c:pt idx="965">
                  <c:v>0.59</c:v>
                </c:pt>
                <c:pt idx="966">
                  <c:v>2.46</c:v>
                </c:pt>
                <c:pt idx="967">
                  <c:v>0.61</c:v>
                </c:pt>
                <c:pt idx="968">
                  <c:v>0.02</c:v>
                </c:pt>
                <c:pt idx="969">
                  <c:v>5.74</c:v>
                </c:pt>
                <c:pt idx="970">
                  <c:v>0.45</c:v>
                </c:pt>
                <c:pt idx="971">
                  <c:v>0.28000000000000003</c:v>
                </c:pt>
                <c:pt idx="972">
                  <c:v>0.03</c:v>
                </c:pt>
                <c:pt idx="973">
                  <c:v>0.99</c:v>
                </c:pt>
                <c:pt idx="974">
                  <c:v>14.67</c:v>
                </c:pt>
                <c:pt idx="975">
                  <c:v>38.92</c:v>
                </c:pt>
                <c:pt idx="976">
                  <c:v>2.46</c:v>
                </c:pt>
                <c:pt idx="977">
                  <c:v>0.17</c:v>
                </c:pt>
                <c:pt idx="978">
                  <c:v>2.46</c:v>
                </c:pt>
                <c:pt idx="979">
                  <c:v>0.05</c:v>
                </c:pt>
                <c:pt idx="980">
                  <c:v>0.04</c:v>
                </c:pt>
                <c:pt idx="981">
                  <c:v>1.1000000000000001</c:v>
                </c:pt>
                <c:pt idx="982">
                  <c:v>2.46</c:v>
                </c:pt>
                <c:pt idx="983">
                  <c:v>2.46</c:v>
                </c:pt>
                <c:pt idx="984">
                  <c:v>2.46</c:v>
                </c:pt>
                <c:pt idx="985">
                  <c:v>2.46</c:v>
                </c:pt>
                <c:pt idx="986">
                  <c:v>2.46</c:v>
                </c:pt>
                <c:pt idx="987">
                  <c:v>3.49</c:v>
                </c:pt>
                <c:pt idx="988">
                  <c:v>0.14000000000000001</c:v>
                </c:pt>
                <c:pt idx="989">
                  <c:v>84.53</c:v>
                </c:pt>
                <c:pt idx="990">
                  <c:v>0.03</c:v>
                </c:pt>
                <c:pt idx="991">
                  <c:v>0.02</c:v>
                </c:pt>
                <c:pt idx="992">
                  <c:v>1.36</c:v>
                </c:pt>
                <c:pt idx="993">
                  <c:v>0.1</c:v>
                </c:pt>
                <c:pt idx="994">
                  <c:v>2.46</c:v>
                </c:pt>
                <c:pt idx="995">
                  <c:v>2.46</c:v>
                </c:pt>
                <c:pt idx="996">
                  <c:v>2.46</c:v>
                </c:pt>
                <c:pt idx="997">
                  <c:v>12.55</c:v>
                </c:pt>
                <c:pt idx="998">
                  <c:v>2.46</c:v>
                </c:pt>
                <c:pt idx="999">
                  <c:v>2.46</c:v>
                </c:pt>
                <c:pt idx="1000">
                  <c:v>2.46</c:v>
                </c:pt>
                <c:pt idx="1001">
                  <c:v>0.15</c:v>
                </c:pt>
                <c:pt idx="1002">
                  <c:v>2.46</c:v>
                </c:pt>
                <c:pt idx="1003">
                  <c:v>0.15</c:v>
                </c:pt>
                <c:pt idx="1004">
                  <c:v>0.14000000000000001</c:v>
                </c:pt>
                <c:pt idx="1005">
                  <c:v>2.46</c:v>
                </c:pt>
                <c:pt idx="1006">
                  <c:v>2.46</c:v>
                </c:pt>
                <c:pt idx="1007">
                  <c:v>2.46</c:v>
                </c:pt>
                <c:pt idx="1008">
                  <c:v>2.46</c:v>
                </c:pt>
                <c:pt idx="1009">
                  <c:v>2.46</c:v>
                </c:pt>
                <c:pt idx="1010">
                  <c:v>1.03</c:v>
                </c:pt>
                <c:pt idx="1011">
                  <c:v>0.28000000000000003</c:v>
                </c:pt>
                <c:pt idx="1012">
                  <c:v>3.45</c:v>
                </c:pt>
                <c:pt idx="1013">
                  <c:v>0.03</c:v>
                </c:pt>
                <c:pt idx="1014">
                  <c:v>0.18</c:v>
                </c:pt>
                <c:pt idx="1015">
                  <c:v>2.46</c:v>
                </c:pt>
                <c:pt idx="1016">
                  <c:v>7.57</c:v>
                </c:pt>
                <c:pt idx="1017">
                  <c:v>131.54</c:v>
                </c:pt>
                <c:pt idx="1018">
                  <c:v>1.0900000000000001</c:v>
                </c:pt>
                <c:pt idx="1019">
                  <c:v>0.16</c:v>
                </c:pt>
                <c:pt idx="1020">
                  <c:v>1.41</c:v>
                </c:pt>
                <c:pt idx="1021">
                  <c:v>2.46</c:v>
                </c:pt>
                <c:pt idx="1022">
                  <c:v>2.46</c:v>
                </c:pt>
                <c:pt idx="1023">
                  <c:v>0.12</c:v>
                </c:pt>
                <c:pt idx="1024">
                  <c:v>0.05</c:v>
                </c:pt>
                <c:pt idx="1025">
                  <c:v>2.44</c:v>
                </c:pt>
                <c:pt idx="1026">
                  <c:v>2.46</c:v>
                </c:pt>
                <c:pt idx="1027">
                  <c:v>2.46</c:v>
                </c:pt>
                <c:pt idx="1028">
                  <c:v>1.43</c:v>
                </c:pt>
                <c:pt idx="1029">
                  <c:v>0.28000000000000003</c:v>
                </c:pt>
                <c:pt idx="1030">
                  <c:v>2.46</c:v>
                </c:pt>
                <c:pt idx="1031">
                  <c:v>0.6</c:v>
                </c:pt>
                <c:pt idx="1032">
                  <c:v>0.14000000000000001</c:v>
                </c:pt>
                <c:pt idx="1033">
                  <c:v>2.46</c:v>
                </c:pt>
                <c:pt idx="1034">
                  <c:v>2.46</c:v>
                </c:pt>
                <c:pt idx="1035">
                  <c:v>0.04</c:v>
                </c:pt>
                <c:pt idx="1036">
                  <c:v>2.46</c:v>
                </c:pt>
                <c:pt idx="1037">
                  <c:v>2.46</c:v>
                </c:pt>
                <c:pt idx="1038">
                  <c:v>1.1200000000000001</c:v>
                </c:pt>
                <c:pt idx="1039">
                  <c:v>0.03</c:v>
                </c:pt>
                <c:pt idx="1040">
                  <c:v>0.01</c:v>
                </c:pt>
                <c:pt idx="1041">
                  <c:v>2.46</c:v>
                </c:pt>
                <c:pt idx="1042">
                  <c:v>8.5</c:v>
                </c:pt>
                <c:pt idx="1043">
                  <c:v>2.87</c:v>
                </c:pt>
                <c:pt idx="1044">
                  <c:v>2.46</c:v>
                </c:pt>
                <c:pt idx="1045">
                  <c:v>2.46</c:v>
                </c:pt>
                <c:pt idx="1046">
                  <c:v>0.03</c:v>
                </c:pt>
                <c:pt idx="1047">
                  <c:v>2.46</c:v>
                </c:pt>
                <c:pt idx="1048">
                  <c:v>0.14000000000000001</c:v>
                </c:pt>
                <c:pt idx="1049">
                  <c:v>0.23</c:v>
                </c:pt>
                <c:pt idx="1050">
                  <c:v>2.46</c:v>
                </c:pt>
                <c:pt idx="1051">
                  <c:v>2.46</c:v>
                </c:pt>
                <c:pt idx="1052">
                  <c:v>2.46</c:v>
                </c:pt>
                <c:pt idx="1053">
                  <c:v>0.11</c:v>
                </c:pt>
                <c:pt idx="1054">
                  <c:v>0.01</c:v>
                </c:pt>
                <c:pt idx="1055">
                  <c:v>0.01</c:v>
                </c:pt>
                <c:pt idx="1056">
                  <c:v>1.01</c:v>
                </c:pt>
                <c:pt idx="1057">
                  <c:v>0.01</c:v>
                </c:pt>
                <c:pt idx="1058">
                  <c:v>2.46</c:v>
                </c:pt>
                <c:pt idx="1059">
                  <c:v>0.17</c:v>
                </c:pt>
                <c:pt idx="1060">
                  <c:v>2.46</c:v>
                </c:pt>
                <c:pt idx="1061">
                  <c:v>0</c:v>
                </c:pt>
                <c:pt idx="1062">
                  <c:v>1.34</c:v>
                </c:pt>
                <c:pt idx="1063">
                  <c:v>2.46</c:v>
                </c:pt>
                <c:pt idx="1064">
                  <c:v>0.11</c:v>
                </c:pt>
                <c:pt idx="1065">
                  <c:v>0.13</c:v>
                </c:pt>
                <c:pt idx="1066">
                  <c:v>0.05</c:v>
                </c:pt>
                <c:pt idx="1067">
                  <c:v>111.51</c:v>
                </c:pt>
                <c:pt idx="1068">
                  <c:v>2.46</c:v>
                </c:pt>
                <c:pt idx="1069">
                  <c:v>2.46</c:v>
                </c:pt>
                <c:pt idx="1070">
                  <c:v>0.57999999999999996</c:v>
                </c:pt>
                <c:pt idx="1071">
                  <c:v>0.02</c:v>
                </c:pt>
                <c:pt idx="1072">
                  <c:v>2.46</c:v>
                </c:pt>
                <c:pt idx="1073">
                  <c:v>0.02</c:v>
                </c:pt>
                <c:pt idx="1074">
                  <c:v>0.01</c:v>
                </c:pt>
                <c:pt idx="1075">
                  <c:v>64.25</c:v>
                </c:pt>
                <c:pt idx="1076">
                  <c:v>0.28000000000000003</c:v>
                </c:pt>
                <c:pt idx="1077">
                  <c:v>0.22</c:v>
                </c:pt>
                <c:pt idx="1078">
                  <c:v>0.03</c:v>
                </c:pt>
                <c:pt idx="1079">
                  <c:v>2.46</c:v>
                </c:pt>
                <c:pt idx="1080">
                  <c:v>2.46</c:v>
                </c:pt>
                <c:pt idx="1081">
                  <c:v>14.62</c:v>
                </c:pt>
                <c:pt idx="1082">
                  <c:v>2.46</c:v>
                </c:pt>
                <c:pt idx="1083">
                  <c:v>1.31</c:v>
                </c:pt>
                <c:pt idx="1084">
                  <c:v>2.46</c:v>
                </c:pt>
                <c:pt idx="1085">
                  <c:v>2.46</c:v>
                </c:pt>
                <c:pt idx="1086">
                  <c:v>2.46</c:v>
                </c:pt>
                <c:pt idx="1087">
                  <c:v>2.46</c:v>
                </c:pt>
                <c:pt idx="1088">
                  <c:v>0.12</c:v>
                </c:pt>
                <c:pt idx="1089">
                  <c:v>3.5</c:v>
                </c:pt>
                <c:pt idx="1090">
                  <c:v>2.46</c:v>
                </c:pt>
                <c:pt idx="1091">
                  <c:v>2.46</c:v>
                </c:pt>
                <c:pt idx="1092">
                  <c:v>2.46</c:v>
                </c:pt>
                <c:pt idx="1093">
                  <c:v>0.02</c:v>
                </c:pt>
                <c:pt idx="1094">
                  <c:v>2.46</c:v>
                </c:pt>
                <c:pt idx="1095">
                  <c:v>91.44</c:v>
                </c:pt>
                <c:pt idx="1096">
                  <c:v>0.1</c:v>
                </c:pt>
                <c:pt idx="1097">
                  <c:v>2.46</c:v>
                </c:pt>
                <c:pt idx="1098">
                  <c:v>0</c:v>
                </c:pt>
                <c:pt idx="1099">
                  <c:v>2.46</c:v>
                </c:pt>
                <c:pt idx="1100">
                  <c:v>47.39</c:v>
                </c:pt>
                <c:pt idx="1101">
                  <c:v>7.0000000000000007E-2</c:v>
                </c:pt>
                <c:pt idx="1102">
                  <c:v>35.39</c:v>
                </c:pt>
                <c:pt idx="1103">
                  <c:v>2.46</c:v>
                </c:pt>
                <c:pt idx="1104">
                  <c:v>37.450000000000003</c:v>
                </c:pt>
                <c:pt idx="1105">
                  <c:v>2.46</c:v>
                </c:pt>
                <c:pt idx="1106">
                  <c:v>166.17</c:v>
                </c:pt>
                <c:pt idx="1107">
                  <c:v>2.46</c:v>
                </c:pt>
                <c:pt idx="1108">
                  <c:v>2.46</c:v>
                </c:pt>
                <c:pt idx="1109">
                  <c:v>7.1</c:v>
                </c:pt>
                <c:pt idx="1110">
                  <c:v>0.19</c:v>
                </c:pt>
                <c:pt idx="1111">
                  <c:v>44.47</c:v>
                </c:pt>
                <c:pt idx="1112">
                  <c:v>42.48</c:v>
                </c:pt>
                <c:pt idx="1113">
                  <c:v>3.61</c:v>
                </c:pt>
                <c:pt idx="1114">
                  <c:v>26.46</c:v>
                </c:pt>
                <c:pt idx="1115">
                  <c:v>25.8</c:v>
                </c:pt>
                <c:pt idx="1116">
                  <c:v>31.57</c:v>
                </c:pt>
                <c:pt idx="1117">
                  <c:v>2.46</c:v>
                </c:pt>
                <c:pt idx="1118">
                  <c:v>5.35</c:v>
                </c:pt>
                <c:pt idx="1119">
                  <c:v>2.46</c:v>
                </c:pt>
                <c:pt idx="1120">
                  <c:v>33.31</c:v>
                </c:pt>
                <c:pt idx="1121">
                  <c:v>130.18</c:v>
                </c:pt>
                <c:pt idx="1122">
                  <c:v>0.1</c:v>
                </c:pt>
                <c:pt idx="1123">
                  <c:v>2.46</c:v>
                </c:pt>
                <c:pt idx="1124">
                  <c:v>201.15</c:v>
                </c:pt>
                <c:pt idx="1125">
                  <c:v>2.46</c:v>
                </c:pt>
                <c:pt idx="1126">
                  <c:v>353.01</c:v>
                </c:pt>
                <c:pt idx="1127">
                  <c:v>2.46</c:v>
                </c:pt>
                <c:pt idx="1128">
                  <c:v>10.64</c:v>
                </c:pt>
                <c:pt idx="1129">
                  <c:v>7.61</c:v>
                </c:pt>
                <c:pt idx="1130">
                  <c:v>1.21</c:v>
                </c:pt>
                <c:pt idx="1131">
                  <c:v>12.23</c:v>
                </c:pt>
                <c:pt idx="1132">
                  <c:v>4.72</c:v>
                </c:pt>
                <c:pt idx="1133">
                  <c:v>34.51</c:v>
                </c:pt>
                <c:pt idx="1134">
                  <c:v>2.46</c:v>
                </c:pt>
                <c:pt idx="1135">
                  <c:v>2.46</c:v>
                </c:pt>
                <c:pt idx="1136">
                  <c:v>154.06</c:v>
                </c:pt>
                <c:pt idx="1137">
                  <c:v>0</c:v>
                </c:pt>
                <c:pt idx="1138">
                  <c:v>0.23</c:v>
                </c:pt>
                <c:pt idx="1139">
                  <c:v>2.46</c:v>
                </c:pt>
                <c:pt idx="1140">
                  <c:v>652.27</c:v>
                </c:pt>
                <c:pt idx="1141">
                  <c:v>0.02</c:v>
                </c:pt>
                <c:pt idx="1142">
                  <c:v>0.04</c:v>
                </c:pt>
                <c:pt idx="1143">
                  <c:v>2.46</c:v>
                </c:pt>
                <c:pt idx="1144">
                  <c:v>20.99</c:v>
                </c:pt>
                <c:pt idx="1145">
                  <c:v>2.46</c:v>
                </c:pt>
                <c:pt idx="1146">
                  <c:v>0.3</c:v>
                </c:pt>
                <c:pt idx="1147">
                  <c:v>7.43</c:v>
                </c:pt>
                <c:pt idx="1148">
                  <c:v>161.19999999999999</c:v>
                </c:pt>
                <c:pt idx="1149">
                  <c:v>0.12</c:v>
                </c:pt>
                <c:pt idx="1150">
                  <c:v>12.28</c:v>
                </c:pt>
                <c:pt idx="1151">
                  <c:v>459.01</c:v>
                </c:pt>
                <c:pt idx="1152">
                  <c:v>0.2</c:v>
                </c:pt>
                <c:pt idx="1153">
                  <c:v>56.12</c:v>
                </c:pt>
                <c:pt idx="1154">
                  <c:v>0.49</c:v>
                </c:pt>
                <c:pt idx="1155">
                  <c:v>2.46</c:v>
                </c:pt>
                <c:pt idx="1156">
                  <c:v>2.46</c:v>
                </c:pt>
                <c:pt idx="1157">
                  <c:v>155.19</c:v>
                </c:pt>
                <c:pt idx="1158">
                  <c:v>66.010000000000005</c:v>
                </c:pt>
                <c:pt idx="1159">
                  <c:v>2.46</c:v>
                </c:pt>
                <c:pt idx="1160">
                  <c:v>2.46</c:v>
                </c:pt>
                <c:pt idx="1161">
                  <c:v>33.08</c:v>
                </c:pt>
                <c:pt idx="1162">
                  <c:v>6.74</c:v>
                </c:pt>
                <c:pt idx="1163">
                  <c:v>195.04</c:v>
                </c:pt>
                <c:pt idx="1164">
                  <c:v>93.44</c:v>
                </c:pt>
                <c:pt idx="1165">
                  <c:v>0.06</c:v>
                </c:pt>
                <c:pt idx="1166">
                  <c:v>2.46</c:v>
                </c:pt>
                <c:pt idx="1167">
                  <c:v>52.42</c:v>
                </c:pt>
                <c:pt idx="1168">
                  <c:v>17.510000000000002</c:v>
                </c:pt>
                <c:pt idx="1169">
                  <c:v>32</c:v>
                </c:pt>
                <c:pt idx="1170">
                  <c:v>2.46</c:v>
                </c:pt>
                <c:pt idx="1171">
                  <c:v>17.739999999999998</c:v>
                </c:pt>
                <c:pt idx="1172">
                  <c:v>0.12</c:v>
                </c:pt>
                <c:pt idx="1173">
                  <c:v>2.46</c:v>
                </c:pt>
                <c:pt idx="1174">
                  <c:v>0</c:v>
                </c:pt>
                <c:pt idx="1175">
                  <c:v>0.11</c:v>
                </c:pt>
                <c:pt idx="1176">
                  <c:v>0.08</c:v>
                </c:pt>
                <c:pt idx="1177">
                  <c:v>2.46</c:v>
                </c:pt>
                <c:pt idx="1178">
                  <c:v>65.209999999999994</c:v>
                </c:pt>
                <c:pt idx="1179">
                  <c:v>32.36</c:v>
                </c:pt>
                <c:pt idx="1180">
                  <c:v>2.46</c:v>
                </c:pt>
                <c:pt idx="1181">
                  <c:v>22.47</c:v>
                </c:pt>
                <c:pt idx="1182">
                  <c:v>2.46</c:v>
                </c:pt>
                <c:pt idx="1183">
                  <c:v>6.42</c:v>
                </c:pt>
                <c:pt idx="1184">
                  <c:v>2.46</c:v>
                </c:pt>
                <c:pt idx="1185">
                  <c:v>0.13</c:v>
                </c:pt>
                <c:pt idx="1186">
                  <c:v>2.46</c:v>
                </c:pt>
                <c:pt idx="1187">
                  <c:v>45.45</c:v>
                </c:pt>
                <c:pt idx="1188">
                  <c:v>2.46</c:v>
                </c:pt>
                <c:pt idx="1189">
                  <c:v>0.61</c:v>
                </c:pt>
                <c:pt idx="1190">
                  <c:v>2.46</c:v>
                </c:pt>
                <c:pt idx="1191">
                  <c:v>0.05</c:v>
                </c:pt>
                <c:pt idx="1192">
                  <c:v>3.59</c:v>
                </c:pt>
                <c:pt idx="1193">
                  <c:v>2.46</c:v>
                </c:pt>
                <c:pt idx="1194">
                  <c:v>26.82</c:v>
                </c:pt>
                <c:pt idx="1195">
                  <c:v>2.46</c:v>
                </c:pt>
                <c:pt idx="1196">
                  <c:v>110.83</c:v>
                </c:pt>
                <c:pt idx="1197">
                  <c:v>43.77</c:v>
                </c:pt>
                <c:pt idx="1198">
                  <c:v>2.46</c:v>
                </c:pt>
                <c:pt idx="1199">
                  <c:v>31.09</c:v>
                </c:pt>
                <c:pt idx="1200">
                  <c:v>0.16</c:v>
                </c:pt>
                <c:pt idx="1201">
                  <c:v>228.43</c:v>
                </c:pt>
                <c:pt idx="1202">
                  <c:v>2.46</c:v>
                </c:pt>
                <c:pt idx="1203">
                  <c:v>180.2</c:v>
                </c:pt>
                <c:pt idx="1204">
                  <c:v>43.48</c:v>
                </c:pt>
                <c:pt idx="1205">
                  <c:v>0.85</c:v>
                </c:pt>
                <c:pt idx="1206">
                  <c:v>336.05</c:v>
                </c:pt>
                <c:pt idx="1207">
                  <c:v>27.29</c:v>
                </c:pt>
                <c:pt idx="1208">
                  <c:v>0.02</c:v>
                </c:pt>
                <c:pt idx="1209">
                  <c:v>4.7</c:v>
                </c:pt>
                <c:pt idx="1210">
                  <c:v>8.41</c:v>
                </c:pt>
                <c:pt idx="1211">
                  <c:v>81.7</c:v>
                </c:pt>
                <c:pt idx="1212">
                  <c:v>0.08</c:v>
                </c:pt>
                <c:pt idx="1213">
                  <c:v>2.46</c:v>
                </c:pt>
                <c:pt idx="1214">
                  <c:v>2.46</c:v>
                </c:pt>
                <c:pt idx="1215">
                  <c:v>62.58</c:v>
                </c:pt>
                <c:pt idx="1216">
                  <c:v>2.46</c:v>
                </c:pt>
                <c:pt idx="1217">
                  <c:v>12.19</c:v>
                </c:pt>
                <c:pt idx="1218">
                  <c:v>53.86</c:v>
                </c:pt>
                <c:pt idx="1219">
                  <c:v>0.04</c:v>
                </c:pt>
                <c:pt idx="1220">
                  <c:v>89.76</c:v>
                </c:pt>
                <c:pt idx="1221">
                  <c:v>78.75</c:v>
                </c:pt>
                <c:pt idx="1222">
                  <c:v>2.46</c:v>
                </c:pt>
                <c:pt idx="1223">
                  <c:v>12.71</c:v>
                </c:pt>
                <c:pt idx="1224">
                  <c:v>2.99</c:v>
                </c:pt>
                <c:pt idx="1225">
                  <c:v>72.31</c:v>
                </c:pt>
                <c:pt idx="1226">
                  <c:v>10.14</c:v>
                </c:pt>
                <c:pt idx="1227">
                  <c:v>200.07</c:v>
                </c:pt>
                <c:pt idx="1228">
                  <c:v>2.46</c:v>
                </c:pt>
                <c:pt idx="1229">
                  <c:v>2.46</c:v>
                </c:pt>
                <c:pt idx="1230">
                  <c:v>2.7</c:v>
                </c:pt>
                <c:pt idx="1231">
                  <c:v>0.03</c:v>
                </c:pt>
                <c:pt idx="1232">
                  <c:v>29.47</c:v>
                </c:pt>
                <c:pt idx="1233">
                  <c:v>38.32</c:v>
                </c:pt>
                <c:pt idx="1234">
                  <c:v>14.68</c:v>
                </c:pt>
                <c:pt idx="1235">
                  <c:v>8.6999999999999993</c:v>
                </c:pt>
                <c:pt idx="1236">
                  <c:v>0.01</c:v>
                </c:pt>
                <c:pt idx="1237">
                  <c:v>75.760000000000005</c:v>
                </c:pt>
                <c:pt idx="1238">
                  <c:v>1.87</c:v>
                </c:pt>
                <c:pt idx="1239">
                  <c:v>11.11</c:v>
                </c:pt>
                <c:pt idx="1240">
                  <c:v>2.46</c:v>
                </c:pt>
                <c:pt idx="1241">
                  <c:v>25.02</c:v>
                </c:pt>
                <c:pt idx="1242">
                  <c:v>2.46</c:v>
                </c:pt>
                <c:pt idx="1243">
                  <c:v>34.54</c:v>
                </c:pt>
                <c:pt idx="1244">
                  <c:v>45.06</c:v>
                </c:pt>
                <c:pt idx="1245">
                  <c:v>2.56</c:v>
                </c:pt>
                <c:pt idx="1246">
                  <c:v>0.06</c:v>
                </c:pt>
                <c:pt idx="1247">
                  <c:v>2.46</c:v>
                </c:pt>
                <c:pt idx="1248">
                  <c:v>14.39</c:v>
                </c:pt>
                <c:pt idx="1249">
                  <c:v>80.08</c:v>
                </c:pt>
                <c:pt idx="1250">
                  <c:v>2.46</c:v>
                </c:pt>
                <c:pt idx="1251">
                  <c:v>46.89</c:v>
                </c:pt>
                <c:pt idx="1252">
                  <c:v>70.260000000000005</c:v>
                </c:pt>
                <c:pt idx="1253">
                  <c:v>56.45</c:v>
                </c:pt>
                <c:pt idx="1254">
                  <c:v>109.77</c:v>
                </c:pt>
                <c:pt idx="1255">
                  <c:v>17.77</c:v>
                </c:pt>
                <c:pt idx="1256">
                  <c:v>10.210000000000001</c:v>
                </c:pt>
                <c:pt idx="1257">
                  <c:v>4.25</c:v>
                </c:pt>
                <c:pt idx="1258">
                  <c:v>2.46</c:v>
                </c:pt>
                <c:pt idx="1259">
                  <c:v>4.6900000000000004</c:v>
                </c:pt>
                <c:pt idx="1260">
                  <c:v>54.12</c:v>
                </c:pt>
                <c:pt idx="1261">
                  <c:v>0.08</c:v>
                </c:pt>
                <c:pt idx="1262">
                  <c:v>2.46</c:v>
                </c:pt>
                <c:pt idx="1263">
                  <c:v>7</c:v>
                </c:pt>
                <c:pt idx="1264">
                  <c:v>0.53</c:v>
                </c:pt>
                <c:pt idx="1265">
                  <c:v>2.46</c:v>
                </c:pt>
                <c:pt idx="1266">
                  <c:v>13.65</c:v>
                </c:pt>
                <c:pt idx="1267">
                  <c:v>4.03</c:v>
                </c:pt>
                <c:pt idx="1268">
                  <c:v>0.05</c:v>
                </c:pt>
                <c:pt idx="1269">
                  <c:v>2.54</c:v>
                </c:pt>
                <c:pt idx="1270">
                  <c:v>7.86</c:v>
                </c:pt>
                <c:pt idx="1271">
                  <c:v>0.04</c:v>
                </c:pt>
                <c:pt idx="1272">
                  <c:v>0</c:v>
                </c:pt>
                <c:pt idx="1273">
                  <c:v>6.98</c:v>
                </c:pt>
                <c:pt idx="1274">
                  <c:v>2.46</c:v>
                </c:pt>
                <c:pt idx="1275">
                  <c:v>0.05</c:v>
                </c:pt>
                <c:pt idx="1276">
                  <c:v>936.66</c:v>
                </c:pt>
                <c:pt idx="1277">
                  <c:v>20.18</c:v>
                </c:pt>
                <c:pt idx="1278">
                  <c:v>1.1599999999999999</c:v>
                </c:pt>
                <c:pt idx="1279">
                  <c:v>2.25</c:v>
                </c:pt>
                <c:pt idx="1280">
                  <c:v>27.37</c:v>
                </c:pt>
                <c:pt idx="1281">
                  <c:v>2.46</c:v>
                </c:pt>
                <c:pt idx="1282">
                  <c:v>183.64</c:v>
                </c:pt>
                <c:pt idx="1283">
                  <c:v>0.56000000000000005</c:v>
                </c:pt>
                <c:pt idx="1284">
                  <c:v>2.46</c:v>
                </c:pt>
                <c:pt idx="1285">
                  <c:v>3.76</c:v>
                </c:pt>
                <c:pt idx="1286">
                  <c:v>0.25</c:v>
                </c:pt>
                <c:pt idx="1287">
                  <c:v>1.1100000000000001</c:v>
                </c:pt>
                <c:pt idx="1288">
                  <c:v>2.02</c:v>
                </c:pt>
                <c:pt idx="1289">
                  <c:v>0.64</c:v>
                </c:pt>
                <c:pt idx="1290">
                  <c:v>2.46</c:v>
                </c:pt>
                <c:pt idx="1291">
                  <c:v>0.43</c:v>
                </c:pt>
                <c:pt idx="1292">
                  <c:v>0.1</c:v>
                </c:pt>
                <c:pt idx="1293">
                  <c:v>2.46</c:v>
                </c:pt>
                <c:pt idx="1294">
                  <c:v>0.12</c:v>
                </c:pt>
                <c:pt idx="1295">
                  <c:v>5.78</c:v>
                </c:pt>
                <c:pt idx="1296">
                  <c:v>0.03</c:v>
                </c:pt>
                <c:pt idx="1297">
                  <c:v>26.28</c:v>
                </c:pt>
                <c:pt idx="1298">
                  <c:v>0.01</c:v>
                </c:pt>
                <c:pt idx="1299">
                  <c:v>35.090000000000003</c:v>
                </c:pt>
                <c:pt idx="1300">
                  <c:v>281.72000000000003</c:v>
                </c:pt>
                <c:pt idx="1301">
                  <c:v>2.46</c:v>
                </c:pt>
                <c:pt idx="1302">
                  <c:v>0.41</c:v>
                </c:pt>
                <c:pt idx="1303">
                  <c:v>0.14000000000000001</c:v>
                </c:pt>
                <c:pt idx="1304">
                  <c:v>0.7</c:v>
                </c:pt>
                <c:pt idx="1305">
                  <c:v>0.09</c:v>
                </c:pt>
                <c:pt idx="1306">
                  <c:v>0.18</c:v>
                </c:pt>
                <c:pt idx="1307">
                  <c:v>2.46</c:v>
                </c:pt>
                <c:pt idx="1308">
                  <c:v>2.46</c:v>
                </c:pt>
                <c:pt idx="1309">
                  <c:v>0.1</c:v>
                </c:pt>
                <c:pt idx="1310">
                  <c:v>0.51</c:v>
                </c:pt>
                <c:pt idx="1311">
                  <c:v>0.05</c:v>
                </c:pt>
                <c:pt idx="1312">
                  <c:v>28.78</c:v>
                </c:pt>
                <c:pt idx="1313">
                  <c:v>0.03</c:v>
                </c:pt>
                <c:pt idx="1314">
                  <c:v>2.46</c:v>
                </c:pt>
                <c:pt idx="1315">
                  <c:v>1.51</c:v>
                </c:pt>
                <c:pt idx="1316">
                  <c:v>0.14000000000000001</c:v>
                </c:pt>
                <c:pt idx="1317">
                  <c:v>2.46</c:v>
                </c:pt>
                <c:pt idx="1318">
                  <c:v>0.02</c:v>
                </c:pt>
                <c:pt idx="1319">
                  <c:v>0.05</c:v>
                </c:pt>
                <c:pt idx="1320">
                  <c:v>1.1000000000000001</c:v>
                </c:pt>
                <c:pt idx="1321">
                  <c:v>0.12</c:v>
                </c:pt>
                <c:pt idx="1322">
                  <c:v>2.46</c:v>
                </c:pt>
                <c:pt idx="1323">
                  <c:v>2.46</c:v>
                </c:pt>
                <c:pt idx="1324">
                  <c:v>0.23</c:v>
                </c:pt>
                <c:pt idx="1325">
                  <c:v>0.21</c:v>
                </c:pt>
                <c:pt idx="1326">
                  <c:v>0.16</c:v>
                </c:pt>
                <c:pt idx="1327">
                  <c:v>0.03</c:v>
                </c:pt>
                <c:pt idx="1328">
                  <c:v>0.46</c:v>
                </c:pt>
                <c:pt idx="1329">
                  <c:v>2.46</c:v>
                </c:pt>
                <c:pt idx="1330">
                  <c:v>2.46</c:v>
                </c:pt>
                <c:pt idx="1331">
                  <c:v>0.44</c:v>
                </c:pt>
                <c:pt idx="1332">
                  <c:v>0.38</c:v>
                </c:pt>
                <c:pt idx="1333">
                  <c:v>2.46</c:v>
                </c:pt>
                <c:pt idx="1334">
                  <c:v>0.05</c:v>
                </c:pt>
                <c:pt idx="1335">
                  <c:v>2.46</c:v>
                </c:pt>
                <c:pt idx="1336">
                  <c:v>0.03</c:v>
                </c:pt>
                <c:pt idx="1337">
                  <c:v>9.25</c:v>
                </c:pt>
                <c:pt idx="1338">
                  <c:v>0.34</c:v>
                </c:pt>
                <c:pt idx="1339">
                  <c:v>0.01</c:v>
                </c:pt>
                <c:pt idx="1340">
                  <c:v>0.06</c:v>
                </c:pt>
                <c:pt idx="1341">
                  <c:v>0.27</c:v>
                </c:pt>
                <c:pt idx="1342">
                  <c:v>15.79</c:v>
                </c:pt>
                <c:pt idx="1343">
                  <c:v>0.02</c:v>
                </c:pt>
                <c:pt idx="1344">
                  <c:v>2.61</c:v>
                </c:pt>
                <c:pt idx="1345">
                  <c:v>0.24</c:v>
                </c:pt>
                <c:pt idx="1346">
                  <c:v>0.83</c:v>
                </c:pt>
                <c:pt idx="1347">
                  <c:v>0.89</c:v>
                </c:pt>
                <c:pt idx="1348">
                  <c:v>0.03</c:v>
                </c:pt>
                <c:pt idx="1349">
                  <c:v>10.02</c:v>
                </c:pt>
                <c:pt idx="1350">
                  <c:v>1.98</c:v>
                </c:pt>
                <c:pt idx="1351">
                  <c:v>0.22</c:v>
                </c:pt>
                <c:pt idx="1352">
                  <c:v>1.34</c:v>
                </c:pt>
                <c:pt idx="1353">
                  <c:v>123.09</c:v>
                </c:pt>
                <c:pt idx="1354">
                  <c:v>3.87</c:v>
                </c:pt>
                <c:pt idx="1355">
                  <c:v>18.7</c:v>
                </c:pt>
                <c:pt idx="1356">
                  <c:v>2.46</c:v>
                </c:pt>
                <c:pt idx="1357">
                  <c:v>0.03</c:v>
                </c:pt>
                <c:pt idx="1358">
                  <c:v>1.98</c:v>
                </c:pt>
                <c:pt idx="1359">
                  <c:v>0.02</c:v>
                </c:pt>
                <c:pt idx="1360">
                  <c:v>2.46</c:v>
                </c:pt>
                <c:pt idx="1361">
                  <c:v>0.02</c:v>
                </c:pt>
                <c:pt idx="1362">
                  <c:v>14.43</c:v>
                </c:pt>
                <c:pt idx="1363">
                  <c:v>2.46</c:v>
                </c:pt>
                <c:pt idx="1364">
                  <c:v>3.22</c:v>
                </c:pt>
                <c:pt idx="1365">
                  <c:v>14.44</c:v>
                </c:pt>
                <c:pt idx="1366">
                  <c:v>0.14000000000000001</c:v>
                </c:pt>
                <c:pt idx="1367">
                  <c:v>0.01</c:v>
                </c:pt>
                <c:pt idx="1368">
                  <c:v>2.46</c:v>
                </c:pt>
                <c:pt idx="1369">
                  <c:v>0.01</c:v>
                </c:pt>
                <c:pt idx="1370">
                  <c:v>25.14</c:v>
                </c:pt>
                <c:pt idx="1371">
                  <c:v>0.02</c:v>
                </c:pt>
                <c:pt idx="1372">
                  <c:v>4.2699999999999996</c:v>
                </c:pt>
                <c:pt idx="1373">
                  <c:v>2.46</c:v>
                </c:pt>
                <c:pt idx="1374">
                  <c:v>2.46</c:v>
                </c:pt>
                <c:pt idx="1375">
                  <c:v>2.46</c:v>
                </c:pt>
                <c:pt idx="1376">
                  <c:v>0.16</c:v>
                </c:pt>
                <c:pt idx="1377">
                  <c:v>0.01</c:v>
                </c:pt>
                <c:pt idx="1378">
                  <c:v>2.46</c:v>
                </c:pt>
                <c:pt idx="1379">
                  <c:v>2.46</c:v>
                </c:pt>
                <c:pt idx="1380">
                  <c:v>0.03</c:v>
                </c:pt>
                <c:pt idx="1381">
                  <c:v>177.4</c:v>
                </c:pt>
                <c:pt idx="1382">
                  <c:v>0</c:v>
                </c:pt>
                <c:pt idx="1383">
                  <c:v>2.46</c:v>
                </c:pt>
                <c:pt idx="1384">
                  <c:v>0</c:v>
                </c:pt>
                <c:pt idx="1385">
                  <c:v>1.78</c:v>
                </c:pt>
                <c:pt idx="1386">
                  <c:v>1.65</c:v>
                </c:pt>
                <c:pt idx="1387">
                  <c:v>2.46</c:v>
                </c:pt>
                <c:pt idx="1388">
                  <c:v>0.02</c:v>
                </c:pt>
                <c:pt idx="1389">
                  <c:v>0.06</c:v>
                </c:pt>
                <c:pt idx="1390">
                  <c:v>0.03</c:v>
                </c:pt>
                <c:pt idx="1391">
                  <c:v>2.46</c:v>
                </c:pt>
                <c:pt idx="1392">
                  <c:v>2.46</c:v>
                </c:pt>
                <c:pt idx="1393">
                  <c:v>0.28000000000000003</c:v>
                </c:pt>
                <c:pt idx="1394">
                  <c:v>0.1</c:v>
                </c:pt>
                <c:pt idx="1395">
                  <c:v>356.46</c:v>
                </c:pt>
                <c:pt idx="1396">
                  <c:v>1.83</c:v>
                </c:pt>
                <c:pt idx="1397">
                  <c:v>0</c:v>
                </c:pt>
                <c:pt idx="1398">
                  <c:v>0.02</c:v>
                </c:pt>
                <c:pt idx="1399">
                  <c:v>0.01</c:v>
                </c:pt>
                <c:pt idx="1400">
                  <c:v>0.01</c:v>
                </c:pt>
                <c:pt idx="1401">
                  <c:v>3.48</c:v>
                </c:pt>
                <c:pt idx="1402">
                  <c:v>1.1200000000000001</c:v>
                </c:pt>
                <c:pt idx="1403">
                  <c:v>7.0000000000000007E-2</c:v>
                </c:pt>
                <c:pt idx="1404">
                  <c:v>2.46</c:v>
                </c:pt>
                <c:pt idx="1405">
                  <c:v>2.46</c:v>
                </c:pt>
                <c:pt idx="1406">
                  <c:v>0.04</c:v>
                </c:pt>
                <c:pt idx="1407">
                  <c:v>16.03</c:v>
                </c:pt>
                <c:pt idx="1408">
                  <c:v>0.53</c:v>
                </c:pt>
                <c:pt idx="1409">
                  <c:v>0.06</c:v>
                </c:pt>
                <c:pt idx="1410">
                  <c:v>2.46</c:v>
                </c:pt>
                <c:pt idx="1411">
                  <c:v>2.46</c:v>
                </c:pt>
                <c:pt idx="1412">
                  <c:v>2.46</c:v>
                </c:pt>
                <c:pt idx="1413">
                  <c:v>0.01</c:v>
                </c:pt>
                <c:pt idx="1414">
                  <c:v>0.17</c:v>
                </c:pt>
                <c:pt idx="1415">
                  <c:v>0.01</c:v>
                </c:pt>
                <c:pt idx="1416">
                  <c:v>2.46</c:v>
                </c:pt>
                <c:pt idx="1417">
                  <c:v>2.46</c:v>
                </c:pt>
                <c:pt idx="1418">
                  <c:v>2.46</c:v>
                </c:pt>
                <c:pt idx="1419">
                  <c:v>0.41</c:v>
                </c:pt>
                <c:pt idx="1420">
                  <c:v>26.58</c:v>
                </c:pt>
                <c:pt idx="1421">
                  <c:v>2.46</c:v>
                </c:pt>
                <c:pt idx="1422">
                  <c:v>2.46</c:v>
                </c:pt>
                <c:pt idx="1423">
                  <c:v>2.46</c:v>
                </c:pt>
                <c:pt idx="1424">
                  <c:v>34.92</c:v>
                </c:pt>
                <c:pt idx="1425">
                  <c:v>363.07</c:v>
                </c:pt>
                <c:pt idx="1426">
                  <c:v>10.91</c:v>
                </c:pt>
                <c:pt idx="1427">
                  <c:v>2.46</c:v>
                </c:pt>
                <c:pt idx="1428">
                  <c:v>30.5</c:v>
                </c:pt>
                <c:pt idx="1429">
                  <c:v>2.46</c:v>
                </c:pt>
                <c:pt idx="1430">
                  <c:v>62.68</c:v>
                </c:pt>
                <c:pt idx="1431">
                  <c:v>2.46</c:v>
                </c:pt>
                <c:pt idx="1432">
                  <c:v>2.46</c:v>
                </c:pt>
                <c:pt idx="1433">
                  <c:v>27.57</c:v>
                </c:pt>
                <c:pt idx="1434">
                  <c:v>18.71</c:v>
                </c:pt>
                <c:pt idx="1435">
                  <c:v>36.869999999999997</c:v>
                </c:pt>
                <c:pt idx="1436">
                  <c:v>2.46</c:v>
                </c:pt>
                <c:pt idx="1437">
                  <c:v>12.63</c:v>
                </c:pt>
                <c:pt idx="1438">
                  <c:v>2.46</c:v>
                </c:pt>
                <c:pt idx="1439">
                  <c:v>2.46</c:v>
                </c:pt>
                <c:pt idx="1440">
                  <c:v>19.100000000000001</c:v>
                </c:pt>
                <c:pt idx="1441">
                  <c:v>72.08</c:v>
                </c:pt>
                <c:pt idx="1442">
                  <c:v>35.590000000000003</c:v>
                </c:pt>
                <c:pt idx="1443">
                  <c:v>3.71</c:v>
                </c:pt>
                <c:pt idx="1444">
                  <c:v>66.180000000000007</c:v>
                </c:pt>
                <c:pt idx="1445">
                  <c:v>14.27</c:v>
                </c:pt>
                <c:pt idx="1446">
                  <c:v>31.15</c:v>
                </c:pt>
                <c:pt idx="1447">
                  <c:v>1.03</c:v>
                </c:pt>
                <c:pt idx="1448">
                  <c:v>41.01</c:v>
                </c:pt>
                <c:pt idx="1449">
                  <c:v>56.25</c:v>
                </c:pt>
                <c:pt idx="1450">
                  <c:v>79.209999999999994</c:v>
                </c:pt>
                <c:pt idx="1451">
                  <c:v>155.44</c:v>
                </c:pt>
                <c:pt idx="1452">
                  <c:v>2.46</c:v>
                </c:pt>
                <c:pt idx="1453">
                  <c:v>2.46</c:v>
                </c:pt>
                <c:pt idx="1454">
                  <c:v>32.46</c:v>
                </c:pt>
                <c:pt idx="1455">
                  <c:v>2.46</c:v>
                </c:pt>
                <c:pt idx="1456">
                  <c:v>23.05</c:v>
                </c:pt>
                <c:pt idx="1457">
                  <c:v>0.06</c:v>
                </c:pt>
                <c:pt idx="1458">
                  <c:v>103.14</c:v>
                </c:pt>
                <c:pt idx="1459">
                  <c:v>2.46</c:v>
                </c:pt>
                <c:pt idx="1460">
                  <c:v>2.46</c:v>
                </c:pt>
                <c:pt idx="1461">
                  <c:v>47.37</c:v>
                </c:pt>
                <c:pt idx="1462">
                  <c:v>330.36</c:v>
                </c:pt>
                <c:pt idx="1463">
                  <c:v>48.39</c:v>
                </c:pt>
                <c:pt idx="1464">
                  <c:v>0.03</c:v>
                </c:pt>
                <c:pt idx="1465">
                  <c:v>4.2</c:v>
                </c:pt>
                <c:pt idx="1466">
                  <c:v>107.51</c:v>
                </c:pt>
                <c:pt idx="1467">
                  <c:v>2.46</c:v>
                </c:pt>
                <c:pt idx="1468">
                  <c:v>1.36</c:v>
                </c:pt>
                <c:pt idx="1469">
                  <c:v>2.46</c:v>
                </c:pt>
                <c:pt idx="1470">
                  <c:v>2.46</c:v>
                </c:pt>
                <c:pt idx="1471">
                  <c:v>2.46</c:v>
                </c:pt>
                <c:pt idx="1472">
                  <c:v>14.01</c:v>
                </c:pt>
                <c:pt idx="1473">
                  <c:v>6.46</c:v>
                </c:pt>
                <c:pt idx="1474">
                  <c:v>2.46</c:v>
                </c:pt>
                <c:pt idx="1475">
                  <c:v>36.26</c:v>
                </c:pt>
                <c:pt idx="1476">
                  <c:v>20.76</c:v>
                </c:pt>
                <c:pt idx="1477">
                  <c:v>1.33</c:v>
                </c:pt>
                <c:pt idx="1478">
                  <c:v>3.15</c:v>
                </c:pt>
                <c:pt idx="1479">
                  <c:v>2.46</c:v>
                </c:pt>
                <c:pt idx="1480">
                  <c:v>2.46</c:v>
                </c:pt>
                <c:pt idx="1481">
                  <c:v>408.08</c:v>
                </c:pt>
                <c:pt idx="1482">
                  <c:v>0.02</c:v>
                </c:pt>
                <c:pt idx="1483">
                  <c:v>2.46</c:v>
                </c:pt>
                <c:pt idx="1484">
                  <c:v>0.23</c:v>
                </c:pt>
                <c:pt idx="1485">
                  <c:v>0.03</c:v>
                </c:pt>
                <c:pt idx="1486">
                  <c:v>21.22</c:v>
                </c:pt>
                <c:pt idx="1487">
                  <c:v>2.46</c:v>
                </c:pt>
                <c:pt idx="1488">
                  <c:v>2.13</c:v>
                </c:pt>
                <c:pt idx="1489">
                  <c:v>55.12</c:v>
                </c:pt>
                <c:pt idx="1490">
                  <c:v>0.09</c:v>
                </c:pt>
                <c:pt idx="1491">
                  <c:v>126.64</c:v>
                </c:pt>
                <c:pt idx="1492">
                  <c:v>162.43</c:v>
                </c:pt>
                <c:pt idx="1493">
                  <c:v>5.2</c:v>
                </c:pt>
                <c:pt idx="1494">
                  <c:v>27.38</c:v>
                </c:pt>
                <c:pt idx="1495">
                  <c:v>2.46</c:v>
                </c:pt>
                <c:pt idx="1496">
                  <c:v>15.43</c:v>
                </c:pt>
                <c:pt idx="1497">
                  <c:v>2.46</c:v>
                </c:pt>
                <c:pt idx="1498">
                  <c:v>0.69</c:v>
                </c:pt>
                <c:pt idx="1499">
                  <c:v>2.96</c:v>
                </c:pt>
                <c:pt idx="1500">
                  <c:v>0.09</c:v>
                </c:pt>
                <c:pt idx="1501">
                  <c:v>2.46</c:v>
                </c:pt>
                <c:pt idx="1502">
                  <c:v>0.17</c:v>
                </c:pt>
                <c:pt idx="1503">
                  <c:v>7.0000000000000007E-2</c:v>
                </c:pt>
                <c:pt idx="1504">
                  <c:v>97.69</c:v>
                </c:pt>
                <c:pt idx="1505">
                  <c:v>0.08</c:v>
                </c:pt>
                <c:pt idx="1506">
                  <c:v>87.24</c:v>
                </c:pt>
                <c:pt idx="1507">
                  <c:v>5.88</c:v>
                </c:pt>
                <c:pt idx="1508">
                  <c:v>2.46</c:v>
                </c:pt>
                <c:pt idx="1509">
                  <c:v>2.46</c:v>
                </c:pt>
                <c:pt idx="1510">
                  <c:v>2.46</c:v>
                </c:pt>
                <c:pt idx="1511">
                  <c:v>125.07</c:v>
                </c:pt>
                <c:pt idx="1512">
                  <c:v>76.23</c:v>
                </c:pt>
                <c:pt idx="1513">
                  <c:v>2.46</c:v>
                </c:pt>
                <c:pt idx="1514">
                  <c:v>0.28000000000000003</c:v>
                </c:pt>
                <c:pt idx="1515">
                  <c:v>2.46</c:v>
                </c:pt>
                <c:pt idx="1516">
                  <c:v>77.040000000000006</c:v>
                </c:pt>
                <c:pt idx="1517">
                  <c:v>486.3</c:v>
                </c:pt>
                <c:pt idx="1518">
                  <c:v>1.6</c:v>
                </c:pt>
                <c:pt idx="1519">
                  <c:v>86.26</c:v>
                </c:pt>
                <c:pt idx="1520">
                  <c:v>26.41</c:v>
                </c:pt>
                <c:pt idx="1521">
                  <c:v>34.340000000000003</c:v>
                </c:pt>
                <c:pt idx="1522">
                  <c:v>3.91</c:v>
                </c:pt>
                <c:pt idx="1523">
                  <c:v>2.46</c:v>
                </c:pt>
                <c:pt idx="1524">
                  <c:v>2.46</c:v>
                </c:pt>
                <c:pt idx="1525">
                  <c:v>2.46</c:v>
                </c:pt>
                <c:pt idx="1526">
                  <c:v>4.07</c:v>
                </c:pt>
                <c:pt idx="1527">
                  <c:v>38.58</c:v>
                </c:pt>
                <c:pt idx="1528">
                  <c:v>128.34</c:v>
                </c:pt>
                <c:pt idx="1529">
                  <c:v>0.01</c:v>
                </c:pt>
                <c:pt idx="1530">
                  <c:v>325.10000000000002</c:v>
                </c:pt>
                <c:pt idx="1531">
                  <c:v>4.21</c:v>
                </c:pt>
                <c:pt idx="1532">
                  <c:v>3.4</c:v>
                </c:pt>
                <c:pt idx="1533">
                  <c:v>0.59</c:v>
                </c:pt>
                <c:pt idx="1534">
                  <c:v>21.59</c:v>
                </c:pt>
                <c:pt idx="1535">
                  <c:v>72.680000000000007</c:v>
                </c:pt>
                <c:pt idx="1536">
                  <c:v>48.02</c:v>
                </c:pt>
                <c:pt idx="1537">
                  <c:v>368.38</c:v>
                </c:pt>
                <c:pt idx="1538">
                  <c:v>341.27</c:v>
                </c:pt>
                <c:pt idx="1539">
                  <c:v>364</c:v>
                </c:pt>
                <c:pt idx="1540">
                  <c:v>153.71</c:v>
                </c:pt>
                <c:pt idx="1541">
                  <c:v>0.05</c:v>
                </c:pt>
                <c:pt idx="1542">
                  <c:v>2.46</c:v>
                </c:pt>
                <c:pt idx="1543">
                  <c:v>1.48</c:v>
                </c:pt>
                <c:pt idx="1544">
                  <c:v>0.3</c:v>
                </c:pt>
                <c:pt idx="1545">
                  <c:v>8.81</c:v>
                </c:pt>
                <c:pt idx="1546">
                  <c:v>100.55</c:v>
                </c:pt>
                <c:pt idx="1547">
                  <c:v>234.04</c:v>
                </c:pt>
                <c:pt idx="1548">
                  <c:v>75.400000000000006</c:v>
                </c:pt>
                <c:pt idx="1549">
                  <c:v>2.46</c:v>
                </c:pt>
                <c:pt idx="1550">
                  <c:v>2.0099999999999998</c:v>
                </c:pt>
                <c:pt idx="1551">
                  <c:v>0.05</c:v>
                </c:pt>
                <c:pt idx="1552">
                  <c:v>2.46</c:v>
                </c:pt>
                <c:pt idx="1553">
                  <c:v>2.46</c:v>
                </c:pt>
                <c:pt idx="1554">
                  <c:v>0</c:v>
                </c:pt>
                <c:pt idx="1555">
                  <c:v>4.71</c:v>
                </c:pt>
                <c:pt idx="1556">
                  <c:v>2.46</c:v>
                </c:pt>
                <c:pt idx="1557">
                  <c:v>67.209999999999994</c:v>
                </c:pt>
                <c:pt idx="1558">
                  <c:v>0.11</c:v>
                </c:pt>
                <c:pt idx="1559">
                  <c:v>0.27</c:v>
                </c:pt>
                <c:pt idx="1560">
                  <c:v>2.46</c:v>
                </c:pt>
                <c:pt idx="1561">
                  <c:v>14.9</c:v>
                </c:pt>
                <c:pt idx="1562">
                  <c:v>0.7</c:v>
                </c:pt>
                <c:pt idx="1563">
                  <c:v>15.86</c:v>
                </c:pt>
                <c:pt idx="1564">
                  <c:v>169.61</c:v>
                </c:pt>
                <c:pt idx="1565">
                  <c:v>10.66</c:v>
                </c:pt>
                <c:pt idx="1566">
                  <c:v>2.46</c:v>
                </c:pt>
                <c:pt idx="1567">
                  <c:v>11.1</c:v>
                </c:pt>
                <c:pt idx="1568">
                  <c:v>6.3</c:v>
                </c:pt>
                <c:pt idx="1569">
                  <c:v>2.46</c:v>
                </c:pt>
                <c:pt idx="1570">
                  <c:v>248.76</c:v>
                </c:pt>
                <c:pt idx="1571">
                  <c:v>47.7</c:v>
                </c:pt>
                <c:pt idx="1572">
                  <c:v>0.2</c:v>
                </c:pt>
                <c:pt idx="1573">
                  <c:v>7.1</c:v>
                </c:pt>
                <c:pt idx="1574">
                  <c:v>0.66</c:v>
                </c:pt>
                <c:pt idx="1575">
                  <c:v>2.46</c:v>
                </c:pt>
                <c:pt idx="1576">
                  <c:v>3.5</c:v>
                </c:pt>
                <c:pt idx="1577">
                  <c:v>2.46</c:v>
                </c:pt>
                <c:pt idx="1578">
                  <c:v>14.43</c:v>
                </c:pt>
                <c:pt idx="1579">
                  <c:v>4.8499999999999996</c:v>
                </c:pt>
                <c:pt idx="1580">
                  <c:v>2.46</c:v>
                </c:pt>
                <c:pt idx="1581">
                  <c:v>2.46</c:v>
                </c:pt>
                <c:pt idx="1582">
                  <c:v>58.7</c:v>
                </c:pt>
                <c:pt idx="1583">
                  <c:v>0.06</c:v>
                </c:pt>
                <c:pt idx="1584">
                  <c:v>0.01</c:v>
                </c:pt>
                <c:pt idx="1585">
                  <c:v>1.74</c:v>
                </c:pt>
                <c:pt idx="1586">
                  <c:v>100.01</c:v>
                </c:pt>
                <c:pt idx="1587">
                  <c:v>1.99</c:v>
                </c:pt>
                <c:pt idx="1588">
                  <c:v>0.11</c:v>
                </c:pt>
                <c:pt idx="1589">
                  <c:v>67.27</c:v>
                </c:pt>
                <c:pt idx="1590">
                  <c:v>2.46</c:v>
                </c:pt>
                <c:pt idx="1591">
                  <c:v>232.64</c:v>
                </c:pt>
                <c:pt idx="1592">
                  <c:v>51.74</c:v>
                </c:pt>
                <c:pt idx="1593">
                  <c:v>13.96</c:v>
                </c:pt>
                <c:pt idx="1594">
                  <c:v>12.79</c:v>
                </c:pt>
                <c:pt idx="1595">
                  <c:v>2.46</c:v>
                </c:pt>
                <c:pt idx="1596">
                  <c:v>61.43</c:v>
                </c:pt>
                <c:pt idx="1597">
                  <c:v>2.46</c:v>
                </c:pt>
                <c:pt idx="1598">
                  <c:v>55.48</c:v>
                </c:pt>
                <c:pt idx="1599">
                  <c:v>3.74</c:v>
                </c:pt>
                <c:pt idx="1600">
                  <c:v>0.12</c:v>
                </c:pt>
                <c:pt idx="1601">
                  <c:v>0.26</c:v>
                </c:pt>
                <c:pt idx="1602">
                  <c:v>31.02</c:v>
                </c:pt>
                <c:pt idx="1603">
                  <c:v>3.24</c:v>
                </c:pt>
                <c:pt idx="1604">
                  <c:v>54.65</c:v>
                </c:pt>
                <c:pt idx="1605">
                  <c:v>0.28999999999999998</c:v>
                </c:pt>
                <c:pt idx="1606">
                  <c:v>1.03</c:v>
                </c:pt>
                <c:pt idx="1607">
                  <c:v>0.92</c:v>
                </c:pt>
                <c:pt idx="1608">
                  <c:v>2.46</c:v>
                </c:pt>
                <c:pt idx="1609">
                  <c:v>93.43</c:v>
                </c:pt>
                <c:pt idx="1610">
                  <c:v>2.4</c:v>
                </c:pt>
                <c:pt idx="1611">
                  <c:v>5.66</c:v>
                </c:pt>
                <c:pt idx="1612">
                  <c:v>30.35</c:v>
                </c:pt>
                <c:pt idx="1613">
                  <c:v>10.38</c:v>
                </c:pt>
                <c:pt idx="1614">
                  <c:v>0.94</c:v>
                </c:pt>
                <c:pt idx="1615">
                  <c:v>19.64</c:v>
                </c:pt>
                <c:pt idx="1616">
                  <c:v>57.68</c:v>
                </c:pt>
                <c:pt idx="1617">
                  <c:v>1.49</c:v>
                </c:pt>
                <c:pt idx="1618">
                  <c:v>158.85</c:v>
                </c:pt>
                <c:pt idx="1619">
                  <c:v>532.17999999999995</c:v>
                </c:pt>
                <c:pt idx="1620">
                  <c:v>4.79</c:v>
                </c:pt>
                <c:pt idx="1621">
                  <c:v>0.26</c:v>
                </c:pt>
                <c:pt idx="1622">
                  <c:v>7.23</c:v>
                </c:pt>
                <c:pt idx="1623">
                  <c:v>27.01</c:v>
                </c:pt>
                <c:pt idx="1624">
                  <c:v>2.46</c:v>
                </c:pt>
                <c:pt idx="1625">
                  <c:v>2.46</c:v>
                </c:pt>
                <c:pt idx="1626">
                  <c:v>2.46</c:v>
                </c:pt>
                <c:pt idx="1627">
                  <c:v>0.54</c:v>
                </c:pt>
                <c:pt idx="1628">
                  <c:v>0.04</c:v>
                </c:pt>
                <c:pt idx="1629">
                  <c:v>7.7</c:v>
                </c:pt>
                <c:pt idx="1630">
                  <c:v>0.15</c:v>
                </c:pt>
                <c:pt idx="1631">
                  <c:v>27.85</c:v>
                </c:pt>
                <c:pt idx="1632">
                  <c:v>2.46</c:v>
                </c:pt>
                <c:pt idx="1633">
                  <c:v>151.1</c:v>
                </c:pt>
                <c:pt idx="1634">
                  <c:v>2.46</c:v>
                </c:pt>
                <c:pt idx="1635">
                  <c:v>2.14</c:v>
                </c:pt>
                <c:pt idx="1636">
                  <c:v>12.55</c:v>
                </c:pt>
                <c:pt idx="1637">
                  <c:v>3.65</c:v>
                </c:pt>
                <c:pt idx="1638">
                  <c:v>0.03</c:v>
                </c:pt>
                <c:pt idx="1639">
                  <c:v>2.46</c:v>
                </c:pt>
                <c:pt idx="1640">
                  <c:v>2.46</c:v>
                </c:pt>
                <c:pt idx="1641">
                  <c:v>2.46</c:v>
                </c:pt>
                <c:pt idx="1642">
                  <c:v>0.01</c:v>
                </c:pt>
                <c:pt idx="1643">
                  <c:v>26.83</c:v>
                </c:pt>
                <c:pt idx="1644">
                  <c:v>2.46</c:v>
                </c:pt>
                <c:pt idx="1645">
                  <c:v>3.9</c:v>
                </c:pt>
                <c:pt idx="1646">
                  <c:v>2.46</c:v>
                </c:pt>
                <c:pt idx="1647">
                  <c:v>2.46</c:v>
                </c:pt>
                <c:pt idx="1648">
                  <c:v>2.46</c:v>
                </c:pt>
                <c:pt idx="1649">
                  <c:v>2.46</c:v>
                </c:pt>
                <c:pt idx="1650">
                  <c:v>40.1</c:v>
                </c:pt>
                <c:pt idx="1651">
                  <c:v>0</c:v>
                </c:pt>
                <c:pt idx="1652">
                  <c:v>2.46</c:v>
                </c:pt>
                <c:pt idx="1653">
                  <c:v>24.25</c:v>
                </c:pt>
                <c:pt idx="1654">
                  <c:v>60.32</c:v>
                </c:pt>
                <c:pt idx="1655">
                  <c:v>2.46</c:v>
                </c:pt>
                <c:pt idx="1656">
                  <c:v>45.54</c:v>
                </c:pt>
                <c:pt idx="1657">
                  <c:v>0.01</c:v>
                </c:pt>
                <c:pt idx="1658">
                  <c:v>0.01</c:v>
                </c:pt>
                <c:pt idx="1659">
                  <c:v>0.01</c:v>
                </c:pt>
                <c:pt idx="1660">
                  <c:v>31.89</c:v>
                </c:pt>
                <c:pt idx="1661">
                  <c:v>2.46</c:v>
                </c:pt>
                <c:pt idx="1662">
                  <c:v>1.31</c:v>
                </c:pt>
                <c:pt idx="1663">
                  <c:v>2.46</c:v>
                </c:pt>
                <c:pt idx="1664">
                  <c:v>2.46</c:v>
                </c:pt>
                <c:pt idx="1665">
                  <c:v>2.46</c:v>
                </c:pt>
                <c:pt idx="1666">
                  <c:v>2.46</c:v>
                </c:pt>
                <c:pt idx="1667">
                  <c:v>2.46</c:v>
                </c:pt>
                <c:pt idx="1668">
                  <c:v>0.03</c:v>
                </c:pt>
                <c:pt idx="1669">
                  <c:v>0.23</c:v>
                </c:pt>
                <c:pt idx="1670">
                  <c:v>7.12</c:v>
                </c:pt>
                <c:pt idx="1671">
                  <c:v>0.05</c:v>
                </c:pt>
                <c:pt idx="1672">
                  <c:v>0.61</c:v>
                </c:pt>
                <c:pt idx="1673">
                  <c:v>3.82</c:v>
                </c:pt>
                <c:pt idx="1674">
                  <c:v>2.46</c:v>
                </c:pt>
                <c:pt idx="1675">
                  <c:v>0</c:v>
                </c:pt>
                <c:pt idx="1676">
                  <c:v>0.01</c:v>
                </c:pt>
                <c:pt idx="1677">
                  <c:v>2.46</c:v>
                </c:pt>
                <c:pt idx="1678">
                  <c:v>0.88</c:v>
                </c:pt>
                <c:pt idx="1679">
                  <c:v>0.15</c:v>
                </c:pt>
                <c:pt idx="1680">
                  <c:v>8.11</c:v>
                </c:pt>
                <c:pt idx="1681">
                  <c:v>0.08</c:v>
                </c:pt>
                <c:pt idx="1682">
                  <c:v>2.46</c:v>
                </c:pt>
                <c:pt idx="1683">
                  <c:v>2.46</c:v>
                </c:pt>
                <c:pt idx="1684">
                  <c:v>8.58</c:v>
                </c:pt>
                <c:pt idx="1685">
                  <c:v>2.46</c:v>
                </c:pt>
                <c:pt idx="1686">
                  <c:v>2.46</c:v>
                </c:pt>
                <c:pt idx="1687">
                  <c:v>2.46</c:v>
                </c:pt>
                <c:pt idx="1688">
                  <c:v>2.46</c:v>
                </c:pt>
                <c:pt idx="1689">
                  <c:v>2.46</c:v>
                </c:pt>
                <c:pt idx="1690">
                  <c:v>1.66</c:v>
                </c:pt>
                <c:pt idx="1691">
                  <c:v>0.01</c:v>
                </c:pt>
                <c:pt idx="1692">
                  <c:v>2.46</c:v>
                </c:pt>
                <c:pt idx="1693">
                  <c:v>2.46</c:v>
                </c:pt>
                <c:pt idx="1694">
                  <c:v>138.29</c:v>
                </c:pt>
                <c:pt idx="1695">
                  <c:v>6.88</c:v>
                </c:pt>
                <c:pt idx="1696">
                  <c:v>63.29</c:v>
                </c:pt>
                <c:pt idx="1697">
                  <c:v>0.01</c:v>
                </c:pt>
                <c:pt idx="1698">
                  <c:v>2.46</c:v>
                </c:pt>
                <c:pt idx="1699">
                  <c:v>2.2799999999999998</c:v>
                </c:pt>
                <c:pt idx="1700">
                  <c:v>2.46</c:v>
                </c:pt>
                <c:pt idx="1701">
                  <c:v>0.44</c:v>
                </c:pt>
                <c:pt idx="1702">
                  <c:v>1.86</c:v>
                </c:pt>
                <c:pt idx="1703">
                  <c:v>2.46</c:v>
                </c:pt>
                <c:pt idx="1704">
                  <c:v>0.13</c:v>
                </c:pt>
                <c:pt idx="1705">
                  <c:v>0.04</c:v>
                </c:pt>
                <c:pt idx="1706">
                  <c:v>0.18</c:v>
                </c:pt>
                <c:pt idx="1707">
                  <c:v>0.26</c:v>
                </c:pt>
                <c:pt idx="1708">
                  <c:v>2.46</c:v>
                </c:pt>
                <c:pt idx="1709">
                  <c:v>2.46</c:v>
                </c:pt>
                <c:pt idx="1710">
                  <c:v>0.32</c:v>
                </c:pt>
                <c:pt idx="1711">
                  <c:v>2.46</c:v>
                </c:pt>
                <c:pt idx="1712">
                  <c:v>2.46</c:v>
                </c:pt>
                <c:pt idx="1713">
                  <c:v>3.81</c:v>
                </c:pt>
                <c:pt idx="1714">
                  <c:v>2.46</c:v>
                </c:pt>
                <c:pt idx="1715">
                  <c:v>2.46</c:v>
                </c:pt>
                <c:pt idx="1716">
                  <c:v>0.03</c:v>
                </c:pt>
                <c:pt idx="1717">
                  <c:v>2.46</c:v>
                </c:pt>
                <c:pt idx="1718">
                  <c:v>5.62</c:v>
                </c:pt>
                <c:pt idx="1719">
                  <c:v>0.01</c:v>
                </c:pt>
                <c:pt idx="1720">
                  <c:v>0.1</c:v>
                </c:pt>
                <c:pt idx="1721">
                  <c:v>2.46</c:v>
                </c:pt>
                <c:pt idx="1722">
                  <c:v>6.17</c:v>
                </c:pt>
                <c:pt idx="1723">
                  <c:v>2.46</c:v>
                </c:pt>
                <c:pt idx="1724">
                  <c:v>2.46</c:v>
                </c:pt>
                <c:pt idx="1725">
                  <c:v>2.46</c:v>
                </c:pt>
                <c:pt idx="1726">
                  <c:v>1.4</c:v>
                </c:pt>
                <c:pt idx="1727">
                  <c:v>0.28999999999999998</c:v>
                </c:pt>
                <c:pt idx="1728">
                  <c:v>2.46</c:v>
                </c:pt>
                <c:pt idx="1729">
                  <c:v>0</c:v>
                </c:pt>
                <c:pt idx="1730">
                  <c:v>2.46</c:v>
                </c:pt>
                <c:pt idx="1731">
                  <c:v>2.46</c:v>
                </c:pt>
                <c:pt idx="1732">
                  <c:v>0.1</c:v>
                </c:pt>
                <c:pt idx="1733">
                  <c:v>0.03</c:v>
                </c:pt>
                <c:pt idx="1734">
                  <c:v>2.46</c:v>
                </c:pt>
                <c:pt idx="1735">
                  <c:v>0.02</c:v>
                </c:pt>
                <c:pt idx="1736">
                  <c:v>0.1</c:v>
                </c:pt>
                <c:pt idx="1737">
                  <c:v>24.7</c:v>
                </c:pt>
                <c:pt idx="1738">
                  <c:v>2.4700000000000002</c:v>
                </c:pt>
                <c:pt idx="1739">
                  <c:v>0.04</c:v>
                </c:pt>
                <c:pt idx="1740">
                  <c:v>2.46</c:v>
                </c:pt>
                <c:pt idx="1741">
                  <c:v>0.04</c:v>
                </c:pt>
                <c:pt idx="1742">
                  <c:v>3.02</c:v>
                </c:pt>
                <c:pt idx="1743">
                  <c:v>1.1299999999999999</c:v>
                </c:pt>
                <c:pt idx="1744">
                  <c:v>2.46</c:v>
                </c:pt>
                <c:pt idx="1745">
                  <c:v>2.46</c:v>
                </c:pt>
                <c:pt idx="1746">
                  <c:v>504.01</c:v>
                </c:pt>
                <c:pt idx="1747">
                  <c:v>2.46</c:v>
                </c:pt>
                <c:pt idx="1748">
                  <c:v>0.03</c:v>
                </c:pt>
                <c:pt idx="1749">
                  <c:v>2.46</c:v>
                </c:pt>
                <c:pt idx="1750">
                  <c:v>2.46</c:v>
                </c:pt>
                <c:pt idx="1751">
                  <c:v>226.28</c:v>
                </c:pt>
                <c:pt idx="1752">
                  <c:v>64.510000000000005</c:v>
                </c:pt>
                <c:pt idx="1753">
                  <c:v>2.46</c:v>
                </c:pt>
                <c:pt idx="1754">
                  <c:v>2.46</c:v>
                </c:pt>
                <c:pt idx="1755">
                  <c:v>2.46</c:v>
                </c:pt>
                <c:pt idx="1756">
                  <c:v>2.46</c:v>
                </c:pt>
                <c:pt idx="1757">
                  <c:v>7.89</c:v>
                </c:pt>
                <c:pt idx="1758">
                  <c:v>2.46</c:v>
                </c:pt>
                <c:pt idx="1759">
                  <c:v>40.56</c:v>
                </c:pt>
                <c:pt idx="1760">
                  <c:v>2.46</c:v>
                </c:pt>
                <c:pt idx="1761">
                  <c:v>2.46</c:v>
                </c:pt>
                <c:pt idx="1762">
                  <c:v>2.46</c:v>
                </c:pt>
                <c:pt idx="1763">
                  <c:v>30.23</c:v>
                </c:pt>
                <c:pt idx="1764">
                  <c:v>2.46</c:v>
                </c:pt>
                <c:pt idx="1765">
                  <c:v>85.36</c:v>
                </c:pt>
                <c:pt idx="1766">
                  <c:v>2.46</c:v>
                </c:pt>
                <c:pt idx="1767">
                  <c:v>176.04</c:v>
                </c:pt>
                <c:pt idx="1768">
                  <c:v>2.46</c:v>
                </c:pt>
                <c:pt idx="1769">
                  <c:v>2.46</c:v>
                </c:pt>
                <c:pt idx="1770">
                  <c:v>2.46</c:v>
                </c:pt>
                <c:pt idx="1771">
                  <c:v>0.44</c:v>
                </c:pt>
                <c:pt idx="1772">
                  <c:v>2.46</c:v>
                </c:pt>
                <c:pt idx="1773">
                  <c:v>17.45</c:v>
                </c:pt>
                <c:pt idx="1774">
                  <c:v>20.78</c:v>
                </c:pt>
                <c:pt idx="1775">
                  <c:v>2.46</c:v>
                </c:pt>
                <c:pt idx="1776">
                  <c:v>12.24</c:v>
                </c:pt>
                <c:pt idx="1777">
                  <c:v>2.46</c:v>
                </c:pt>
                <c:pt idx="1778">
                  <c:v>24.8</c:v>
                </c:pt>
                <c:pt idx="1779">
                  <c:v>74.260000000000005</c:v>
                </c:pt>
                <c:pt idx="1780">
                  <c:v>2.46</c:v>
                </c:pt>
                <c:pt idx="1781">
                  <c:v>412.56</c:v>
                </c:pt>
                <c:pt idx="1782">
                  <c:v>2.46</c:v>
                </c:pt>
                <c:pt idx="1783">
                  <c:v>20.5</c:v>
                </c:pt>
                <c:pt idx="1784">
                  <c:v>18.600000000000001</c:v>
                </c:pt>
                <c:pt idx="1785">
                  <c:v>57.39</c:v>
                </c:pt>
                <c:pt idx="1786">
                  <c:v>1.78</c:v>
                </c:pt>
                <c:pt idx="1787">
                  <c:v>2.46</c:v>
                </c:pt>
                <c:pt idx="1788">
                  <c:v>1.24</c:v>
                </c:pt>
                <c:pt idx="1789">
                  <c:v>80.099999999999994</c:v>
                </c:pt>
                <c:pt idx="1790">
                  <c:v>92.03</c:v>
                </c:pt>
                <c:pt idx="1791">
                  <c:v>3.61</c:v>
                </c:pt>
                <c:pt idx="1792">
                  <c:v>226.01</c:v>
                </c:pt>
                <c:pt idx="1793">
                  <c:v>0.65</c:v>
                </c:pt>
                <c:pt idx="1794">
                  <c:v>2.46</c:v>
                </c:pt>
                <c:pt idx="1795">
                  <c:v>168.05</c:v>
                </c:pt>
                <c:pt idx="1796">
                  <c:v>44.9</c:v>
                </c:pt>
                <c:pt idx="1797">
                  <c:v>39.18</c:v>
                </c:pt>
                <c:pt idx="1798">
                  <c:v>30.72</c:v>
                </c:pt>
                <c:pt idx="1799">
                  <c:v>175</c:v>
                </c:pt>
                <c:pt idx="1800">
                  <c:v>1.32</c:v>
                </c:pt>
                <c:pt idx="1801">
                  <c:v>2.46</c:v>
                </c:pt>
                <c:pt idx="1802">
                  <c:v>2.46</c:v>
                </c:pt>
                <c:pt idx="1803">
                  <c:v>1.1100000000000001</c:v>
                </c:pt>
                <c:pt idx="1804">
                  <c:v>2.46</c:v>
                </c:pt>
                <c:pt idx="1805">
                  <c:v>0.05</c:v>
                </c:pt>
                <c:pt idx="1806">
                  <c:v>2.46</c:v>
                </c:pt>
                <c:pt idx="1807">
                  <c:v>2.4</c:v>
                </c:pt>
                <c:pt idx="1808">
                  <c:v>0.05</c:v>
                </c:pt>
                <c:pt idx="1809">
                  <c:v>7.12</c:v>
                </c:pt>
                <c:pt idx="1810">
                  <c:v>2.46</c:v>
                </c:pt>
                <c:pt idx="1811">
                  <c:v>2.68</c:v>
                </c:pt>
                <c:pt idx="1812">
                  <c:v>44.92</c:v>
                </c:pt>
                <c:pt idx="1813">
                  <c:v>0.38</c:v>
                </c:pt>
                <c:pt idx="1814">
                  <c:v>2.46</c:v>
                </c:pt>
                <c:pt idx="1815">
                  <c:v>2.46</c:v>
                </c:pt>
                <c:pt idx="1816">
                  <c:v>2.46</c:v>
                </c:pt>
                <c:pt idx="1817">
                  <c:v>1.65</c:v>
                </c:pt>
                <c:pt idx="1818">
                  <c:v>2.46</c:v>
                </c:pt>
                <c:pt idx="1819">
                  <c:v>11.27</c:v>
                </c:pt>
                <c:pt idx="1820">
                  <c:v>389.81</c:v>
                </c:pt>
                <c:pt idx="1821">
                  <c:v>2.46</c:v>
                </c:pt>
                <c:pt idx="1822">
                  <c:v>58.06</c:v>
                </c:pt>
                <c:pt idx="1823">
                  <c:v>2.46</c:v>
                </c:pt>
                <c:pt idx="1824">
                  <c:v>1.28</c:v>
                </c:pt>
                <c:pt idx="1825">
                  <c:v>75.47</c:v>
                </c:pt>
                <c:pt idx="1826">
                  <c:v>50.7</c:v>
                </c:pt>
                <c:pt idx="1827">
                  <c:v>51.69</c:v>
                </c:pt>
                <c:pt idx="1828">
                  <c:v>2.46</c:v>
                </c:pt>
                <c:pt idx="1829">
                  <c:v>2.46</c:v>
                </c:pt>
                <c:pt idx="1830">
                  <c:v>13.41</c:v>
                </c:pt>
                <c:pt idx="1831">
                  <c:v>33.799999999999997</c:v>
                </c:pt>
                <c:pt idx="1832">
                  <c:v>4.08</c:v>
                </c:pt>
                <c:pt idx="1833">
                  <c:v>0.94</c:v>
                </c:pt>
                <c:pt idx="1834">
                  <c:v>0.62</c:v>
                </c:pt>
                <c:pt idx="1835">
                  <c:v>2.46</c:v>
                </c:pt>
                <c:pt idx="1836">
                  <c:v>1.6</c:v>
                </c:pt>
                <c:pt idx="1837">
                  <c:v>10.58</c:v>
                </c:pt>
                <c:pt idx="1838">
                  <c:v>2.46</c:v>
                </c:pt>
                <c:pt idx="1839">
                  <c:v>107.83</c:v>
                </c:pt>
                <c:pt idx="1840">
                  <c:v>41.19</c:v>
                </c:pt>
                <c:pt idx="1841">
                  <c:v>3.02</c:v>
                </c:pt>
                <c:pt idx="1842">
                  <c:v>0.34</c:v>
                </c:pt>
                <c:pt idx="1843">
                  <c:v>2.46</c:v>
                </c:pt>
                <c:pt idx="1844">
                  <c:v>17.27</c:v>
                </c:pt>
                <c:pt idx="1845">
                  <c:v>2.46</c:v>
                </c:pt>
                <c:pt idx="1846">
                  <c:v>51.34</c:v>
                </c:pt>
                <c:pt idx="1847">
                  <c:v>0.17</c:v>
                </c:pt>
                <c:pt idx="1848">
                  <c:v>0.1</c:v>
                </c:pt>
                <c:pt idx="1849">
                  <c:v>2.4300000000000002</c:v>
                </c:pt>
                <c:pt idx="1850">
                  <c:v>2.46</c:v>
                </c:pt>
                <c:pt idx="1851">
                  <c:v>0.13</c:v>
                </c:pt>
                <c:pt idx="1852">
                  <c:v>2.46</c:v>
                </c:pt>
                <c:pt idx="1853">
                  <c:v>2.46</c:v>
                </c:pt>
                <c:pt idx="1854">
                  <c:v>146.88</c:v>
                </c:pt>
                <c:pt idx="1855">
                  <c:v>0.04</c:v>
                </c:pt>
                <c:pt idx="1856">
                  <c:v>2.46</c:v>
                </c:pt>
                <c:pt idx="1857">
                  <c:v>0.13</c:v>
                </c:pt>
                <c:pt idx="1858">
                  <c:v>22.25</c:v>
                </c:pt>
                <c:pt idx="1859">
                  <c:v>2.46</c:v>
                </c:pt>
                <c:pt idx="1860">
                  <c:v>2.46</c:v>
                </c:pt>
                <c:pt idx="1861">
                  <c:v>0</c:v>
                </c:pt>
                <c:pt idx="1862">
                  <c:v>100.23</c:v>
                </c:pt>
                <c:pt idx="1863">
                  <c:v>188.37</c:v>
                </c:pt>
                <c:pt idx="1864">
                  <c:v>0.47</c:v>
                </c:pt>
                <c:pt idx="1865">
                  <c:v>33.700000000000003</c:v>
                </c:pt>
                <c:pt idx="1866">
                  <c:v>0.04</c:v>
                </c:pt>
                <c:pt idx="1867">
                  <c:v>30.35</c:v>
                </c:pt>
                <c:pt idx="1868">
                  <c:v>2.29</c:v>
                </c:pt>
                <c:pt idx="1869">
                  <c:v>0</c:v>
                </c:pt>
                <c:pt idx="1870">
                  <c:v>2.46</c:v>
                </c:pt>
                <c:pt idx="1871">
                  <c:v>620.17999999999995</c:v>
                </c:pt>
                <c:pt idx="1872">
                  <c:v>12.64</c:v>
                </c:pt>
                <c:pt idx="1873">
                  <c:v>2.46</c:v>
                </c:pt>
                <c:pt idx="1874">
                  <c:v>2.46</c:v>
                </c:pt>
                <c:pt idx="1875">
                  <c:v>0.77</c:v>
                </c:pt>
                <c:pt idx="1876">
                  <c:v>0.15</c:v>
                </c:pt>
                <c:pt idx="1877">
                  <c:v>0.49</c:v>
                </c:pt>
                <c:pt idx="1878">
                  <c:v>229.02</c:v>
                </c:pt>
                <c:pt idx="1879">
                  <c:v>17.8</c:v>
                </c:pt>
                <c:pt idx="1880">
                  <c:v>2.46</c:v>
                </c:pt>
                <c:pt idx="1881">
                  <c:v>92.05</c:v>
                </c:pt>
                <c:pt idx="1882">
                  <c:v>18.100000000000001</c:v>
                </c:pt>
                <c:pt idx="1883">
                  <c:v>0.22</c:v>
                </c:pt>
                <c:pt idx="1884">
                  <c:v>2.46</c:v>
                </c:pt>
                <c:pt idx="1885">
                  <c:v>0.18</c:v>
                </c:pt>
                <c:pt idx="1886">
                  <c:v>327.48</c:v>
                </c:pt>
                <c:pt idx="1887">
                  <c:v>264.62</c:v>
                </c:pt>
                <c:pt idx="1888">
                  <c:v>30.01</c:v>
                </c:pt>
                <c:pt idx="1889">
                  <c:v>10.050000000000001</c:v>
                </c:pt>
                <c:pt idx="1890">
                  <c:v>2.46</c:v>
                </c:pt>
                <c:pt idx="1891">
                  <c:v>2.46</c:v>
                </c:pt>
                <c:pt idx="1892">
                  <c:v>2.46</c:v>
                </c:pt>
                <c:pt idx="1893">
                  <c:v>54.51</c:v>
                </c:pt>
                <c:pt idx="1894">
                  <c:v>48.96</c:v>
                </c:pt>
                <c:pt idx="1895">
                  <c:v>209.73</c:v>
                </c:pt>
                <c:pt idx="1896">
                  <c:v>14.11</c:v>
                </c:pt>
                <c:pt idx="1897">
                  <c:v>2.46</c:v>
                </c:pt>
                <c:pt idx="1898">
                  <c:v>0.97</c:v>
                </c:pt>
                <c:pt idx="1899">
                  <c:v>5.9</c:v>
                </c:pt>
                <c:pt idx="1900">
                  <c:v>4.21</c:v>
                </c:pt>
                <c:pt idx="1901">
                  <c:v>0.38</c:v>
                </c:pt>
                <c:pt idx="1902">
                  <c:v>1.03</c:v>
                </c:pt>
                <c:pt idx="1903">
                  <c:v>6.67</c:v>
                </c:pt>
                <c:pt idx="1904">
                  <c:v>1.59</c:v>
                </c:pt>
                <c:pt idx="1905">
                  <c:v>36.25</c:v>
                </c:pt>
                <c:pt idx="1906">
                  <c:v>1.74</c:v>
                </c:pt>
                <c:pt idx="1907">
                  <c:v>63.86</c:v>
                </c:pt>
                <c:pt idx="1908">
                  <c:v>0.53</c:v>
                </c:pt>
                <c:pt idx="1909">
                  <c:v>2.46</c:v>
                </c:pt>
                <c:pt idx="1910">
                  <c:v>1.4</c:v>
                </c:pt>
                <c:pt idx="1911">
                  <c:v>56.47</c:v>
                </c:pt>
                <c:pt idx="1912">
                  <c:v>34.39</c:v>
                </c:pt>
                <c:pt idx="1913">
                  <c:v>0.03</c:v>
                </c:pt>
                <c:pt idx="1914">
                  <c:v>315.06</c:v>
                </c:pt>
                <c:pt idx="1915">
                  <c:v>18.34</c:v>
                </c:pt>
                <c:pt idx="1916">
                  <c:v>28.78</c:v>
                </c:pt>
                <c:pt idx="1917">
                  <c:v>102.83</c:v>
                </c:pt>
                <c:pt idx="1918">
                  <c:v>0.46</c:v>
                </c:pt>
                <c:pt idx="1919">
                  <c:v>81.900000000000006</c:v>
                </c:pt>
                <c:pt idx="1920">
                  <c:v>5.78</c:v>
                </c:pt>
                <c:pt idx="1921">
                  <c:v>2.46</c:v>
                </c:pt>
                <c:pt idx="1922">
                  <c:v>1.02</c:v>
                </c:pt>
                <c:pt idx="1923">
                  <c:v>0.08</c:v>
                </c:pt>
                <c:pt idx="1924">
                  <c:v>11.96</c:v>
                </c:pt>
                <c:pt idx="1925">
                  <c:v>2.46</c:v>
                </c:pt>
                <c:pt idx="1926">
                  <c:v>21.02</c:v>
                </c:pt>
                <c:pt idx="1927">
                  <c:v>0.01</c:v>
                </c:pt>
                <c:pt idx="1928">
                  <c:v>0.56999999999999995</c:v>
                </c:pt>
                <c:pt idx="1929">
                  <c:v>0.96</c:v>
                </c:pt>
                <c:pt idx="1930">
                  <c:v>132.41999999999999</c:v>
                </c:pt>
                <c:pt idx="1931">
                  <c:v>2.46</c:v>
                </c:pt>
                <c:pt idx="1932">
                  <c:v>0.08</c:v>
                </c:pt>
                <c:pt idx="1933">
                  <c:v>0.02</c:v>
                </c:pt>
                <c:pt idx="1934">
                  <c:v>2.46</c:v>
                </c:pt>
                <c:pt idx="1935">
                  <c:v>2.46</c:v>
                </c:pt>
                <c:pt idx="1936">
                  <c:v>0.15</c:v>
                </c:pt>
                <c:pt idx="1937">
                  <c:v>8.0399999999999991</c:v>
                </c:pt>
                <c:pt idx="1938">
                  <c:v>24.45</c:v>
                </c:pt>
                <c:pt idx="1939">
                  <c:v>2.46</c:v>
                </c:pt>
                <c:pt idx="1940">
                  <c:v>334.2</c:v>
                </c:pt>
                <c:pt idx="1941">
                  <c:v>0.75</c:v>
                </c:pt>
                <c:pt idx="1942">
                  <c:v>174.34</c:v>
                </c:pt>
                <c:pt idx="1943">
                  <c:v>25.11</c:v>
                </c:pt>
                <c:pt idx="1944">
                  <c:v>2.46</c:v>
                </c:pt>
                <c:pt idx="1945">
                  <c:v>2.0299999999999998</c:v>
                </c:pt>
                <c:pt idx="1946">
                  <c:v>0.01</c:v>
                </c:pt>
                <c:pt idx="1947">
                  <c:v>1.03</c:v>
                </c:pt>
                <c:pt idx="1948">
                  <c:v>2.46</c:v>
                </c:pt>
                <c:pt idx="1949">
                  <c:v>32.729999999999997</c:v>
                </c:pt>
                <c:pt idx="1950">
                  <c:v>2.46</c:v>
                </c:pt>
                <c:pt idx="1951">
                  <c:v>20.87</c:v>
                </c:pt>
                <c:pt idx="1952">
                  <c:v>2.46</c:v>
                </c:pt>
                <c:pt idx="1953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D-422E-8CEA-E01C5424C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110783"/>
        <c:axId val="1500105023"/>
      </c:scatterChart>
      <c:valAx>
        <c:axId val="15001107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0105023"/>
        <c:crosses val="autoZero"/>
        <c:crossBetween val="midCat"/>
      </c:valAx>
      <c:valAx>
        <c:axId val="15001050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0011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Gross Profit &amp; Duration Correlation Scatter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2424978127734034E-2"/>
                  <c:y val="-8.51483668708078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'Cleaned &amp; Transformed IMDB Movi'!$D$4:$D$1957</c:f>
              <c:numCache>
                <c:formatCode>General</c:formatCode>
                <c:ptCount val="1954"/>
                <c:pt idx="0">
                  <c:v>89</c:v>
                </c:pt>
                <c:pt idx="1">
                  <c:v>100</c:v>
                </c:pt>
                <c:pt idx="2">
                  <c:v>111</c:v>
                </c:pt>
                <c:pt idx="3">
                  <c:v>92</c:v>
                </c:pt>
                <c:pt idx="4">
                  <c:v>139</c:v>
                </c:pt>
                <c:pt idx="5">
                  <c:v>99</c:v>
                </c:pt>
                <c:pt idx="6">
                  <c:v>110</c:v>
                </c:pt>
                <c:pt idx="7">
                  <c:v>97</c:v>
                </c:pt>
                <c:pt idx="8">
                  <c:v>89</c:v>
                </c:pt>
                <c:pt idx="9">
                  <c:v>78</c:v>
                </c:pt>
                <c:pt idx="10">
                  <c:v>96</c:v>
                </c:pt>
                <c:pt idx="11">
                  <c:v>65</c:v>
                </c:pt>
                <c:pt idx="12">
                  <c:v>100</c:v>
                </c:pt>
                <c:pt idx="13">
                  <c:v>99</c:v>
                </c:pt>
                <c:pt idx="14">
                  <c:v>81</c:v>
                </c:pt>
                <c:pt idx="15">
                  <c:v>88</c:v>
                </c:pt>
                <c:pt idx="16">
                  <c:v>91</c:v>
                </c:pt>
                <c:pt idx="17">
                  <c:v>115</c:v>
                </c:pt>
                <c:pt idx="18">
                  <c:v>126</c:v>
                </c:pt>
                <c:pt idx="19">
                  <c:v>125</c:v>
                </c:pt>
                <c:pt idx="20">
                  <c:v>124</c:v>
                </c:pt>
                <c:pt idx="21">
                  <c:v>93</c:v>
                </c:pt>
                <c:pt idx="22">
                  <c:v>100</c:v>
                </c:pt>
                <c:pt idx="23">
                  <c:v>104</c:v>
                </c:pt>
                <c:pt idx="24">
                  <c:v>83</c:v>
                </c:pt>
                <c:pt idx="25">
                  <c:v>124</c:v>
                </c:pt>
                <c:pt idx="26">
                  <c:v>108</c:v>
                </c:pt>
                <c:pt idx="27">
                  <c:v>112</c:v>
                </c:pt>
                <c:pt idx="28">
                  <c:v>113</c:v>
                </c:pt>
                <c:pt idx="29">
                  <c:v>109</c:v>
                </c:pt>
                <c:pt idx="30">
                  <c:v>121</c:v>
                </c:pt>
                <c:pt idx="31">
                  <c:v>115</c:v>
                </c:pt>
                <c:pt idx="32">
                  <c:v>114</c:v>
                </c:pt>
                <c:pt idx="33">
                  <c:v>108</c:v>
                </c:pt>
                <c:pt idx="34">
                  <c:v>87</c:v>
                </c:pt>
                <c:pt idx="35">
                  <c:v>114</c:v>
                </c:pt>
                <c:pt idx="36">
                  <c:v>96</c:v>
                </c:pt>
                <c:pt idx="37">
                  <c:v>104</c:v>
                </c:pt>
                <c:pt idx="38">
                  <c:v>107</c:v>
                </c:pt>
                <c:pt idx="39">
                  <c:v>128</c:v>
                </c:pt>
                <c:pt idx="40">
                  <c:v>103</c:v>
                </c:pt>
                <c:pt idx="41">
                  <c:v>116</c:v>
                </c:pt>
                <c:pt idx="42">
                  <c:v>166</c:v>
                </c:pt>
                <c:pt idx="43">
                  <c:v>140</c:v>
                </c:pt>
                <c:pt idx="44">
                  <c:v>129</c:v>
                </c:pt>
                <c:pt idx="45">
                  <c:v>107</c:v>
                </c:pt>
                <c:pt idx="46">
                  <c:v>94</c:v>
                </c:pt>
                <c:pt idx="47">
                  <c:v>108</c:v>
                </c:pt>
                <c:pt idx="48">
                  <c:v>98</c:v>
                </c:pt>
                <c:pt idx="49">
                  <c:v>76</c:v>
                </c:pt>
                <c:pt idx="50">
                  <c:v>121</c:v>
                </c:pt>
                <c:pt idx="51">
                  <c:v>109</c:v>
                </c:pt>
                <c:pt idx="52">
                  <c:v>53</c:v>
                </c:pt>
                <c:pt idx="53">
                  <c:v>128</c:v>
                </c:pt>
                <c:pt idx="54">
                  <c:v>83</c:v>
                </c:pt>
                <c:pt idx="55">
                  <c:v>99</c:v>
                </c:pt>
                <c:pt idx="56">
                  <c:v>91</c:v>
                </c:pt>
                <c:pt idx="57">
                  <c:v>102</c:v>
                </c:pt>
                <c:pt idx="58">
                  <c:v>104</c:v>
                </c:pt>
                <c:pt idx="59">
                  <c:v>94</c:v>
                </c:pt>
                <c:pt idx="60">
                  <c:v>103</c:v>
                </c:pt>
                <c:pt idx="61">
                  <c:v>124</c:v>
                </c:pt>
                <c:pt idx="62">
                  <c:v>120</c:v>
                </c:pt>
                <c:pt idx="63">
                  <c:v>117</c:v>
                </c:pt>
                <c:pt idx="64">
                  <c:v>101</c:v>
                </c:pt>
                <c:pt idx="65">
                  <c:v>123</c:v>
                </c:pt>
                <c:pt idx="66">
                  <c:v>88</c:v>
                </c:pt>
                <c:pt idx="67">
                  <c:v>105</c:v>
                </c:pt>
                <c:pt idx="68">
                  <c:v>99</c:v>
                </c:pt>
                <c:pt idx="69">
                  <c:v>109</c:v>
                </c:pt>
                <c:pt idx="70">
                  <c:v>109</c:v>
                </c:pt>
                <c:pt idx="71">
                  <c:v>86</c:v>
                </c:pt>
                <c:pt idx="72">
                  <c:v>91</c:v>
                </c:pt>
                <c:pt idx="73">
                  <c:v>120</c:v>
                </c:pt>
                <c:pt idx="74">
                  <c:v>146</c:v>
                </c:pt>
                <c:pt idx="75">
                  <c:v>109</c:v>
                </c:pt>
                <c:pt idx="76">
                  <c:v>98</c:v>
                </c:pt>
                <c:pt idx="77">
                  <c:v>130</c:v>
                </c:pt>
                <c:pt idx="78">
                  <c:v>134</c:v>
                </c:pt>
                <c:pt idx="79">
                  <c:v>123</c:v>
                </c:pt>
                <c:pt idx="80">
                  <c:v>87</c:v>
                </c:pt>
                <c:pt idx="81">
                  <c:v>103</c:v>
                </c:pt>
                <c:pt idx="82">
                  <c:v>85</c:v>
                </c:pt>
                <c:pt idx="83">
                  <c:v>94</c:v>
                </c:pt>
                <c:pt idx="84">
                  <c:v>101</c:v>
                </c:pt>
                <c:pt idx="85">
                  <c:v>90</c:v>
                </c:pt>
                <c:pt idx="86">
                  <c:v>90</c:v>
                </c:pt>
                <c:pt idx="87">
                  <c:v>111</c:v>
                </c:pt>
                <c:pt idx="88">
                  <c:v>85</c:v>
                </c:pt>
                <c:pt idx="89">
                  <c:v>93</c:v>
                </c:pt>
                <c:pt idx="90">
                  <c:v>110</c:v>
                </c:pt>
                <c:pt idx="91">
                  <c:v>125</c:v>
                </c:pt>
                <c:pt idx="92">
                  <c:v>109</c:v>
                </c:pt>
                <c:pt idx="93">
                  <c:v>104</c:v>
                </c:pt>
                <c:pt idx="94">
                  <c:v>120</c:v>
                </c:pt>
                <c:pt idx="95">
                  <c:v>92</c:v>
                </c:pt>
                <c:pt idx="96">
                  <c:v>109</c:v>
                </c:pt>
                <c:pt idx="97">
                  <c:v>186</c:v>
                </c:pt>
                <c:pt idx="98">
                  <c:v>98</c:v>
                </c:pt>
                <c:pt idx="99">
                  <c:v>92</c:v>
                </c:pt>
                <c:pt idx="100">
                  <c:v>90</c:v>
                </c:pt>
                <c:pt idx="101">
                  <c:v>90</c:v>
                </c:pt>
                <c:pt idx="102">
                  <c:v>99</c:v>
                </c:pt>
                <c:pt idx="103">
                  <c:v>100</c:v>
                </c:pt>
                <c:pt idx="104">
                  <c:v>143</c:v>
                </c:pt>
                <c:pt idx="105">
                  <c:v>141</c:v>
                </c:pt>
                <c:pt idx="106">
                  <c:v>120</c:v>
                </c:pt>
                <c:pt idx="107">
                  <c:v>100</c:v>
                </c:pt>
                <c:pt idx="108">
                  <c:v>108</c:v>
                </c:pt>
                <c:pt idx="109">
                  <c:v>107</c:v>
                </c:pt>
                <c:pt idx="110">
                  <c:v>108</c:v>
                </c:pt>
                <c:pt idx="111">
                  <c:v>83</c:v>
                </c:pt>
                <c:pt idx="112">
                  <c:v>125</c:v>
                </c:pt>
                <c:pt idx="113">
                  <c:v>132</c:v>
                </c:pt>
                <c:pt idx="114">
                  <c:v>108</c:v>
                </c:pt>
                <c:pt idx="115">
                  <c:v>105</c:v>
                </c:pt>
                <c:pt idx="116">
                  <c:v>100</c:v>
                </c:pt>
                <c:pt idx="117">
                  <c:v>102</c:v>
                </c:pt>
                <c:pt idx="118">
                  <c:v>120</c:v>
                </c:pt>
                <c:pt idx="119">
                  <c:v>22</c:v>
                </c:pt>
                <c:pt idx="120">
                  <c:v>91</c:v>
                </c:pt>
                <c:pt idx="121">
                  <c:v>92</c:v>
                </c:pt>
                <c:pt idx="122">
                  <c:v>102</c:v>
                </c:pt>
                <c:pt idx="123">
                  <c:v>97</c:v>
                </c:pt>
                <c:pt idx="124">
                  <c:v>118</c:v>
                </c:pt>
                <c:pt idx="125">
                  <c:v>85</c:v>
                </c:pt>
                <c:pt idx="126">
                  <c:v>90</c:v>
                </c:pt>
                <c:pt idx="127">
                  <c:v>95</c:v>
                </c:pt>
                <c:pt idx="128">
                  <c:v>95</c:v>
                </c:pt>
                <c:pt idx="129">
                  <c:v>83</c:v>
                </c:pt>
                <c:pt idx="130">
                  <c:v>95</c:v>
                </c:pt>
                <c:pt idx="131">
                  <c:v>122</c:v>
                </c:pt>
                <c:pt idx="132">
                  <c:v>105</c:v>
                </c:pt>
                <c:pt idx="133">
                  <c:v>92</c:v>
                </c:pt>
                <c:pt idx="134">
                  <c:v>98</c:v>
                </c:pt>
                <c:pt idx="135">
                  <c:v>112</c:v>
                </c:pt>
                <c:pt idx="136">
                  <c:v>94</c:v>
                </c:pt>
                <c:pt idx="137">
                  <c:v>115</c:v>
                </c:pt>
                <c:pt idx="138">
                  <c:v>101</c:v>
                </c:pt>
                <c:pt idx="139">
                  <c:v>92</c:v>
                </c:pt>
                <c:pt idx="140">
                  <c:v>85</c:v>
                </c:pt>
                <c:pt idx="141">
                  <c:v>85</c:v>
                </c:pt>
                <c:pt idx="142">
                  <c:v>104</c:v>
                </c:pt>
                <c:pt idx="143">
                  <c:v>90</c:v>
                </c:pt>
                <c:pt idx="144">
                  <c:v>92</c:v>
                </c:pt>
                <c:pt idx="145">
                  <c:v>115</c:v>
                </c:pt>
                <c:pt idx="146">
                  <c:v>106</c:v>
                </c:pt>
                <c:pt idx="147">
                  <c:v>98</c:v>
                </c:pt>
                <c:pt idx="148">
                  <c:v>90</c:v>
                </c:pt>
                <c:pt idx="149">
                  <c:v>126</c:v>
                </c:pt>
                <c:pt idx="150">
                  <c:v>60</c:v>
                </c:pt>
                <c:pt idx="151">
                  <c:v>95</c:v>
                </c:pt>
                <c:pt idx="152">
                  <c:v>93</c:v>
                </c:pt>
                <c:pt idx="153">
                  <c:v>87</c:v>
                </c:pt>
                <c:pt idx="154">
                  <c:v>93</c:v>
                </c:pt>
                <c:pt idx="155">
                  <c:v>140</c:v>
                </c:pt>
                <c:pt idx="156">
                  <c:v>126</c:v>
                </c:pt>
                <c:pt idx="157">
                  <c:v>89</c:v>
                </c:pt>
                <c:pt idx="158">
                  <c:v>95</c:v>
                </c:pt>
                <c:pt idx="159">
                  <c:v>120</c:v>
                </c:pt>
                <c:pt idx="160">
                  <c:v>102</c:v>
                </c:pt>
                <c:pt idx="161">
                  <c:v>93</c:v>
                </c:pt>
                <c:pt idx="162">
                  <c:v>101</c:v>
                </c:pt>
                <c:pt idx="163">
                  <c:v>93</c:v>
                </c:pt>
                <c:pt idx="164">
                  <c:v>96</c:v>
                </c:pt>
                <c:pt idx="165">
                  <c:v>88</c:v>
                </c:pt>
                <c:pt idx="166">
                  <c:v>90</c:v>
                </c:pt>
                <c:pt idx="167">
                  <c:v>98</c:v>
                </c:pt>
                <c:pt idx="168">
                  <c:v>129</c:v>
                </c:pt>
                <c:pt idx="169">
                  <c:v>87</c:v>
                </c:pt>
                <c:pt idx="170">
                  <c:v>89</c:v>
                </c:pt>
                <c:pt idx="171">
                  <c:v>88</c:v>
                </c:pt>
                <c:pt idx="172">
                  <c:v>119</c:v>
                </c:pt>
                <c:pt idx="173">
                  <c:v>109</c:v>
                </c:pt>
                <c:pt idx="174">
                  <c:v>74</c:v>
                </c:pt>
                <c:pt idx="175">
                  <c:v>103</c:v>
                </c:pt>
                <c:pt idx="176">
                  <c:v>119</c:v>
                </c:pt>
                <c:pt idx="177">
                  <c:v>88</c:v>
                </c:pt>
                <c:pt idx="178">
                  <c:v>86</c:v>
                </c:pt>
                <c:pt idx="179">
                  <c:v>85</c:v>
                </c:pt>
                <c:pt idx="180">
                  <c:v>101</c:v>
                </c:pt>
                <c:pt idx="181">
                  <c:v>82</c:v>
                </c:pt>
                <c:pt idx="182">
                  <c:v>124</c:v>
                </c:pt>
                <c:pt idx="183">
                  <c:v>103</c:v>
                </c:pt>
                <c:pt idx="184">
                  <c:v>115</c:v>
                </c:pt>
                <c:pt idx="185">
                  <c:v>105</c:v>
                </c:pt>
                <c:pt idx="186">
                  <c:v>91</c:v>
                </c:pt>
                <c:pt idx="187">
                  <c:v>91</c:v>
                </c:pt>
                <c:pt idx="188">
                  <c:v>98</c:v>
                </c:pt>
                <c:pt idx="189">
                  <c:v>100</c:v>
                </c:pt>
                <c:pt idx="190">
                  <c:v>97</c:v>
                </c:pt>
                <c:pt idx="191">
                  <c:v>103</c:v>
                </c:pt>
                <c:pt idx="192">
                  <c:v>87</c:v>
                </c:pt>
                <c:pt idx="193">
                  <c:v>100</c:v>
                </c:pt>
                <c:pt idx="194">
                  <c:v>88</c:v>
                </c:pt>
                <c:pt idx="195">
                  <c:v>181</c:v>
                </c:pt>
                <c:pt idx="196">
                  <c:v>118</c:v>
                </c:pt>
                <c:pt idx="197">
                  <c:v>111</c:v>
                </c:pt>
                <c:pt idx="198">
                  <c:v>87</c:v>
                </c:pt>
                <c:pt idx="199">
                  <c:v>102</c:v>
                </c:pt>
                <c:pt idx="200">
                  <c:v>93</c:v>
                </c:pt>
                <c:pt idx="201">
                  <c:v>111</c:v>
                </c:pt>
                <c:pt idx="202">
                  <c:v>87</c:v>
                </c:pt>
                <c:pt idx="203">
                  <c:v>76</c:v>
                </c:pt>
                <c:pt idx="204">
                  <c:v>110</c:v>
                </c:pt>
                <c:pt idx="205">
                  <c:v>94</c:v>
                </c:pt>
                <c:pt idx="206">
                  <c:v>81</c:v>
                </c:pt>
                <c:pt idx="207">
                  <c:v>86</c:v>
                </c:pt>
                <c:pt idx="208">
                  <c:v>102</c:v>
                </c:pt>
                <c:pt idx="209">
                  <c:v>84</c:v>
                </c:pt>
                <c:pt idx="210">
                  <c:v>113</c:v>
                </c:pt>
                <c:pt idx="211">
                  <c:v>90</c:v>
                </c:pt>
                <c:pt idx="212">
                  <c:v>117</c:v>
                </c:pt>
                <c:pt idx="213">
                  <c:v>116</c:v>
                </c:pt>
                <c:pt idx="214">
                  <c:v>87</c:v>
                </c:pt>
                <c:pt idx="215">
                  <c:v>83</c:v>
                </c:pt>
                <c:pt idx="216">
                  <c:v>93</c:v>
                </c:pt>
                <c:pt idx="217">
                  <c:v>88</c:v>
                </c:pt>
                <c:pt idx="218">
                  <c:v>93</c:v>
                </c:pt>
                <c:pt idx="219">
                  <c:v>94</c:v>
                </c:pt>
                <c:pt idx="220">
                  <c:v>95</c:v>
                </c:pt>
                <c:pt idx="221">
                  <c:v>105</c:v>
                </c:pt>
                <c:pt idx="222">
                  <c:v>86</c:v>
                </c:pt>
                <c:pt idx="223">
                  <c:v>104</c:v>
                </c:pt>
                <c:pt idx="224">
                  <c:v>88</c:v>
                </c:pt>
                <c:pt idx="225">
                  <c:v>119</c:v>
                </c:pt>
                <c:pt idx="226">
                  <c:v>103</c:v>
                </c:pt>
                <c:pt idx="227">
                  <c:v>99</c:v>
                </c:pt>
                <c:pt idx="228">
                  <c:v>105</c:v>
                </c:pt>
                <c:pt idx="229">
                  <c:v>87</c:v>
                </c:pt>
                <c:pt idx="230">
                  <c:v>86</c:v>
                </c:pt>
                <c:pt idx="231">
                  <c:v>137</c:v>
                </c:pt>
                <c:pt idx="232">
                  <c:v>108</c:v>
                </c:pt>
                <c:pt idx="233">
                  <c:v>97</c:v>
                </c:pt>
                <c:pt idx="234">
                  <c:v>100</c:v>
                </c:pt>
                <c:pt idx="235">
                  <c:v>81</c:v>
                </c:pt>
                <c:pt idx="236">
                  <c:v>104</c:v>
                </c:pt>
                <c:pt idx="237">
                  <c:v>88</c:v>
                </c:pt>
                <c:pt idx="238">
                  <c:v>110</c:v>
                </c:pt>
                <c:pt idx="239">
                  <c:v>101</c:v>
                </c:pt>
                <c:pt idx="240">
                  <c:v>96</c:v>
                </c:pt>
                <c:pt idx="241">
                  <c:v>129</c:v>
                </c:pt>
                <c:pt idx="242">
                  <c:v>90</c:v>
                </c:pt>
                <c:pt idx="243">
                  <c:v>100</c:v>
                </c:pt>
                <c:pt idx="244">
                  <c:v>102</c:v>
                </c:pt>
                <c:pt idx="245">
                  <c:v>105</c:v>
                </c:pt>
                <c:pt idx="246">
                  <c:v>127</c:v>
                </c:pt>
                <c:pt idx="247">
                  <c:v>89</c:v>
                </c:pt>
                <c:pt idx="248">
                  <c:v>93</c:v>
                </c:pt>
                <c:pt idx="249">
                  <c:v>109</c:v>
                </c:pt>
                <c:pt idx="250">
                  <c:v>120</c:v>
                </c:pt>
                <c:pt idx="251">
                  <c:v>114</c:v>
                </c:pt>
                <c:pt idx="252">
                  <c:v>95</c:v>
                </c:pt>
                <c:pt idx="253">
                  <c:v>109</c:v>
                </c:pt>
                <c:pt idx="254">
                  <c:v>45</c:v>
                </c:pt>
                <c:pt idx="255">
                  <c:v>103</c:v>
                </c:pt>
                <c:pt idx="256">
                  <c:v>93</c:v>
                </c:pt>
                <c:pt idx="257">
                  <c:v>82</c:v>
                </c:pt>
                <c:pt idx="258">
                  <c:v>98</c:v>
                </c:pt>
                <c:pt idx="259">
                  <c:v>121</c:v>
                </c:pt>
                <c:pt idx="260">
                  <c:v>118</c:v>
                </c:pt>
                <c:pt idx="261">
                  <c:v>148</c:v>
                </c:pt>
                <c:pt idx="262">
                  <c:v>95</c:v>
                </c:pt>
                <c:pt idx="263">
                  <c:v>112</c:v>
                </c:pt>
                <c:pt idx="264">
                  <c:v>143</c:v>
                </c:pt>
                <c:pt idx="265">
                  <c:v>98</c:v>
                </c:pt>
                <c:pt idx="266">
                  <c:v>138</c:v>
                </c:pt>
                <c:pt idx="267">
                  <c:v>150</c:v>
                </c:pt>
                <c:pt idx="268">
                  <c:v>99</c:v>
                </c:pt>
                <c:pt idx="269">
                  <c:v>157</c:v>
                </c:pt>
                <c:pt idx="270">
                  <c:v>169</c:v>
                </c:pt>
                <c:pt idx="271">
                  <c:v>100</c:v>
                </c:pt>
                <c:pt idx="272">
                  <c:v>129</c:v>
                </c:pt>
                <c:pt idx="273">
                  <c:v>95</c:v>
                </c:pt>
                <c:pt idx="274">
                  <c:v>105</c:v>
                </c:pt>
                <c:pt idx="275">
                  <c:v>122</c:v>
                </c:pt>
                <c:pt idx="276">
                  <c:v>121</c:v>
                </c:pt>
                <c:pt idx="277">
                  <c:v>94</c:v>
                </c:pt>
                <c:pt idx="278">
                  <c:v>112</c:v>
                </c:pt>
                <c:pt idx="279">
                  <c:v>72</c:v>
                </c:pt>
                <c:pt idx="280">
                  <c:v>91</c:v>
                </c:pt>
                <c:pt idx="281">
                  <c:v>105</c:v>
                </c:pt>
                <c:pt idx="282">
                  <c:v>107</c:v>
                </c:pt>
                <c:pt idx="283">
                  <c:v>147</c:v>
                </c:pt>
                <c:pt idx="284">
                  <c:v>91</c:v>
                </c:pt>
                <c:pt idx="285">
                  <c:v>97</c:v>
                </c:pt>
                <c:pt idx="286">
                  <c:v>87</c:v>
                </c:pt>
                <c:pt idx="287">
                  <c:v>95</c:v>
                </c:pt>
                <c:pt idx="288">
                  <c:v>97</c:v>
                </c:pt>
                <c:pt idx="289">
                  <c:v>96</c:v>
                </c:pt>
                <c:pt idx="290">
                  <c:v>118</c:v>
                </c:pt>
                <c:pt idx="291">
                  <c:v>95</c:v>
                </c:pt>
                <c:pt idx="292">
                  <c:v>89</c:v>
                </c:pt>
                <c:pt idx="293">
                  <c:v>95</c:v>
                </c:pt>
                <c:pt idx="294">
                  <c:v>88</c:v>
                </c:pt>
                <c:pt idx="295">
                  <c:v>90</c:v>
                </c:pt>
                <c:pt idx="296">
                  <c:v>94</c:v>
                </c:pt>
                <c:pt idx="297">
                  <c:v>112</c:v>
                </c:pt>
                <c:pt idx="298">
                  <c:v>127</c:v>
                </c:pt>
                <c:pt idx="299">
                  <c:v>138</c:v>
                </c:pt>
                <c:pt idx="300">
                  <c:v>101</c:v>
                </c:pt>
                <c:pt idx="301">
                  <c:v>100</c:v>
                </c:pt>
                <c:pt idx="302">
                  <c:v>83</c:v>
                </c:pt>
                <c:pt idx="303">
                  <c:v>115</c:v>
                </c:pt>
                <c:pt idx="304">
                  <c:v>92</c:v>
                </c:pt>
                <c:pt idx="305">
                  <c:v>101</c:v>
                </c:pt>
                <c:pt idx="306">
                  <c:v>116</c:v>
                </c:pt>
                <c:pt idx="307">
                  <c:v>115</c:v>
                </c:pt>
                <c:pt idx="308">
                  <c:v>101</c:v>
                </c:pt>
                <c:pt idx="309">
                  <c:v>101</c:v>
                </c:pt>
                <c:pt idx="310">
                  <c:v>102</c:v>
                </c:pt>
                <c:pt idx="311">
                  <c:v>110</c:v>
                </c:pt>
                <c:pt idx="312">
                  <c:v>82</c:v>
                </c:pt>
                <c:pt idx="313">
                  <c:v>99</c:v>
                </c:pt>
                <c:pt idx="314">
                  <c:v>99</c:v>
                </c:pt>
                <c:pt idx="315">
                  <c:v>116</c:v>
                </c:pt>
                <c:pt idx="316">
                  <c:v>109</c:v>
                </c:pt>
                <c:pt idx="317">
                  <c:v>87</c:v>
                </c:pt>
                <c:pt idx="318">
                  <c:v>106</c:v>
                </c:pt>
                <c:pt idx="319">
                  <c:v>116</c:v>
                </c:pt>
                <c:pt idx="320">
                  <c:v>81</c:v>
                </c:pt>
                <c:pt idx="321">
                  <c:v>85</c:v>
                </c:pt>
                <c:pt idx="322">
                  <c:v>101</c:v>
                </c:pt>
                <c:pt idx="323">
                  <c:v>97</c:v>
                </c:pt>
                <c:pt idx="324">
                  <c:v>98</c:v>
                </c:pt>
                <c:pt idx="325">
                  <c:v>86</c:v>
                </c:pt>
                <c:pt idx="326">
                  <c:v>127</c:v>
                </c:pt>
                <c:pt idx="327">
                  <c:v>93</c:v>
                </c:pt>
                <c:pt idx="328">
                  <c:v>86</c:v>
                </c:pt>
                <c:pt idx="329">
                  <c:v>105</c:v>
                </c:pt>
                <c:pt idx="330">
                  <c:v>130</c:v>
                </c:pt>
                <c:pt idx="331">
                  <c:v>102</c:v>
                </c:pt>
                <c:pt idx="332">
                  <c:v>93</c:v>
                </c:pt>
                <c:pt idx="333">
                  <c:v>125</c:v>
                </c:pt>
                <c:pt idx="334">
                  <c:v>140</c:v>
                </c:pt>
                <c:pt idx="335">
                  <c:v>105</c:v>
                </c:pt>
                <c:pt idx="336">
                  <c:v>112</c:v>
                </c:pt>
                <c:pt idx="337">
                  <c:v>105</c:v>
                </c:pt>
                <c:pt idx="338">
                  <c:v>83</c:v>
                </c:pt>
                <c:pt idx="339">
                  <c:v>111</c:v>
                </c:pt>
                <c:pt idx="340">
                  <c:v>107</c:v>
                </c:pt>
                <c:pt idx="341">
                  <c:v>115</c:v>
                </c:pt>
                <c:pt idx="342">
                  <c:v>106</c:v>
                </c:pt>
                <c:pt idx="343">
                  <c:v>107</c:v>
                </c:pt>
                <c:pt idx="344">
                  <c:v>94</c:v>
                </c:pt>
                <c:pt idx="345">
                  <c:v>118</c:v>
                </c:pt>
                <c:pt idx="346">
                  <c:v>106</c:v>
                </c:pt>
                <c:pt idx="347">
                  <c:v>130</c:v>
                </c:pt>
                <c:pt idx="348">
                  <c:v>95</c:v>
                </c:pt>
                <c:pt idx="349">
                  <c:v>134</c:v>
                </c:pt>
                <c:pt idx="350">
                  <c:v>85</c:v>
                </c:pt>
                <c:pt idx="351">
                  <c:v>92</c:v>
                </c:pt>
                <c:pt idx="352">
                  <c:v>115</c:v>
                </c:pt>
                <c:pt idx="353">
                  <c:v>93</c:v>
                </c:pt>
                <c:pt idx="354">
                  <c:v>101</c:v>
                </c:pt>
                <c:pt idx="355">
                  <c:v>158</c:v>
                </c:pt>
                <c:pt idx="356">
                  <c:v>118</c:v>
                </c:pt>
                <c:pt idx="357">
                  <c:v>101</c:v>
                </c:pt>
                <c:pt idx="358">
                  <c:v>89</c:v>
                </c:pt>
                <c:pt idx="359">
                  <c:v>108</c:v>
                </c:pt>
                <c:pt idx="360">
                  <c:v>115</c:v>
                </c:pt>
                <c:pt idx="361">
                  <c:v>117</c:v>
                </c:pt>
                <c:pt idx="362">
                  <c:v>85</c:v>
                </c:pt>
                <c:pt idx="363">
                  <c:v>99</c:v>
                </c:pt>
                <c:pt idx="364">
                  <c:v>115</c:v>
                </c:pt>
                <c:pt idx="365">
                  <c:v>97</c:v>
                </c:pt>
                <c:pt idx="366">
                  <c:v>127</c:v>
                </c:pt>
                <c:pt idx="367">
                  <c:v>110</c:v>
                </c:pt>
                <c:pt idx="368">
                  <c:v>112</c:v>
                </c:pt>
                <c:pt idx="369">
                  <c:v>104</c:v>
                </c:pt>
                <c:pt idx="370">
                  <c:v>94</c:v>
                </c:pt>
                <c:pt idx="371">
                  <c:v>97</c:v>
                </c:pt>
                <c:pt idx="372">
                  <c:v>113</c:v>
                </c:pt>
                <c:pt idx="373">
                  <c:v>98</c:v>
                </c:pt>
                <c:pt idx="374">
                  <c:v>102</c:v>
                </c:pt>
                <c:pt idx="375">
                  <c:v>89</c:v>
                </c:pt>
                <c:pt idx="376">
                  <c:v>101</c:v>
                </c:pt>
                <c:pt idx="377">
                  <c:v>86</c:v>
                </c:pt>
                <c:pt idx="378">
                  <c:v>101</c:v>
                </c:pt>
                <c:pt idx="379">
                  <c:v>89</c:v>
                </c:pt>
                <c:pt idx="380">
                  <c:v>110</c:v>
                </c:pt>
                <c:pt idx="381">
                  <c:v>79</c:v>
                </c:pt>
                <c:pt idx="382">
                  <c:v>80</c:v>
                </c:pt>
                <c:pt idx="383">
                  <c:v>79</c:v>
                </c:pt>
                <c:pt idx="384">
                  <c:v>136</c:v>
                </c:pt>
                <c:pt idx="385">
                  <c:v>65</c:v>
                </c:pt>
                <c:pt idx="386">
                  <c:v>106</c:v>
                </c:pt>
                <c:pt idx="387">
                  <c:v>102</c:v>
                </c:pt>
                <c:pt idx="388">
                  <c:v>103</c:v>
                </c:pt>
                <c:pt idx="389">
                  <c:v>89</c:v>
                </c:pt>
                <c:pt idx="390">
                  <c:v>128</c:v>
                </c:pt>
                <c:pt idx="391">
                  <c:v>86</c:v>
                </c:pt>
                <c:pt idx="392">
                  <c:v>99</c:v>
                </c:pt>
                <c:pt idx="393">
                  <c:v>85</c:v>
                </c:pt>
                <c:pt idx="394">
                  <c:v>89</c:v>
                </c:pt>
                <c:pt idx="395">
                  <c:v>90</c:v>
                </c:pt>
                <c:pt idx="396">
                  <c:v>105</c:v>
                </c:pt>
                <c:pt idx="397">
                  <c:v>91</c:v>
                </c:pt>
                <c:pt idx="398">
                  <c:v>22</c:v>
                </c:pt>
                <c:pt idx="399">
                  <c:v>60</c:v>
                </c:pt>
                <c:pt idx="400">
                  <c:v>113</c:v>
                </c:pt>
                <c:pt idx="401">
                  <c:v>100</c:v>
                </c:pt>
                <c:pt idx="402">
                  <c:v>106</c:v>
                </c:pt>
                <c:pt idx="403">
                  <c:v>104</c:v>
                </c:pt>
                <c:pt idx="404">
                  <c:v>97</c:v>
                </c:pt>
                <c:pt idx="405">
                  <c:v>109</c:v>
                </c:pt>
                <c:pt idx="406">
                  <c:v>89</c:v>
                </c:pt>
                <c:pt idx="407">
                  <c:v>124</c:v>
                </c:pt>
                <c:pt idx="408">
                  <c:v>125</c:v>
                </c:pt>
                <c:pt idx="409">
                  <c:v>130</c:v>
                </c:pt>
                <c:pt idx="410">
                  <c:v>88</c:v>
                </c:pt>
                <c:pt idx="411">
                  <c:v>115</c:v>
                </c:pt>
                <c:pt idx="412">
                  <c:v>118</c:v>
                </c:pt>
                <c:pt idx="413">
                  <c:v>93</c:v>
                </c:pt>
                <c:pt idx="414">
                  <c:v>110</c:v>
                </c:pt>
                <c:pt idx="415">
                  <c:v>104</c:v>
                </c:pt>
                <c:pt idx="416">
                  <c:v>97</c:v>
                </c:pt>
                <c:pt idx="417">
                  <c:v>118</c:v>
                </c:pt>
                <c:pt idx="418">
                  <c:v>85</c:v>
                </c:pt>
                <c:pt idx="419">
                  <c:v>112</c:v>
                </c:pt>
                <c:pt idx="420">
                  <c:v>95</c:v>
                </c:pt>
                <c:pt idx="421">
                  <c:v>98</c:v>
                </c:pt>
                <c:pt idx="422">
                  <c:v>96</c:v>
                </c:pt>
                <c:pt idx="423">
                  <c:v>88</c:v>
                </c:pt>
                <c:pt idx="424">
                  <c:v>108</c:v>
                </c:pt>
                <c:pt idx="425">
                  <c:v>104</c:v>
                </c:pt>
                <c:pt idx="426">
                  <c:v>117</c:v>
                </c:pt>
                <c:pt idx="427">
                  <c:v>90</c:v>
                </c:pt>
                <c:pt idx="428">
                  <c:v>93</c:v>
                </c:pt>
                <c:pt idx="429">
                  <c:v>143</c:v>
                </c:pt>
                <c:pt idx="430">
                  <c:v>90</c:v>
                </c:pt>
                <c:pt idx="431">
                  <c:v>129</c:v>
                </c:pt>
                <c:pt idx="432">
                  <c:v>124</c:v>
                </c:pt>
                <c:pt idx="433">
                  <c:v>101</c:v>
                </c:pt>
                <c:pt idx="434">
                  <c:v>96</c:v>
                </c:pt>
                <c:pt idx="435">
                  <c:v>101</c:v>
                </c:pt>
                <c:pt idx="436">
                  <c:v>109</c:v>
                </c:pt>
                <c:pt idx="437">
                  <c:v>116</c:v>
                </c:pt>
                <c:pt idx="438">
                  <c:v>100</c:v>
                </c:pt>
                <c:pt idx="439">
                  <c:v>115</c:v>
                </c:pt>
                <c:pt idx="440">
                  <c:v>105</c:v>
                </c:pt>
                <c:pt idx="441">
                  <c:v>116</c:v>
                </c:pt>
                <c:pt idx="442">
                  <c:v>130</c:v>
                </c:pt>
                <c:pt idx="443">
                  <c:v>96</c:v>
                </c:pt>
                <c:pt idx="444">
                  <c:v>98</c:v>
                </c:pt>
                <c:pt idx="445">
                  <c:v>131</c:v>
                </c:pt>
                <c:pt idx="446">
                  <c:v>128</c:v>
                </c:pt>
                <c:pt idx="447">
                  <c:v>97</c:v>
                </c:pt>
                <c:pt idx="448">
                  <c:v>180</c:v>
                </c:pt>
                <c:pt idx="449">
                  <c:v>96</c:v>
                </c:pt>
                <c:pt idx="450">
                  <c:v>96</c:v>
                </c:pt>
                <c:pt idx="451">
                  <c:v>98</c:v>
                </c:pt>
                <c:pt idx="452">
                  <c:v>90</c:v>
                </c:pt>
                <c:pt idx="453">
                  <c:v>132</c:v>
                </c:pt>
                <c:pt idx="454">
                  <c:v>93</c:v>
                </c:pt>
                <c:pt idx="455">
                  <c:v>153</c:v>
                </c:pt>
                <c:pt idx="456">
                  <c:v>90</c:v>
                </c:pt>
                <c:pt idx="457">
                  <c:v>103</c:v>
                </c:pt>
                <c:pt idx="458">
                  <c:v>112</c:v>
                </c:pt>
                <c:pt idx="459">
                  <c:v>100</c:v>
                </c:pt>
                <c:pt idx="460">
                  <c:v>112</c:v>
                </c:pt>
                <c:pt idx="461">
                  <c:v>111</c:v>
                </c:pt>
                <c:pt idx="462">
                  <c:v>116</c:v>
                </c:pt>
                <c:pt idx="463">
                  <c:v>81</c:v>
                </c:pt>
                <c:pt idx="464">
                  <c:v>84</c:v>
                </c:pt>
                <c:pt idx="465">
                  <c:v>95</c:v>
                </c:pt>
                <c:pt idx="466">
                  <c:v>98</c:v>
                </c:pt>
                <c:pt idx="467">
                  <c:v>101</c:v>
                </c:pt>
                <c:pt idx="468">
                  <c:v>116</c:v>
                </c:pt>
                <c:pt idx="469">
                  <c:v>106</c:v>
                </c:pt>
                <c:pt idx="470">
                  <c:v>106</c:v>
                </c:pt>
                <c:pt idx="471">
                  <c:v>85</c:v>
                </c:pt>
                <c:pt idx="472">
                  <c:v>134</c:v>
                </c:pt>
                <c:pt idx="473">
                  <c:v>103</c:v>
                </c:pt>
                <c:pt idx="474">
                  <c:v>91</c:v>
                </c:pt>
                <c:pt idx="475">
                  <c:v>111</c:v>
                </c:pt>
                <c:pt idx="476">
                  <c:v>131</c:v>
                </c:pt>
                <c:pt idx="477">
                  <c:v>105</c:v>
                </c:pt>
                <c:pt idx="478">
                  <c:v>82</c:v>
                </c:pt>
                <c:pt idx="479">
                  <c:v>119</c:v>
                </c:pt>
                <c:pt idx="480">
                  <c:v>88</c:v>
                </c:pt>
                <c:pt idx="481">
                  <c:v>131</c:v>
                </c:pt>
                <c:pt idx="482">
                  <c:v>101</c:v>
                </c:pt>
                <c:pt idx="483">
                  <c:v>89</c:v>
                </c:pt>
                <c:pt idx="484">
                  <c:v>97</c:v>
                </c:pt>
                <c:pt idx="485">
                  <c:v>126</c:v>
                </c:pt>
                <c:pt idx="486">
                  <c:v>111</c:v>
                </c:pt>
                <c:pt idx="487">
                  <c:v>86</c:v>
                </c:pt>
                <c:pt idx="488">
                  <c:v>131</c:v>
                </c:pt>
                <c:pt idx="489">
                  <c:v>132</c:v>
                </c:pt>
                <c:pt idx="490">
                  <c:v>110</c:v>
                </c:pt>
                <c:pt idx="491">
                  <c:v>130</c:v>
                </c:pt>
                <c:pt idx="492">
                  <c:v>90</c:v>
                </c:pt>
                <c:pt idx="493">
                  <c:v>141</c:v>
                </c:pt>
                <c:pt idx="494">
                  <c:v>150</c:v>
                </c:pt>
                <c:pt idx="495">
                  <c:v>146</c:v>
                </c:pt>
                <c:pt idx="496">
                  <c:v>86</c:v>
                </c:pt>
                <c:pt idx="497">
                  <c:v>134</c:v>
                </c:pt>
                <c:pt idx="498">
                  <c:v>180</c:v>
                </c:pt>
                <c:pt idx="499">
                  <c:v>121</c:v>
                </c:pt>
                <c:pt idx="500">
                  <c:v>117</c:v>
                </c:pt>
                <c:pt idx="501">
                  <c:v>114</c:v>
                </c:pt>
                <c:pt idx="502">
                  <c:v>115</c:v>
                </c:pt>
                <c:pt idx="503">
                  <c:v>93</c:v>
                </c:pt>
                <c:pt idx="504">
                  <c:v>90</c:v>
                </c:pt>
                <c:pt idx="505">
                  <c:v>102</c:v>
                </c:pt>
                <c:pt idx="506">
                  <c:v>126</c:v>
                </c:pt>
                <c:pt idx="507">
                  <c:v>113</c:v>
                </c:pt>
                <c:pt idx="508">
                  <c:v>108</c:v>
                </c:pt>
                <c:pt idx="509">
                  <c:v>96</c:v>
                </c:pt>
                <c:pt idx="510">
                  <c:v>80</c:v>
                </c:pt>
                <c:pt idx="511">
                  <c:v>100</c:v>
                </c:pt>
                <c:pt idx="512">
                  <c:v>90</c:v>
                </c:pt>
                <c:pt idx="513">
                  <c:v>110</c:v>
                </c:pt>
                <c:pt idx="514">
                  <c:v>123</c:v>
                </c:pt>
                <c:pt idx="515">
                  <c:v>100</c:v>
                </c:pt>
                <c:pt idx="516">
                  <c:v>98</c:v>
                </c:pt>
                <c:pt idx="517">
                  <c:v>117</c:v>
                </c:pt>
                <c:pt idx="518">
                  <c:v>123</c:v>
                </c:pt>
                <c:pt idx="519">
                  <c:v>113</c:v>
                </c:pt>
                <c:pt idx="520">
                  <c:v>92</c:v>
                </c:pt>
                <c:pt idx="521">
                  <c:v>130</c:v>
                </c:pt>
                <c:pt idx="522">
                  <c:v>95</c:v>
                </c:pt>
                <c:pt idx="523">
                  <c:v>122</c:v>
                </c:pt>
                <c:pt idx="524">
                  <c:v>105</c:v>
                </c:pt>
                <c:pt idx="525">
                  <c:v>100</c:v>
                </c:pt>
                <c:pt idx="526">
                  <c:v>93</c:v>
                </c:pt>
                <c:pt idx="527">
                  <c:v>91</c:v>
                </c:pt>
                <c:pt idx="528">
                  <c:v>118</c:v>
                </c:pt>
                <c:pt idx="529">
                  <c:v>91</c:v>
                </c:pt>
                <c:pt idx="530">
                  <c:v>97</c:v>
                </c:pt>
                <c:pt idx="531">
                  <c:v>97</c:v>
                </c:pt>
                <c:pt idx="532">
                  <c:v>107</c:v>
                </c:pt>
                <c:pt idx="533">
                  <c:v>143</c:v>
                </c:pt>
                <c:pt idx="534">
                  <c:v>80</c:v>
                </c:pt>
                <c:pt idx="535">
                  <c:v>90</c:v>
                </c:pt>
                <c:pt idx="536">
                  <c:v>95</c:v>
                </c:pt>
                <c:pt idx="537">
                  <c:v>104</c:v>
                </c:pt>
                <c:pt idx="538">
                  <c:v>104</c:v>
                </c:pt>
                <c:pt idx="539">
                  <c:v>138</c:v>
                </c:pt>
                <c:pt idx="540">
                  <c:v>99</c:v>
                </c:pt>
                <c:pt idx="541">
                  <c:v>121</c:v>
                </c:pt>
                <c:pt idx="542">
                  <c:v>90</c:v>
                </c:pt>
                <c:pt idx="543">
                  <c:v>106</c:v>
                </c:pt>
                <c:pt idx="544">
                  <c:v>126</c:v>
                </c:pt>
                <c:pt idx="545">
                  <c:v>122</c:v>
                </c:pt>
                <c:pt idx="546">
                  <c:v>93</c:v>
                </c:pt>
                <c:pt idx="547">
                  <c:v>110</c:v>
                </c:pt>
                <c:pt idx="548">
                  <c:v>128</c:v>
                </c:pt>
                <c:pt idx="549">
                  <c:v>103</c:v>
                </c:pt>
                <c:pt idx="550">
                  <c:v>97</c:v>
                </c:pt>
                <c:pt idx="551">
                  <c:v>82</c:v>
                </c:pt>
                <c:pt idx="552">
                  <c:v>85</c:v>
                </c:pt>
                <c:pt idx="553">
                  <c:v>86</c:v>
                </c:pt>
                <c:pt idx="554">
                  <c:v>117</c:v>
                </c:pt>
                <c:pt idx="555">
                  <c:v>101</c:v>
                </c:pt>
                <c:pt idx="556">
                  <c:v>86</c:v>
                </c:pt>
                <c:pt idx="557">
                  <c:v>124</c:v>
                </c:pt>
                <c:pt idx="558">
                  <c:v>103</c:v>
                </c:pt>
                <c:pt idx="559">
                  <c:v>108</c:v>
                </c:pt>
                <c:pt idx="560">
                  <c:v>120</c:v>
                </c:pt>
                <c:pt idx="561">
                  <c:v>93</c:v>
                </c:pt>
                <c:pt idx="562">
                  <c:v>111</c:v>
                </c:pt>
                <c:pt idx="563">
                  <c:v>127</c:v>
                </c:pt>
                <c:pt idx="564">
                  <c:v>95</c:v>
                </c:pt>
                <c:pt idx="565">
                  <c:v>116</c:v>
                </c:pt>
                <c:pt idx="566">
                  <c:v>98</c:v>
                </c:pt>
                <c:pt idx="567">
                  <c:v>94</c:v>
                </c:pt>
                <c:pt idx="568">
                  <c:v>125</c:v>
                </c:pt>
                <c:pt idx="569">
                  <c:v>90</c:v>
                </c:pt>
                <c:pt idx="570">
                  <c:v>99</c:v>
                </c:pt>
                <c:pt idx="571">
                  <c:v>91</c:v>
                </c:pt>
                <c:pt idx="572">
                  <c:v>120</c:v>
                </c:pt>
                <c:pt idx="573">
                  <c:v>93</c:v>
                </c:pt>
                <c:pt idx="574">
                  <c:v>93</c:v>
                </c:pt>
                <c:pt idx="575">
                  <c:v>121</c:v>
                </c:pt>
                <c:pt idx="576">
                  <c:v>90</c:v>
                </c:pt>
                <c:pt idx="577">
                  <c:v>99</c:v>
                </c:pt>
                <c:pt idx="578">
                  <c:v>99</c:v>
                </c:pt>
                <c:pt idx="579">
                  <c:v>97</c:v>
                </c:pt>
                <c:pt idx="580">
                  <c:v>99</c:v>
                </c:pt>
                <c:pt idx="581">
                  <c:v>104</c:v>
                </c:pt>
                <c:pt idx="582">
                  <c:v>91</c:v>
                </c:pt>
                <c:pt idx="583">
                  <c:v>93</c:v>
                </c:pt>
                <c:pt idx="584">
                  <c:v>105</c:v>
                </c:pt>
                <c:pt idx="585">
                  <c:v>91</c:v>
                </c:pt>
                <c:pt idx="586">
                  <c:v>117</c:v>
                </c:pt>
                <c:pt idx="587">
                  <c:v>100</c:v>
                </c:pt>
                <c:pt idx="588">
                  <c:v>122</c:v>
                </c:pt>
                <c:pt idx="589">
                  <c:v>84</c:v>
                </c:pt>
                <c:pt idx="590">
                  <c:v>84</c:v>
                </c:pt>
                <c:pt idx="591">
                  <c:v>115</c:v>
                </c:pt>
                <c:pt idx="592">
                  <c:v>128</c:v>
                </c:pt>
                <c:pt idx="593">
                  <c:v>110</c:v>
                </c:pt>
                <c:pt idx="594">
                  <c:v>121</c:v>
                </c:pt>
                <c:pt idx="595">
                  <c:v>104</c:v>
                </c:pt>
                <c:pt idx="596">
                  <c:v>98</c:v>
                </c:pt>
                <c:pt idx="597">
                  <c:v>93</c:v>
                </c:pt>
                <c:pt idx="598">
                  <c:v>94</c:v>
                </c:pt>
                <c:pt idx="599">
                  <c:v>108</c:v>
                </c:pt>
                <c:pt idx="600">
                  <c:v>112</c:v>
                </c:pt>
                <c:pt idx="601">
                  <c:v>100</c:v>
                </c:pt>
                <c:pt idx="602">
                  <c:v>91</c:v>
                </c:pt>
                <c:pt idx="603">
                  <c:v>114</c:v>
                </c:pt>
                <c:pt idx="604">
                  <c:v>111</c:v>
                </c:pt>
                <c:pt idx="605">
                  <c:v>92</c:v>
                </c:pt>
                <c:pt idx="606">
                  <c:v>106</c:v>
                </c:pt>
                <c:pt idx="607">
                  <c:v>98</c:v>
                </c:pt>
                <c:pt idx="608">
                  <c:v>100</c:v>
                </c:pt>
                <c:pt idx="609">
                  <c:v>111</c:v>
                </c:pt>
                <c:pt idx="610">
                  <c:v>104</c:v>
                </c:pt>
                <c:pt idx="611">
                  <c:v>113</c:v>
                </c:pt>
                <c:pt idx="612">
                  <c:v>137</c:v>
                </c:pt>
                <c:pt idx="613">
                  <c:v>105</c:v>
                </c:pt>
                <c:pt idx="614">
                  <c:v>131</c:v>
                </c:pt>
                <c:pt idx="615">
                  <c:v>117</c:v>
                </c:pt>
                <c:pt idx="616">
                  <c:v>102</c:v>
                </c:pt>
                <c:pt idx="617">
                  <c:v>130</c:v>
                </c:pt>
                <c:pt idx="618">
                  <c:v>98</c:v>
                </c:pt>
                <c:pt idx="619">
                  <c:v>113</c:v>
                </c:pt>
                <c:pt idx="620">
                  <c:v>108</c:v>
                </c:pt>
                <c:pt idx="621">
                  <c:v>114</c:v>
                </c:pt>
                <c:pt idx="622">
                  <c:v>107</c:v>
                </c:pt>
                <c:pt idx="623">
                  <c:v>138</c:v>
                </c:pt>
                <c:pt idx="624">
                  <c:v>112</c:v>
                </c:pt>
                <c:pt idx="625">
                  <c:v>107</c:v>
                </c:pt>
                <c:pt idx="626">
                  <c:v>88</c:v>
                </c:pt>
                <c:pt idx="627">
                  <c:v>90</c:v>
                </c:pt>
                <c:pt idx="628">
                  <c:v>92</c:v>
                </c:pt>
                <c:pt idx="629">
                  <c:v>111</c:v>
                </c:pt>
                <c:pt idx="630">
                  <c:v>94</c:v>
                </c:pt>
                <c:pt idx="631">
                  <c:v>87</c:v>
                </c:pt>
                <c:pt idx="632">
                  <c:v>120</c:v>
                </c:pt>
                <c:pt idx="633">
                  <c:v>89</c:v>
                </c:pt>
                <c:pt idx="634">
                  <c:v>130</c:v>
                </c:pt>
                <c:pt idx="635">
                  <c:v>95</c:v>
                </c:pt>
                <c:pt idx="636">
                  <c:v>105</c:v>
                </c:pt>
                <c:pt idx="637">
                  <c:v>123</c:v>
                </c:pt>
                <c:pt idx="638">
                  <c:v>91</c:v>
                </c:pt>
                <c:pt idx="639">
                  <c:v>84</c:v>
                </c:pt>
                <c:pt idx="640">
                  <c:v>94</c:v>
                </c:pt>
                <c:pt idx="641">
                  <c:v>109</c:v>
                </c:pt>
                <c:pt idx="642">
                  <c:v>92</c:v>
                </c:pt>
                <c:pt idx="643">
                  <c:v>95</c:v>
                </c:pt>
                <c:pt idx="644">
                  <c:v>94</c:v>
                </c:pt>
                <c:pt idx="645">
                  <c:v>118</c:v>
                </c:pt>
                <c:pt idx="646">
                  <c:v>105</c:v>
                </c:pt>
                <c:pt idx="647">
                  <c:v>97</c:v>
                </c:pt>
                <c:pt idx="648">
                  <c:v>94</c:v>
                </c:pt>
                <c:pt idx="649">
                  <c:v>117</c:v>
                </c:pt>
                <c:pt idx="650">
                  <c:v>124</c:v>
                </c:pt>
                <c:pt idx="651">
                  <c:v>96</c:v>
                </c:pt>
                <c:pt idx="652">
                  <c:v>105</c:v>
                </c:pt>
                <c:pt idx="653">
                  <c:v>137</c:v>
                </c:pt>
                <c:pt idx="654">
                  <c:v>82</c:v>
                </c:pt>
                <c:pt idx="655">
                  <c:v>112</c:v>
                </c:pt>
                <c:pt idx="656">
                  <c:v>94</c:v>
                </c:pt>
                <c:pt idx="657">
                  <c:v>107</c:v>
                </c:pt>
                <c:pt idx="658">
                  <c:v>161</c:v>
                </c:pt>
                <c:pt idx="659">
                  <c:v>139</c:v>
                </c:pt>
                <c:pt idx="660">
                  <c:v>94</c:v>
                </c:pt>
                <c:pt idx="661">
                  <c:v>96</c:v>
                </c:pt>
                <c:pt idx="662">
                  <c:v>102</c:v>
                </c:pt>
                <c:pt idx="663">
                  <c:v>117</c:v>
                </c:pt>
                <c:pt idx="664">
                  <c:v>98</c:v>
                </c:pt>
                <c:pt idx="665">
                  <c:v>104</c:v>
                </c:pt>
                <c:pt idx="666">
                  <c:v>100</c:v>
                </c:pt>
                <c:pt idx="667">
                  <c:v>89</c:v>
                </c:pt>
                <c:pt idx="668">
                  <c:v>133</c:v>
                </c:pt>
                <c:pt idx="669">
                  <c:v>120</c:v>
                </c:pt>
                <c:pt idx="670">
                  <c:v>96</c:v>
                </c:pt>
                <c:pt idx="671">
                  <c:v>99</c:v>
                </c:pt>
                <c:pt idx="672">
                  <c:v>92</c:v>
                </c:pt>
                <c:pt idx="673">
                  <c:v>104</c:v>
                </c:pt>
                <c:pt idx="674">
                  <c:v>85</c:v>
                </c:pt>
                <c:pt idx="675">
                  <c:v>120</c:v>
                </c:pt>
                <c:pt idx="676">
                  <c:v>97</c:v>
                </c:pt>
                <c:pt idx="677">
                  <c:v>81</c:v>
                </c:pt>
                <c:pt idx="678">
                  <c:v>98</c:v>
                </c:pt>
                <c:pt idx="679">
                  <c:v>95</c:v>
                </c:pt>
                <c:pt idx="680">
                  <c:v>102</c:v>
                </c:pt>
                <c:pt idx="681">
                  <c:v>99</c:v>
                </c:pt>
                <c:pt idx="682">
                  <c:v>83</c:v>
                </c:pt>
                <c:pt idx="683">
                  <c:v>84</c:v>
                </c:pt>
                <c:pt idx="684">
                  <c:v>115</c:v>
                </c:pt>
                <c:pt idx="685">
                  <c:v>101</c:v>
                </c:pt>
                <c:pt idx="686">
                  <c:v>100</c:v>
                </c:pt>
                <c:pt idx="687">
                  <c:v>141</c:v>
                </c:pt>
                <c:pt idx="688">
                  <c:v>87</c:v>
                </c:pt>
                <c:pt idx="689">
                  <c:v>96</c:v>
                </c:pt>
                <c:pt idx="690">
                  <c:v>107</c:v>
                </c:pt>
                <c:pt idx="691">
                  <c:v>85</c:v>
                </c:pt>
                <c:pt idx="692">
                  <c:v>114</c:v>
                </c:pt>
                <c:pt idx="693">
                  <c:v>119</c:v>
                </c:pt>
                <c:pt idx="694">
                  <c:v>100</c:v>
                </c:pt>
                <c:pt idx="695">
                  <c:v>95</c:v>
                </c:pt>
                <c:pt idx="696">
                  <c:v>100</c:v>
                </c:pt>
                <c:pt idx="697">
                  <c:v>88</c:v>
                </c:pt>
                <c:pt idx="698">
                  <c:v>85</c:v>
                </c:pt>
                <c:pt idx="699">
                  <c:v>77</c:v>
                </c:pt>
                <c:pt idx="700">
                  <c:v>104</c:v>
                </c:pt>
                <c:pt idx="701">
                  <c:v>85</c:v>
                </c:pt>
                <c:pt idx="702">
                  <c:v>102</c:v>
                </c:pt>
                <c:pt idx="703">
                  <c:v>90</c:v>
                </c:pt>
                <c:pt idx="704">
                  <c:v>116</c:v>
                </c:pt>
                <c:pt idx="705">
                  <c:v>114</c:v>
                </c:pt>
                <c:pt idx="706">
                  <c:v>119</c:v>
                </c:pt>
                <c:pt idx="707">
                  <c:v>118</c:v>
                </c:pt>
                <c:pt idx="708">
                  <c:v>87</c:v>
                </c:pt>
                <c:pt idx="709">
                  <c:v>109</c:v>
                </c:pt>
                <c:pt idx="710">
                  <c:v>92</c:v>
                </c:pt>
                <c:pt idx="711">
                  <c:v>99</c:v>
                </c:pt>
                <c:pt idx="712">
                  <c:v>102</c:v>
                </c:pt>
                <c:pt idx="713">
                  <c:v>93</c:v>
                </c:pt>
                <c:pt idx="714">
                  <c:v>91</c:v>
                </c:pt>
                <c:pt idx="715">
                  <c:v>91</c:v>
                </c:pt>
                <c:pt idx="716">
                  <c:v>107</c:v>
                </c:pt>
                <c:pt idx="717">
                  <c:v>106</c:v>
                </c:pt>
                <c:pt idx="718">
                  <c:v>108</c:v>
                </c:pt>
                <c:pt idx="719">
                  <c:v>98</c:v>
                </c:pt>
                <c:pt idx="720">
                  <c:v>117</c:v>
                </c:pt>
                <c:pt idx="721">
                  <c:v>78</c:v>
                </c:pt>
                <c:pt idx="722">
                  <c:v>118</c:v>
                </c:pt>
                <c:pt idx="723">
                  <c:v>105</c:v>
                </c:pt>
                <c:pt idx="724">
                  <c:v>117</c:v>
                </c:pt>
                <c:pt idx="725">
                  <c:v>95</c:v>
                </c:pt>
                <c:pt idx="726">
                  <c:v>99</c:v>
                </c:pt>
                <c:pt idx="727">
                  <c:v>90</c:v>
                </c:pt>
                <c:pt idx="728">
                  <c:v>105</c:v>
                </c:pt>
                <c:pt idx="729">
                  <c:v>104</c:v>
                </c:pt>
                <c:pt idx="730">
                  <c:v>108</c:v>
                </c:pt>
                <c:pt idx="731">
                  <c:v>104</c:v>
                </c:pt>
                <c:pt idx="732">
                  <c:v>118</c:v>
                </c:pt>
                <c:pt idx="733">
                  <c:v>104</c:v>
                </c:pt>
                <c:pt idx="734">
                  <c:v>104</c:v>
                </c:pt>
                <c:pt idx="735">
                  <c:v>106</c:v>
                </c:pt>
                <c:pt idx="736">
                  <c:v>113</c:v>
                </c:pt>
                <c:pt idx="737">
                  <c:v>138</c:v>
                </c:pt>
                <c:pt idx="738">
                  <c:v>139</c:v>
                </c:pt>
                <c:pt idx="739">
                  <c:v>103</c:v>
                </c:pt>
                <c:pt idx="740">
                  <c:v>102</c:v>
                </c:pt>
                <c:pt idx="741">
                  <c:v>110</c:v>
                </c:pt>
                <c:pt idx="742">
                  <c:v>103</c:v>
                </c:pt>
                <c:pt idx="743">
                  <c:v>109</c:v>
                </c:pt>
                <c:pt idx="744">
                  <c:v>104</c:v>
                </c:pt>
                <c:pt idx="745">
                  <c:v>132</c:v>
                </c:pt>
                <c:pt idx="746">
                  <c:v>132</c:v>
                </c:pt>
                <c:pt idx="747">
                  <c:v>119</c:v>
                </c:pt>
                <c:pt idx="748">
                  <c:v>126</c:v>
                </c:pt>
                <c:pt idx="749">
                  <c:v>109</c:v>
                </c:pt>
                <c:pt idx="750">
                  <c:v>142</c:v>
                </c:pt>
                <c:pt idx="751">
                  <c:v>123</c:v>
                </c:pt>
                <c:pt idx="752">
                  <c:v>103</c:v>
                </c:pt>
                <c:pt idx="753">
                  <c:v>103</c:v>
                </c:pt>
                <c:pt idx="754">
                  <c:v>93</c:v>
                </c:pt>
                <c:pt idx="755">
                  <c:v>125</c:v>
                </c:pt>
                <c:pt idx="756">
                  <c:v>126</c:v>
                </c:pt>
                <c:pt idx="757">
                  <c:v>112</c:v>
                </c:pt>
                <c:pt idx="758">
                  <c:v>114</c:v>
                </c:pt>
                <c:pt idx="759">
                  <c:v>95</c:v>
                </c:pt>
                <c:pt idx="760">
                  <c:v>97</c:v>
                </c:pt>
                <c:pt idx="761">
                  <c:v>108</c:v>
                </c:pt>
                <c:pt idx="762">
                  <c:v>96</c:v>
                </c:pt>
                <c:pt idx="763">
                  <c:v>111</c:v>
                </c:pt>
                <c:pt idx="764">
                  <c:v>116</c:v>
                </c:pt>
                <c:pt idx="765">
                  <c:v>97</c:v>
                </c:pt>
                <c:pt idx="766">
                  <c:v>96</c:v>
                </c:pt>
                <c:pt idx="767">
                  <c:v>90</c:v>
                </c:pt>
                <c:pt idx="768">
                  <c:v>122</c:v>
                </c:pt>
                <c:pt idx="769">
                  <c:v>108</c:v>
                </c:pt>
                <c:pt idx="770">
                  <c:v>165</c:v>
                </c:pt>
                <c:pt idx="771">
                  <c:v>112</c:v>
                </c:pt>
                <c:pt idx="772">
                  <c:v>124</c:v>
                </c:pt>
                <c:pt idx="773">
                  <c:v>91</c:v>
                </c:pt>
                <c:pt idx="774">
                  <c:v>88</c:v>
                </c:pt>
                <c:pt idx="775">
                  <c:v>109</c:v>
                </c:pt>
                <c:pt idx="776">
                  <c:v>99</c:v>
                </c:pt>
                <c:pt idx="777">
                  <c:v>114</c:v>
                </c:pt>
                <c:pt idx="778">
                  <c:v>109</c:v>
                </c:pt>
                <c:pt idx="779">
                  <c:v>102</c:v>
                </c:pt>
                <c:pt idx="780">
                  <c:v>100</c:v>
                </c:pt>
                <c:pt idx="781">
                  <c:v>110</c:v>
                </c:pt>
                <c:pt idx="782">
                  <c:v>102</c:v>
                </c:pt>
                <c:pt idx="783">
                  <c:v>130</c:v>
                </c:pt>
                <c:pt idx="784">
                  <c:v>141</c:v>
                </c:pt>
                <c:pt idx="785">
                  <c:v>121</c:v>
                </c:pt>
                <c:pt idx="786">
                  <c:v>107</c:v>
                </c:pt>
                <c:pt idx="787">
                  <c:v>112</c:v>
                </c:pt>
                <c:pt idx="788">
                  <c:v>97</c:v>
                </c:pt>
                <c:pt idx="789">
                  <c:v>98</c:v>
                </c:pt>
                <c:pt idx="790">
                  <c:v>88</c:v>
                </c:pt>
                <c:pt idx="791">
                  <c:v>122</c:v>
                </c:pt>
                <c:pt idx="792">
                  <c:v>90</c:v>
                </c:pt>
                <c:pt idx="793">
                  <c:v>89</c:v>
                </c:pt>
                <c:pt idx="794">
                  <c:v>92</c:v>
                </c:pt>
                <c:pt idx="795">
                  <c:v>97</c:v>
                </c:pt>
                <c:pt idx="796">
                  <c:v>97</c:v>
                </c:pt>
                <c:pt idx="797">
                  <c:v>102</c:v>
                </c:pt>
                <c:pt idx="798">
                  <c:v>134</c:v>
                </c:pt>
                <c:pt idx="799">
                  <c:v>86</c:v>
                </c:pt>
                <c:pt idx="800">
                  <c:v>98</c:v>
                </c:pt>
                <c:pt idx="801">
                  <c:v>99</c:v>
                </c:pt>
                <c:pt idx="802">
                  <c:v>88</c:v>
                </c:pt>
                <c:pt idx="803">
                  <c:v>111</c:v>
                </c:pt>
                <c:pt idx="804">
                  <c:v>109</c:v>
                </c:pt>
                <c:pt idx="805">
                  <c:v>102</c:v>
                </c:pt>
                <c:pt idx="806">
                  <c:v>100</c:v>
                </c:pt>
                <c:pt idx="807">
                  <c:v>112</c:v>
                </c:pt>
                <c:pt idx="808">
                  <c:v>103</c:v>
                </c:pt>
                <c:pt idx="809">
                  <c:v>94</c:v>
                </c:pt>
                <c:pt idx="810">
                  <c:v>105</c:v>
                </c:pt>
                <c:pt idx="811">
                  <c:v>113</c:v>
                </c:pt>
                <c:pt idx="812">
                  <c:v>97</c:v>
                </c:pt>
                <c:pt idx="813">
                  <c:v>121</c:v>
                </c:pt>
                <c:pt idx="814">
                  <c:v>111</c:v>
                </c:pt>
                <c:pt idx="815">
                  <c:v>122</c:v>
                </c:pt>
                <c:pt idx="816">
                  <c:v>127</c:v>
                </c:pt>
                <c:pt idx="817">
                  <c:v>110</c:v>
                </c:pt>
                <c:pt idx="818">
                  <c:v>134</c:v>
                </c:pt>
                <c:pt idx="819">
                  <c:v>91</c:v>
                </c:pt>
                <c:pt idx="820">
                  <c:v>106</c:v>
                </c:pt>
                <c:pt idx="821">
                  <c:v>149</c:v>
                </c:pt>
                <c:pt idx="822">
                  <c:v>93</c:v>
                </c:pt>
                <c:pt idx="823">
                  <c:v>132</c:v>
                </c:pt>
                <c:pt idx="824">
                  <c:v>88</c:v>
                </c:pt>
                <c:pt idx="825">
                  <c:v>109</c:v>
                </c:pt>
                <c:pt idx="826">
                  <c:v>95</c:v>
                </c:pt>
                <c:pt idx="827">
                  <c:v>150</c:v>
                </c:pt>
                <c:pt idx="828">
                  <c:v>92</c:v>
                </c:pt>
                <c:pt idx="829">
                  <c:v>136</c:v>
                </c:pt>
                <c:pt idx="830">
                  <c:v>78</c:v>
                </c:pt>
                <c:pt idx="831">
                  <c:v>94</c:v>
                </c:pt>
                <c:pt idx="832">
                  <c:v>70</c:v>
                </c:pt>
                <c:pt idx="833">
                  <c:v>101</c:v>
                </c:pt>
                <c:pt idx="834">
                  <c:v>165</c:v>
                </c:pt>
                <c:pt idx="835">
                  <c:v>101</c:v>
                </c:pt>
                <c:pt idx="836">
                  <c:v>99</c:v>
                </c:pt>
                <c:pt idx="837">
                  <c:v>117</c:v>
                </c:pt>
                <c:pt idx="838">
                  <c:v>93</c:v>
                </c:pt>
                <c:pt idx="839">
                  <c:v>102</c:v>
                </c:pt>
                <c:pt idx="840">
                  <c:v>104</c:v>
                </c:pt>
                <c:pt idx="841">
                  <c:v>114</c:v>
                </c:pt>
                <c:pt idx="842">
                  <c:v>139</c:v>
                </c:pt>
                <c:pt idx="843">
                  <c:v>102</c:v>
                </c:pt>
                <c:pt idx="844">
                  <c:v>94</c:v>
                </c:pt>
                <c:pt idx="845">
                  <c:v>134</c:v>
                </c:pt>
                <c:pt idx="846">
                  <c:v>102</c:v>
                </c:pt>
                <c:pt idx="847">
                  <c:v>100</c:v>
                </c:pt>
                <c:pt idx="848">
                  <c:v>94</c:v>
                </c:pt>
                <c:pt idx="849">
                  <c:v>125</c:v>
                </c:pt>
                <c:pt idx="850">
                  <c:v>101</c:v>
                </c:pt>
                <c:pt idx="851">
                  <c:v>108</c:v>
                </c:pt>
                <c:pt idx="852">
                  <c:v>101</c:v>
                </c:pt>
                <c:pt idx="853">
                  <c:v>150</c:v>
                </c:pt>
                <c:pt idx="854">
                  <c:v>133</c:v>
                </c:pt>
                <c:pt idx="855">
                  <c:v>117</c:v>
                </c:pt>
                <c:pt idx="856">
                  <c:v>124</c:v>
                </c:pt>
                <c:pt idx="857">
                  <c:v>95</c:v>
                </c:pt>
                <c:pt idx="858">
                  <c:v>106</c:v>
                </c:pt>
                <c:pt idx="859">
                  <c:v>119</c:v>
                </c:pt>
                <c:pt idx="860">
                  <c:v>169</c:v>
                </c:pt>
                <c:pt idx="861">
                  <c:v>99</c:v>
                </c:pt>
                <c:pt idx="862">
                  <c:v>93</c:v>
                </c:pt>
                <c:pt idx="863">
                  <c:v>119</c:v>
                </c:pt>
                <c:pt idx="864">
                  <c:v>137</c:v>
                </c:pt>
                <c:pt idx="865">
                  <c:v>91</c:v>
                </c:pt>
                <c:pt idx="866">
                  <c:v>92</c:v>
                </c:pt>
                <c:pt idx="867">
                  <c:v>103</c:v>
                </c:pt>
                <c:pt idx="868">
                  <c:v>111</c:v>
                </c:pt>
                <c:pt idx="869">
                  <c:v>144</c:v>
                </c:pt>
                <c:pt idx="870">
                  <c:v>120</c:v>
                </c:pt>
                <c:pt idx="871">
                  <c:v>108</c:v>
                </c:pt>
                <c:pt idx="872">
                  <c:v>76</c:v>
                </c:pt>
                <c:pt idx="873">
                  <c:v>118</c:v>
                </c:pt>
                <c:pt idx="874">
                  <c:v>94</c:v>
                </c:pt>
                <c:pt idx="875">
                  <c:v>109</c:v>
                </c:pt>
                <c:pt idx="876">
                  <c:v>106</c:v>
                </c:pt>
                <c:pt idx="877">
                  <c:v>123</c:v>
                </c:pt>
                <c:pt idx="878">
                  <c:v>128</c:v>
                </c:pt>
                <c:pt idx="879">
                  <c:v>90</c:v>
                </c:pt>
                <c:pt idx="880">
                  <c:v>123</c:v>
                </c:pt>
                <c:pt idx="881">
                  <c:v>113</c:v>
                </c:pt>
                <c:pt idx="882">
                  <c:v>117</c:v>
                </c:pt>
                <c:pt idx="883">
                  <c:v>85</c:v>
                </c:pt>
                <c:pt idx="884">
                  <c:v>98</c:v>
                </c:pt>
                <c:pt idx="885">
                  <c:v>101</c:v>
                </c:pt>
                <c:pt idx="886">
                  <c:v>102</c:v>
                </c:pt>
                <c:pt idx="887">
                  <c:v>94</c:v>
                </c:pt>
                <c:pt idx="888">
                  <c:v>102</c:v>
                </c:pt>
                <c:pt idx="889">
                  <c:v>112</c:v>
                </c:pt>
                <c:pt idx="890">
                  <c:v>107</c:v>
                </c:pt>
                <c:pt idx="891">
                  <c:v>111</c:v>
                </c:pt>
                <c:pt idx="892">
                  <c:v>150</c:v>
                </c:pt>
                <c:pt idx="893">
                  <c:v>99</c:v>
                </c:pt>
                <c:pt idx="894">
                  <c:v>96</c:v>
                </c:pt>
                <c:pt idx="895">
                  <c:v>85</c:v>
                </c:pt>
                <c:pt idx="896">
                  <c:v>114</c:v>
                </c:pt>
                <c:pt idx="897">
                  <c:v>86</c:v>
                </c:pt>
                <c:pt idx="898">
                  <c:v>129</c:v>
                </c:pt>
                <c:pt idx="899">
                  <c:v>119</c:v>
                </c:pt>
                <c:pt idx="900">
                  <c:v>108</c:v>
                </c:pt>
                <c:pt idx="901">
                  <c:v>114</c:v>
                </c:pt>
                <c:pt idx="902">
                  <c:v>108</c:v>
                </c:pt>
                <c:pt idx="903">
                  <c:v>105</c:v>
                </c:pt>
                <c:pt idx="904">
                  <c:v>122</c:v>
                </c:pt>
                <c:pt idx="905">
                  <c:v>97</c:v>
                </c:pt>
                <c:pt idx="906">
                  <c:v>112</c:v>
                </c:pt>
                <c:pt idx="907">
                  <c:v>148</c:v>
                </c:pt>
                <c:pt idx="908">
                  <c:v>115</c:v>
                </c:pt>
                <c:pt idx="909">
                  <c:v>103</c:v>
                </c:pt>
                <c:pt idx="910">
                  <c:v>90</c:v>
                </c:pt>
                <c:pt idx="911">
                  <c:v>108</c:v>
                </c:pt>
                <c:pt idx="912">
                  <c:v>102</c:v>
                </c:pt>
                <c:pt idx="913">
                  <c:v>86</c:v>
                </c:pt>
                <c:pt idx="914">
                  <c:v>94</c:v>
                </c:pt>
                <c:pt idx="915">
                  <c:v>85</c:v>
                </c:pt>
                <c:pt idx="916">
                  <c:v>107</c:v>
                </c:pt>
                <c:pt idx="917">
                  <c:v>107</c:v>
                </c:pt>
                <c:pt idx="918">
                  <c:v>119</c:v>
                </c:pt>
                <c:pt idx="919">
                  <c:v>95</c:v>
                </c:pt>
                <c:pt idx="920">
                  <c:v>103</c:v>
                </c:pt>
                <c:pt idx="921">
                  <c:v>116</c:v>
                </c:pt>
                <c:pt idx="922">
                  <c:v>110</c:v>
                </c:pt>
                <c:pt idx="923">
                  <c:v>86</c:v>
                </c:pt>
                <c:pt idx="924">
                  <c:v>91</c:v>
                </c:pt>
                <c:pt idx="925">
                  <c:v>93</c:v>
                </c:pt>
                <c:pt idx="926">
                  <c:v>104</c:v>
                </c:pt>
                <c:pt idx="927">
                  <c:v>108</c:v>
                </c:pt>
                <c:pt idx="928">
                  <c:v>129</c:v>
                </c:pt>
                <c:pt idx="929">
                  <c:v>117</c:v>
                </c:pt>
                <c:pt idx="930">
                  <c:v>96</c:v>
                </c:pt>
                <c:pt idx="931">
                  <c:v>114</c:v>
                </c:pt>
                <c:pt idx="932">
                  <c:v>95</c:v>
                </c:pt>
                <c:pt idx="933">
                  <c:v>93</c:v>
                </c:pt>
                <c:pt idx="934">
                  <c:v>91</c:v>
                </c:pt>
                <c:pt idx="935">
                  <c:v>110</c:v>
                </c:pt>
                <c:pt idx="936">
                  <c:v>95</c:v>
                </c:pt>
                <c:pt idx="937">
                  <c:v>108</c:v>
                </c:pt>
                <c:pt idx="938">
                  <c:v>110</c:v>
                </c:pt>
                <c:pt idx="939">
                  <c:v>92</c:v>
                </c:pt>
                <c:pt idx="940">
                  <c:v>102</c:v>
                </c:pt>
                <c:pt idx="941">
                  <c:v>116</c:v>
                </c:pt>
                <c:pt idx="942">
                  <c:v>91</c:v>
                </c:pt>
                <c:pt idx="943">
                  <c:v>93</c:v>
                </c:pt>
                <c:pt idx="944">
                  <c:v>121</c:v>
                </c:pt>
                <c:pt idx="945">
                  <c:v>104</c:v>
                </c:pt>
                <c:pt idx="946">
                  <c:v>131</c:v>
                </c:pt>
                <c:pt idx="947">
                  <c:v>124</c:v>
                </c:pt>
                <c:pt idx="948">
                  <c:v>135</c:v>
                </c:pt>
                <c:pt idx="949">
                  <c:v>150</c:v>
                </c:pt>
                <c:pt idx="950">
                  <c:v>129</c:v>
                </c:pt>
                <c:pt idx="951">
                  <c:v>75</c:v>
                </c:pt>
                <c:pt idx="952">
                  <c:v>91</c:v>
                </c:pt>
                <c:pt idx="953">
                  <c:v>95</c:v>
                </c:pt>
                <c:pt idx="954">
                  <c:v>102</c:v>
                </c:pt>
                <c:pt idx="955">
                  <c:v>83</c:v>
                </c:pt>
                <c:pt idx="956">
                  <c:v>102</c:v>
                </c:pt>
                <c:pt idx="957">
                  <c:v>110</c:v>
                </c:pt>
                <c:pt idx="958">
                  <c:v>118</c:v>
                </c:pt>
                <c:pt idx="959">
                  <c:v>98</c:v>
                </c:pt>
                <c:pt idx="960">
                  <c:v>107</c:v>
                </c:pt>
                <c:pt idx="961">
                  <c:v>137</c:v>
                </c:pt>
                <c:pt idx="962">
                  <c:v>99</c:v>
                </c:pt>
                <c:pt idx="963">
                  <c:v>117</c:v>
                </c:pt>
                <c:pt idx="964">
                  <c:v>88</c:v>
                </c:pt>
                <c:pt idx="965">
                  <c:v>123</c:v>
                </c:pt>
                <c:pt idx="966">
                  <c:v>96</c:v>
                </c:pt>
                <c:pt idx="967">
                  <c:v>87</c:v>
                </c:pt>
                <c:pt idx="968">
                  <c:v>96</c:v>
                </c:pt>
                <c:pt idx="969">
                  <c:v>125</c:v>
                </c:pt>
                <c:pt idx="970">
                  <c:v>105</c:v>
                </c:pt>
                <c:pt idx="971">
                  <c:v>116</c:v>
                </c:pt>
                <c:pt idx="972">
                  <c:v>84</c:v>
                </c:pt>
                <c:pt idx="973">
                  <c:v>115</c:v>
                </c:pt>
                <c:pt idx="974">
                  <c:v>100</c:v>
                </c:pt>
                <c:pt idx="975">
                  <c:v>91</c:v>
                </c:pt>
                <c:pt idx="976">
                  <c:v>101</c:v>
                </c:pt>
                <c:pt idx="977">
                  <c:v>196</c:v>
                </c:pt>
                <c:pt idx="978">
                  <c:v>93</c:v>
                </c:pt>
                <c:pt idx="979">
                  <c:v>109</c:v>
                </c:pt>
                <c:pt idx="980">
                  <c:v>95</c:v>
                </c:pt>
                <c:pt idx="981">
                  <c:v>95</c:v>
                </c:pt>
                <c:pt idx="982">
                  <c:v>89</c:v>
                </c:pt>
                <c:pt idx="983">
                  <c:v>90</c:v>
                </c:pt>
                <c:pt idx="984">
                  <c:v>94</c:v>
                </c:pt>
                <c:pt idx="985">
                  <c:v>93</c:v>
                </c:pt>
                <c:pt idx="986">
                  <c:v>94</c:v>
                </c:pt>
                <c:pt idx="987">
                  <c:v>139</c:v>
                </c:pt>
                <c:pt idx="988">
                  <c:v>111</c:v>
                </c:pt>
                <c:pt idx="989">
                  <c:v>97</c:v>
                </c:pt>
                <c:pt idx="990">
                  <c:v>104</c:v>
                </c:pt>
                <c:pt idx="991">
                  <c:v>95</c:v>
                </c:pt>
                <c:pt idx="992">
                  <c:v>120</c:v>
                </c:pt>
                <c:pt idx="993">
                  <c:v>109</c:v>
                </c:pt>
                <c:pt idx="994">
                  <c:v>112</c:v>
                </c:pt>
                <c:pt idx="995">
                  <c:v>100</c:v>
                </c:pt>
                <c:pt idx="996">
                  <c:v>80</c:v>
                </c:pt>
                <c:pt idx="997">
                  <c:v>121</c:v>
                </c:pt>
                <c:pt idx="998">
                  <c:v>111</c:v>
                </c:pt>
                <c:pt idx="999">
                  <c:v>135</c:v>
                </c:pt>
                <c:pt idx="1000">
                  <c:v>93</c:v>
                </c:pt>
                <c:pt idx="1001">
                  <c:v>118</c:v>
                </c:pt>
                <c:pt idx="1002">
                  <c:v>110</c:v>
                </c:pt>
                <c:pt idx="1003">
                  <c:v>108</c:v>
                </c:pt>
                <c:pt idx="1004">
                  <c:v>94</c:v>
                </c:pt>
                <c:pt idx="1005">
                  <c:v>93</c:v>
                </c:pt>
                <c:pt idx="1006">
                  <c:v>97</c:v>
                </c:pt>
                <c:pt idx="1007">
                  <c:v>93</c:v>
                </c:pt>
                <c:pt idx="1008">
                  <c:v>99</c:v>
                </c:pt>
                <c:pt idx="1009">
                  <c:v>105</c:v>
                </c:pt>
                <c:pt idx="1010">
                  <c:v>90</c:v>
                </c:pt>
                <c:pt idx="1011">
                  <c:v>100</c:v>
                </c:pt>
                <c:pt idx="1012">
                  <c:v>90</c:v>
                </c:pt>
                <c:pt idx="1013">
                  <c:v>95</c:v>
                </c:pt>
                <c:pt idx="1014">
                  <c:v>117</c:v>
                </c:pt>
                <c:pt idx="1015">
                  <c:v>102</c:v>
                </c:pt>
                <c:pt idx="1016">
                  <c:v>97</c:v>
                </c:pt>
                <c:pt idx="1017">
                  <c:v>101</c:v>
                </c:pt>
                <c:pt idx="1018">
                  <c:v>140</c:v>
                </c:pt>
                <c:pt idx="1019">
                  <c:v>120</c:v>
                </c:pt>
                <c:pt idx="1020">
                  <c:v>112</c:v>
                </c:pt>
                <c:pt idx="1021">
                  <c:v>94</c:v>
                </c:pt>
                <c:pt idx="1022">
                  <c:v>90</c:v>
                </c:pt>
                <c:pt idx="1023">
                  <c:v>90</c:v>
                </c:pt>
                <c:pt idx="1024">
                  <c:v>112</c:v>
                </c:pt>
                <c:pt idx="1025">
                  <c:v>115</c:v>
                </c:pt>
                <c:pt idx="1026">
                  <c:v>97</c:v>
                </c:pt>
                <c:pt idx="1027">
                  <c:v>92</c:v>
                </c:pt>
                <c:pt idx="1028">
                  <c:v>90</c:v>
                </c:pt>
                <c:pt idx="1029">
                  <c:v>104</c:v>
                </c:pt>
                <c:pt idx="1030">
                  <c:v>98</c:v>
                </c:pt>
                <c:pt idx="1031">
                  <c:v>97</c:v>
                </c:pt>
                <c:pt idx="1032">
                  <c:v>104</c:v>
                </c:pt>
                <c:pt idx="1033">
                  <c:v>110</c:v>
                </c:pt>
                <c:pt idx="1034">
                  <c:v>84</c:v>
                </c:pt>
                <c:pt idx="1035">
                  <c:v>99</c:v>
                </c:pt>
                <c:pt idx="1036">
                  <c:v>90</c:v>
                </c:pt>
                <c:pt idx="1037">
                  <c:v>109</c:v>
                </c:pt>
                <c:pt idx="1038">
                  <c:v>120</c:v>
                </c:pt>
                <c:pt idx="1039">
                  <c:v>138</c:v>
                </c:pt>
                <c:pt idx="1040">
                  <c:v>93</c:v>
                </c:pt>
                <c:pt idx="1041">
                  <c:v>102</c:v>
                </c:pt>
                <c:pt idx="1042">
                  <c:v>98</c:v>
                </c:pt>
                <c:pt idx="1043">
                  <c:v>108</c:v>
                </c:pt>
                <c:pt idx="1044">
                  <c:v>102</c:v>
                </c:pt>
                <c:pt idx="1045">
                  <c:v>98</c:v>
                </c:pt>
                <c:pt idx="1046">
                  <c:v>104</c:v>
                </c:pt>
                <c:pt idx="1047">
                  <c:v>117</c:v>
                </c:pt>
                <c:pt idx="1048">
                  <c:v>108</c:v>
                </c:pt>
                <c:pt idx="1049">
                  <c:v>84</c:v>
                </c:pt>
                <c:pt idx="1050">
                  <c:v>85</c:v>
                </c:pt>
                <c:pt idx="1051">
                  <c:v>87</c:v>
                </c:pt>
                <c:pt idx="1052">
                  <c:v>90</c:v>
                </c:pt>
                <c:pt idx="1053">
                  <c:v>103</c:v>
                </c:pt>
                <c:pt idx="1054">
                  <c:v>104</c:v>
                </c:pt>
                <c:pt idx="1055">
                  <c:v>71</c:v>
                </c:pt>
                <c:pt idx="1056">
                  <c:v>103</c:v>
                </c:pt>
                <c:pt idx="1057">
                  <c:v>92</c:v>
                </c:pt>
                <c:pt idx="1058">
                  <c:v>111</c:v>
                </c:pt>
                <c:pt idx="1059">
                  <c:v>95</c:v>
                </c:pt>
                <c:pt idx="1060">
                  <c:v>100</c:v>
                </c:pt>
                <c:pt idx="1061">
                  <c:v>90</c:v>
                </c:pt>
                <c:pt idx="1062">
                  <c:v>110</c:v>
                </c:pt>
                <c:pt idx="1063">
                  <c:v>90</c:v>
                </c:pt>
                <c:pt idx="1064">
                  <c:v>74</c:v>
                </c:pt>
                <c:pt idx="1065">
                  <c:v>97</c:v>
                </c:pt>
                <c:pt idx="1066">
                  <c:v>138</c:v>
                </c:pt>
                <c:pt idx="1067">
                  <c:v>92</c:v>
                </c:pt>
                <c:pt idx="1068">
                  <c:v>120</c:v>
                </c:pt>
                <c:pt idx="1069">
                  <c:v>83</c:v>
                </c:pt>
                <c:pt idx="1070">
                  <c:v>84</c:v>
                </c:pt>
                <c:pt idx="1071">
                  <c:v>91</c:v>
                </c:pt>
                <c:pt idx="1072">
                  <c:v>88</c:v>
                </c:pt>
                <c:pt idx="1073">
                  <c:v>118</c:v>
                </c:pt>
                <c:pt idx="1074">
                  <c:v>114</c:v>
                </c:pt>
                <c:pt idx="1075">
                  <c:v>85</c:v>
                </c:pt>
                <c:pt idx="1076">
                  <c:v>121</c:v>
                </c:pt>
                <c:pt idx="1077">
                  <c:v>101</c:v>
                </c:pt>
                <c:pt idx="1078">
                  <c:v>90</c:v>
                </c:pt>
                <c:pt idx="1079">
                  <c:v>104</c:v>
                </c:pt>
                <c:pt idx="1080">
                  <c:v>94</c:v>
                </c:pt>
                <c:pt idx="1081">
                  <c:v>116</c:v>
                </c:pt>
                <c:pt idx="1082">
                  <c:v>77</c:v>
                </c:pt>
                <c:pt idx="1083">
                  <c:v>79</c:v>
                </c:pt>
                <c:pt idx="1084">
                  <c:v>99</c:v>
                </c:pt>
                <c:pt idx="1085">
                  <c:v>115</c:v>
                </c:pt>
                <c:pt idx="1086">
                  <c:v>86</c:v>
                </c:pt>
                <c:pt idx="1087">
                  <c:v>84</c:v>
                </c:pt>
                <c:pt idx="1088">
                  <c:v>112</c:v>
                </c:pt>
                <c:pt idx="1089">
                  <c:v>106</c:v>
                </c:pt>
                <c:pt idx="1090">
                  <c:v>102</c:v>
                </c:pt>
                <c:pt idx="1091">
                  <c:v>85</c:v>
                </c:pt>
                <c:pt idx="1092">
                  <c:v>95</c:v>
                </c:pt>
                <c:pt idx="1093">
                  <c:v>88</c:v>
                </c:pt>
                <c:pt idx="1094">
                  <c:v>103</c:v>
                </c:pt>
                <c:pt idx="1095">
                  <c:v>99</c:v>
                </c:pt>
                <c:pt idx="1096">
                  <c:v>97</c:v>
                </c:pt>
                <c:pt idx="1097">
                  <c:v>96</c:v>
                </c:pt>
                <c:pt idx="1098">
                  <c:v>92</c:v>
                </c:pt>
                <c:pt idx="1099">
                  <c:v>109</c:v>
                </c:pt>
                <c:pt idx="1100">
                  <c:v>127</c:v>
                </c:pt>
                <c:pt idx="1101">
                  <c:v>127</c:v>
                </c:pt>
                <c:pt idx="1102">
                  <c:v>91</c:v>
                </c:pt>
                <c:pt idx="1103">
                  <c:v>95</c:v>
                </c:pt>
                <c:pt idx="1104">
                  <c:v>123</c:v>
                </c:pt>
                <c:pt idx="1105">
                  <c:v>115</c:v>
                </c:pt>
                <c:pt idx="1106">
                  <c:v>125</c:v>
                </c:pt>
                <c:pt idx="1107">
                  <c:v>94</c:v>
                </c:pt>
                <c:pt idx="1108">
                  <c:v>96</c:v>
                </c:pt>
                <c:pt idx="1109">
                  <c:v>133</c:v>
                </c:pt>
                <c:pt idx="1110">
                  <c:v>95</c:v>
                </c:pt>
                <c:pt idx="1111">
                  <c:v>129</c:v>
                </c:pt>
                <c:pt idx="1112">
                  <c:v>112</c:v>
                </c:pt>
                <c:pt idx="1113">
                  <c:v>114</c:v>
                </c:pt>
                <c:pt idx="1114">
                  <c:v>114</c:v>
                </c:pt>
                <c:pt idx="1115">
                  <c:v>83</c:v>
                </c:pt>
                <c:pt idx="1116">
                  <c:v>120</c:v>
                </c:pt>
                <c:pt idx="1117">
                  <c:v>96</c:v>
                </c:pt>
                <c:pt idx="1118">
                  <c:v>106</c:v>
                </c:pt>
                <c:pt idx="1119">
                  <c:v>100</c:v>
                </c:pt>
                <c:pt idx="1120">
                  <c:v>109</c:v>
                </c:pt>
                <c:pt idx="1121">
                  <c:v>119</c:v>
                </c:pt>
                <c:pt idx="1122">
                  <c:v>105</c:v>
                </c:pt>
                <c:pt idx="1123">
                  <c:v>132</c:v>
                </c:pt>
                <c:pt idx="1124">
                  <c:v>105</c:v>
                </c:pt>
                <c:pt idx="1125">
                  <c:v>100</c:v>
                </c:pt>
                <c:pt idx="1126">
                  <c:v>137</c:v>
                </c:pt>
                <c:pt idx="1127">
                  <c:v>98</c:v>
                </c:pt>
                <c:pt idx="1128">
                  <c:v>115</c:v>
                </c:pt>
                <c:pt idx="1129">
                  <c:v>107</c:v>
                </c:pt>
                <c:pt idx="1130">
                  <c:v>137</c:v>
                </c:pt>
                <c:pt idx="1131">
                  <c:v>119</c:v>
                </c:pt>
                <c:pt idx="1132">
                  <c:v>99</c:v>
                </c:pt>
                <c:pt idx="1133">
                  <c:v>87</c:v>
                </c:pt>
                <c:pt idx="1134">
                  <c:v>112</c:v>
                </c:pt>
                <c:pt idx="1135">
                  <c:v>119</c:v>
                </c:pt>
                <c:pt idx="1136">
                  <c:v>120</c:v>
                </c:pt>
                <c:pt idx="1137">
                  <c:v>94</c:v>
                </c:pt>
                <c:pt idx="1138">
                  <c:v>84</c:v>
                </c:pt>
                <c:pt idx="1139">
                  <c:v>112</c:v>
                </c:pt>
                <c:pt idx="1140">
                  <c:v>124</c:v>
                </c:pt>
                <c:pt idx="1141">
                  <c:v>112</c:v>
                </c:pt>
                <c:pt idx="1142">
                  <c:v>94</c:v>
                </c:pt>
                <c:pt idx="1143">
                  <c:v>87</c:v>
                </c:pt>
                <c:pt idx="1144">
                  <c:v>105</c:v>
                </c:pt>
                <c:pt idx="1145">
                  <c:v>113</c:v>
                </c:pt>
                <c:pt idx="1146">
                  <c:v>106</c:v>
                </c:pt>
                <c:pt idx="1147">
                  <c:v>92</c:v>
                </c:pt>
                <c:pt idx="1148">
                  <c:v>147</c:v>
                </c:pt>
                <c:pt idx="1149">
                  <c:v>98</c:v>
                </c:pt>
                <c:pt idx="1150">
                  <c:v>117</c:v>
                </c:pt>
                <c:pt idx="1151">
                  <c:v>141</c:v>
                </c:pt>
                <c:pt idx="1152">
                  <c:v>97</c:v>
                </c:pt>
                <c:pt idx="1153">
                  <c:v>100</c:v>
                </c:pt>
                <c:pt idx="1154">
                  <c:v>128</c:v>
                </c:pt>
                <c:pt idx="1155">
                  <c:v>90</c:v>
                </c:pt>
                <c:pt idx="1156">
                  <c:v>104</c:v>
                </c:pt>
                <c:pt idx="1157">
                  <c:v>114</c:v>
                </c:pt>
                <c:pt idx="1158">
                  <c:v>115</c:v>
                </c:pt>
                <c:pt idx="1159">
                  <c:v>99</c:v>
                </c:pt>
                <c:pt idx="1160">
                  <c:v>92</c:v>
                </c:pt>
                <c:pt idx="1161">
                  <c:v>122</c:v>
                </c:pt>
                <c:pt idx="1162">
                  <c:v>105</c:v>
                </c:pt>
                <c:pt idx="1163">
                  <c:v>131</c:v>
                </c:pt>
                <c:pt idx="1164">
                  <c:v>130</c:v>
                </c:pt>
                <c:pt idx="1165">
                  <c:v>113</c:v>
                </c:pt>
                <c:pt idx="1166">
                  <c:v>112</c:v>
                </c:pt>
                <c:pt idx="1167">
                  <c:v>124</c:v>
                </c:pt>
                <c:pt idx="1168">
                  <c:v>103</c:v>
                </c:pt>
                <c:pt idx="1169">
                  <c:v>109</c:v>
                </c:pt>
                <c:pt idx="1170">
                  <c:v>90</c:v>
                </c:pt>
                <c:pt idx="1171">
                  <c:v>104</c:v>
                </c:pt>
                <c:pt idx="1172">
                  <c:v>85</c:v>
                </c:pt>
                <c:pt idx="1173">
                  <c:v>85</c:v>
                </c:pt>
                <c:pt idx="1174">
                  <c:v>100</c:v>
                </c:pt>
                <c:pt idx="1175">
                  <c:v>91</c:v>
                </c:pt>
                <c:pt idx="1176">
                  <c:v>134</c:v>
                </c:pt>
                <c:pt idx="1177">
                  <c:v>90</c:v>
                </c:pt>
                <c:pt idx="1178">
                  <c:v>94</c:v>
                </c:pt>
                <c:pt idx="1179">
                  <c:v>104</c:v>
                </c:pt>
                <c:pt idx="1180">
                  <c:v>118</c:v>
                </c:pt>
                <c:pt idx="1181">
                  <c:v>96</c:v>
                </c:pt>
                <c:pt idx="1182">
                  <c:v>94</c:v>
                </c:pt>
                <c:pt idx="1183">
                  <c:v>106</c:v>
                </c:pt>
                <c:pt idx="1184">
                  <c:v>96</c:v>
                </c:pt>
                <c:pt idx="1185">
                  <c:v>108</c:v>
                </c:pt>
                <c:pt idx="1186">
                  <c:v>119</c:v>
                </c:pt>
                <c:pt idx="1187">
                  <c:v>116</c:v>
                </c:pt>
                <c:pt idx="1188">
                  <c:v>87</c:v>
                </c:pt>
                <c:pt idx="1189">
                  <c:v>105</c:v>
                </c:pt>
                <c:pt idx="1190">
                  <c:v>135</c:v>
                </c:pt>
                <c:pt idx="1191">
                  <c:v>96</c:v>
                </c:pt>
                <c:pt idx="1192">
                  <c:v>96</c:v>
                </c:pt>
                <c:pt idx="1193">
                  <c:v>132</c:v>
                </c:pt>
                <c:pt idx="1194">
                  <c:v>101</c:v>
                </c:pt>
                <c:pt idx="1195">
                  <c:v>84</c:v>
                </c:pt>
                <c:pt idx="1196">
                  <c:v>120</c:v>
                </c:pt>
                <c:pt idx="1197">
                  <c:v>108</c:v>
                </c:pt>
                <c:pt idx="1198">
                  <c:v>85</c:v>
                </c:pt>
                <c:pt idx="1199">
                  <c:v>119</c:v>
                </c:pt>
                <c:pt idx="1200">
                  <c:v>98</c:v>
                </c:pt>
                <c:pt idx="1201">
                  <c:v>144</c:v>
                </c:pt>
                <c:pt idx="1202">
                  <c:v>96</c:v>
                </c:pt>
                <c:pt idx="1203">
                  <c:v>117</c:v>
                </c:pt>
                <c:pt idx="1204">
                  <c:v>121</c:v>
                </c:pt>
                <c:pt idx="1205">
                  <c:v>97</c:v>
                </c:pt>
                <c:pt idx="1206">
                  <c:v>91</c:v>
                </c:pt>
                <c:pt idx="1207">
                  <c:v>103</c:v>
                </c:pt>
                <c:pt idx="1208">
                  <c:v>120</c:v>
                </c:pt>
                <c:pt idx="1209">
                  <c:v>121</c:v>
                </c:pt>
                <c:pt idx="1210">
                  <c:v>128</c:v>
                </c:pt>
                <c:pt idx="1211">
                  <c:v>131</c:v>
                </c:pt>
                <c:pt idx="1212">
                  <c:v>137</c:v>
                </c:pt>
                <c:pt idx="1213">
                  <c:v>105</c:v>
                </c:pt>
                <c:pt idx="1214">
                  <c:v>94</c:v>
                </c:pt>
                <c:pt idx="1215">
                  <c:v>123</c:v>
                </c:pt>
                <c:pt idx="1216">
                  <c:v>90</c:v>
                </c:pt>
                <c:pt idx="1217">
                  <c:v>127</c:v>
                </c:pt>
                <c:pt idx="1218">
                  <c:v>105</c:v>
                </c:pt>
                <c:pt idx="1219">
                  <c:v>99</c:v>
                </c:pt>
                <c:pt idx="1220">
                  <c:v>126</c:v>
                </c:pt>
                <c:pt idx="1221">
                  <c:v>105</c:v>
                </c:pt>
                <c:pt idx="1222">
                  <c:v>106</c:v>
                </c:pt>
                <c:pt idx="1223">
                  <c:v>118</c:v>
                </c:pt>
                <c:pt idx="1224">
                  <c:v>106</c:v>
                </c:pt>
                <c:pt idx="1225">
                  <c:v>142</c:v>
                </c:pt>
                <c:pt idx="1226">
                  <c:v>123</c:v>
                </c:pt>
                <c:pt idx="1227">
                  <c:v>148</c:v>
                </c:pt>
                <c:pt idx="1228">
                  <c:v>81</c:v>
                </c:pt>
                <c:pt idx="1229">
                  <c:v>92</c:v>
                </c:pt>
                <c:pt idx="1230">
                  <c:v>124</c:v>
                </c:pt>
                <c:pt idx="1231">
                  <c:v>91</c:v>
                </c:pt>
                <c:pt idx="1232">
                  <c:v>104</c:v>
                </c:pt>
                <c:pt idx="1233">
                  <c:v>117</c:v>
                </c:pt>
                <c:pt idx="1234">
                  <c:v>118</c:v>
                </c:pt>
                <c:pt idx="1235">
                  <c:v>119</c:v>
                </c:pt>
                <c:pt idx="1236">
                  <c:v>86</c:v>
                </c:pt>
                <c:pt idx="1237">
                  <c:v>121</c:v>
                </c:pt>
                <c:pt idx="1238">
                  <c:v>132</c:v>
                </c:pt>
                <c:pt idx="1239">
                  <c:v>119</c:v>
                </c:pt>
                <c:pt idx="1240">
                  <c:v>93</c:v>
                </c:pt>
                <c:pt idx="1241">
                  <c:v>122</c:v>
                </c:pt>
                <c:pt idx="1242">
                  <c:v>119</c:v>
                </c:pt>
                <c:pt idx="1243">
                  <c:v>123</c:v>
                </c:pt>
                <c:pt idx="1244">
                  <c:v>129</c:v>
                </c:pt>
                <c:pt idx="1245">
                  <c:v>97</c:v>
                </c:pt>
                <c:pt idx="1246">
                  <c:v>85</c:v>
                </c:pt>
                <c:pt idx="1247">
                  <c:v>138</c:v>
                </c:pt>
                <c:pt idx="1248">
                  <c:v>123</c:v>
                </c:pt>
                <c:pt idx="1249">
                  <c:v>103</c:v>
                </c:pt>
                <c:pt idx="1250">
                  <c:v>111</c:v>
                </c:pt>
                <c:pt idx="1251">
                  <c:v>121</c:v>
                </c:pt>
                <c:pt idx="1252">
                  <c:v>130</c:v>
                </c:pt>
                <c:pt idx="1253">
                  <c:v>124</c:v>
                </c:pt>
                <c:pt idx="1254">
                  <c:v>133</c:v>
                </c:pt>
                <c:pt idx="1255">
                  <c:v>122</c:v>
                </c:pt>
                <c:pt idx="1256">
                  <c:v>91</c:v>
                </c:pt>
                <c:pt idx="1257">
                  <c:v>95</c:v>
                </c:pt>
                <c:pt idx="1258">
                  <c:v>101</c:v>
                </c:pt>
                <c:pt idx="1259">
                  <c:v>106</c:v>
                </c:pt>
                <c:pt idx="1260">
                  <c:v>168</c:v>
                </c:pt>
                <c:pt idx="1261">
                  <c:v>90</c:v>
                </c:pt>
                <c:pt idx="1262">
                  <c:v>93</c:v>
                </c:pt>
                <c:pt idx="1263">
                  <c:v>107</c:v>
                </c:pt>
                <c:pt idx="1264">
                  <c:v>103</c:v>
                </c:pt>
                <c:pt idx="1265">
                  <c:v>106</c:v>
                </c:pt>
                <c:pt idx="1266">
                  <c:v>101</c:v>
                </c:pt>
                <c:pt idx="1267">
                  <c:v>95</c:v>
                </c:pt>
                <c:pt idx="1268">
                  <c:v>93</c:v>
                </c:pt>
                <c:pt idx="1269">
                  <c:v>125</c:v>
                </c:pt>
                <c:pt idx="1270">
                  <c:v>124</c:v>
                </c:pt>
                <c:pt idx="1271">
                  <c:v>105</c:v>
                </c:pt>
                <c:pt idx="1272">
                  <c:v>90</c:v>
                </c:pt>
                <c:pt idx="1273">
                  <c:v>79</c:v>
                </c:pt>
                <c:pt idx="1274">
                  <c:v>99</c:v>
                </c:pt>
                <c:pt idx="1275">
                  <c:v>106</c:v>
                </c:pt>
                <c:pt idx="1276">
                  <c:v>138</c:v>
                </c:pt>
                <c:pt idx="1277">
                  <c:v>111</c:v>
                </c:pt>
                <c:pt idx="1278">
                  <c:v>112</c:v>
                </c:pt>
                <c:pt idx="1279">
                  <c:v>118</c:v>
                </c:pt>
                <c:pt idx="1280">
                  <c:v>106</c:v>
                </c:pt>
                <c:pt idx="1281">
                  <c:v>90</c:v>
                </c:pt>
                <c:pt idx="1282">
                  <c:v>156</c:v>
                </c:pt>
                <c:pt idx="1283">
                  <c:v>118</c:v>
                </c:pt>
                <c:pt idx="1284">
                  <c:v>99</c:v>
                </c:pt>
                <c:pt idx="1285">
                  <c:v>90</c:v>
                </c:pt>
                <c:pt idx="1286">
                  <c:v>115</c:v>
                </c:pt>
                <c:pt idx="1287">
                  <c:v>113</c:v>
                </c:pt>
                <c:pt idx="1288">
                  <c:v>119</c:v>
                </c:pt>
                <c:pt idx="1289">
                  <c:v>94</c:v>
                </c:pt>
                <c:pt idx="1290">
                  <c:v>116</c:v>
                </c:pt>
                <c:pt idx="1291">
                  <c:v>103</c:v>
                </c:pt>
                <c:pt idx="1292">
                  <c:v>85</c:v>
                </c:pt>
                <c:pt idx="1293">
                  <c:v>101</c:v>
                </c:pt>
                <c:pt idx="1294">
                  <c:v>115</c:v>
                </c:pt>
                <c:pt idx="1295">
                  <c:v>110</c:v>
                </c:pt>
                <c:pt idx="1296">
                  <c:v>98</c:v>
                </c:pt>
                <c:pt idx="1297">
                  <c:v>107</c:v>
                </c:pt>
                <c:pt idx="1298">
                  <c:v>100</c:v>
                </c:pt>
                <c:pt idx="1299">
                  <c:v>111</c:v>
                </c:pt>
                <c:pt idx="1300">
                  <c:v>137</c:v>
                </c:pt>
                <c:pt idx="1301">
                  <c:v>102</c:v>
                </c:pt>
                <c:pt idx="1302">
                  <c:v>103</c:v>
                </c:pt>
                <c:pt idx="1303">
                  <c:v>105</c:v>
                </c:pt>
                <c:pt idx="1304">
                  <c:v>100</c:v>
                </c:pt>
                <c:pt idx="1305">
                  <c:v>114</c:v>
                </c:pt>
                <c:pt idx="1306">
                  <c:v>105</c:v>
                </c:pt>
                <c:pt idx="1307">
                  <c:v>90</c:v>
                </c:pt>
                <c:pt idx="1308">
                  <c:v>121</c:v>
                </c:pt>
                <c:pt idx="1309">
                  <c:v>99</c:v>
                </c:pt>
                <c:pt idx="1310">
                  <c:v>129</c:v>
                </c:pt>
                <c:pt idx="1311">
                  <c:v>100</c:v>
                </c:pt>
                <c:pt idx="1312">
                  <c:v>114</c:v>
                </c:pt>
                <c:pt idx="1313">
                  <c:v>105</c:v>
                </c:pt>
                <c:pt idx="1314">
                  <c:v>95</c:v>
                </c:pt>
                <c:pt idx="1315">
                  <c:v>98</c:v>
                </c:pt>
                <c:pt idx="1316">
                  <c:v>93</c:v>
                </c:pt>
                <c:pt idx="1317">
                  <c:v>128</c:v>
                </c:pt>
                <c:pt idx="1318">
                  <c:v>115</c:v>
                </c:pt>
                <c:pt idx="1319">
                  <c:v>122</c:v>
                </c:pt>
                <c:pt idx="1320">
                  <c:v>79</c:v>
                </c:pt>
                <c:pt idx="1321">
                  <c:v>113</c:v>
                </c:pt>
                <c:pt idx="1322">
                  <c:v>89</c:v>
                </c:pt>
                <c:pt idx="1323">
                  <c:v>103</c:v>
                </c:pt>
                <c:pt idx="1324">
                  <c:v>100</c:v>
                </c:pt>
                <c:pt idx="1325">
                  <c:v>108</c:v>
                </c:pt>
                <c:pt idx="1326">
                  <c:v>109</c:v>
                </c:pt>
                <c:pt idx="1327">
                  <c:v>130</c:v>
                </c:pt>
                <c:pt idx="1328">
                  <c:v>127</c:v>
                </c:pt>
                <c:pt idx="1329">
                  <c:v>100</c:v>
                </c:pt>
                <c:pt idx="1330">
                  <c:v>98</c:v>
                </c:pt>
                <c:pt idx="1331">
                  <c:v>100</c:v>
                </c:pt>
                <c:pt idx="1332">
                  <c:v>112</c:v>
                </c:pt>
                <c:pt idx="1333">
                  <c:v>99</c:v>
                </c:pt>
                <c:pt idx="1334">
                  <c:v>124</c:v>
                </c:pt>
                <c:pt idx="1335">
                  <c:v>98</c:v>
                </c:pt>
                <c:pt idx="1336">
                  <c:v>89</c:v>
                </c:pt>
                <c:pt idx="1337">
                  <c:v>96</c:v>
                </c:pt>
                <c:pt idx="1338">
                  <c:v>119</c:v>
                </c:pt>
                <c:pt idx="1339">
                  <c:v>87</c:v>
                </c:pt>
                <c:pt idx="1340">
                  <c:v>97</c:v>
                </c:pt>
                <c:pt idx="1341">
                  <c:v>123</c:v>
                </c:pt>
                <c:pt idx="1342">
                  <c:v>106</c:v>
                </c:pt>
                <c:pt idx="1343">
                  <c:v>93</c:v>
                </c:pt>
                <c:pt idx="1344">
                  <c:v>100</c:v>
                </c:pt>
                <c:pt idx="1345">
                  <c:v>105</c:v>
                </c:pt>
                <c:pt idx="1346">
                  <c:v>97</c:v>
                </c:pt>
                <c:pt idx="1347">
                  <c:v>87</c:v>
                </c:pt>
                <c:pt idx="1348">
                  <c:v>95</c:v>
                </c:pt>
                <c:pt idx="1349">
                  <c:v>104</c:v>
                </c:pt>
                <c:pt idx="1350">
                  <c:v>125</c:v>
                </c:pt>
                <c:pt idx="1351">
                  <c:v>93</c:v>
                </c:pt>
                <c:pt idx="1352">
                  <c:v>108</c:v>
                </c:pt>
                <c:pt idx="1353">
                  <c:v>93</c:v>
                </c:pt>
                <c:pt idx="1354">
                  <c:v>108</c:v>
                </c:pt>
                <c:pt idx="1355">
                  <c:v>102</c:v>
                </c:pt>
                <c:pt idx="1356">
                  <c:v>110</c:v>
                </c:pt>
                <c:pt idx="1357">
                  <c:v>101</c:v>
                </c:pt>
                <c:pt idx="1358">
                  <c:v>101</c:v>
                </c:pt>
                <c:pt idx="1359">
                  <c:v>90</c:v>
                </c:pt>
                <c:pt idx="1360">
                  <c:v>100</c:v>
                </c:pt>
                <c:pt idx="1361">
                  <c:v>82</c:v>
                </c:pt>
                <c:pt idx="1362">
                  <c:v>96</c:v>
                </c:pt>
                <c:pt idx="1363">
                  <c:v>110</c:v>
                </c:pt>
                <c:pt idx="1364">
                  <c:v>95</c:v>
                </c:pt>
                <c:pt idx="1365">
                  <c:v>90</c:v>
                </c:pt>
                <c:pt idx="1366">
                  <c:v>114</c:v>
                </c:pt>
                <c:pt idx="1367">
                  <c:v>87</c:v>
                </c:pt>
                <c:pt idx="1368">
                  <c:v>98</c:v>
                </c:pt>
                <c:pt idx="1369">
                  <c:v>101</c:v>
                </c:pt>
                <c:pt idx="1370">
                  <c:v>92</c:v>
                </c:pt>
                <c:pt idx="1371">
                  <c:v>110</c:v>
                </c:pt>
                <c:pt idx="1372">
                  <c:v>103</c:v>
                </c:pt>
                <c:pt idx="1373">
                  <c:v>96</c:v>
                </c:pt>
                <c:pt idx="1374">
                  <c:v>115</c:v>
                </c:pt>
                <c:pt idx="1375">
                  <c:v>90</c:v>
                </c:pt>
                <c:pt idx="1376">
                  <c:v>110</c:v>
                </c:pt>
                <c:pt idx="1377">
                  <c:v>97</c:v>
                </c:pt>
                <c:pt idx="1378">
                  <c:v>86</c:v>
                </c:pt>
                <c:pt idx="1379">
                  <c:v>96</c:v>
                </c:pt>
                <c:pt idx="1380">
                  <c:v>101</c:v>
                </c:pt>
                <c:pt idx="1381">
                  <c:v>94</c:v>
                </c:pt>
                <c:pt idx="1382">
                  <c:v>101</c:v>
                </c:pt>
                <c:pt idx="1383">
                  <c:v>90</c:v>
                </c:pt>
                <c:pt idx="1384">
                  <c:v>84</c:v>
                </c:pt>
                <c:pt idx="1385">
                  <c:v>107</c:v>
                </c:pt>
                <c:pt idx="1386">
                  <c:v>123</c:v>
                </c:pt>
                <c:pt idx="1387">
                  <c:v>90</c:v>
                </c:pt>
                <c:pt idx="1388">
                  <c:v>74</c:v>
                </c:pt>
                <c:pt idx="1389">
                  <c:v>107</c:v>
                </c:pt>
                <c:pt idx="1390">
                  <c:v>87</c:v>
                </c:pt>
                <c:pt idx="1391">
                  <c:v>99</c:v>
                </c:pt>
                <c:pt idx="1392">
                  <c:v>87</c:v>
                </c:pt>
                <c:pt idx="1393">
                  <c:v>105</c:v>
                </c:pt>
                <c:pt idx="1394">
                  <c:v>108</c:v>
                </c:pt>
                <c:pt idx="1395">
                  <c:v>95</c:v>
                </c:pt>
                <c:pt idx="1396">
                  <c:v>88</c:v>
                </c:pt>
                <c:pt idx="1397">
                  <c:v>97</c:v>
                </c:pt>
                <c:pt idx="1398">
                  <c:v>99</c:v>
                </c:pt>
                <c:pt idx="1399">
                  <c:v>104</c:v>
                </c:pt>
                <c:pt idx="1400">
                  <c:v>96</c:v>
                </c:pt>
                <c:pt idx="1401">
                  <c:v>116</c:v>
                </c:pt>
                <c:pt idx="1402">
                  <c:v>110</c:v>
                </c:pt>
                <c:pt idx="1403">
                  <c:v>92</c:v>
                </c:pt>
                <c:pt idx="1404">
                  <c:v>98</c:v>
                </c:pt>
                <c:pt idx="1405">
                  <c:v>106</c:v>
                </c:pt>
                <c:pt idx="1406">
                  <c:v>90</c:v>
                </c:pt>
                <c:pt idx="1407">
                  <c:v>96</c:v>
                </c:pt>
                <c:pt idx="1408">
                  <c:v>122</c:v>
                </c:pt>
                <c:pt idx="1409">
                  <c:v>80</c:v>
                </c:pt>
                <c:pt idx="1410">
                  <c:v>96</c:v>
                </c:pt>
                <c:pt idx="1411">
                  <c:v>103</c:v>
                </c:pt>
                <c:pt idx="1412">
                  <c:v>79</c:v>
                </c:pt>
                <c:pt idx="1413">
                  <c:v>93</c:v>
                </c:pt>
                <c:pt idx="1414">
                  <c:v>100</c:v>
                </c:pt>
                <c:pt idx="1415">
                  <c:v>97</c:v>
                </c:pt>
                <c:pt idx="1416">
                  <c:v>107</c:v>
                </c:pt>
                <c:pt idx="1417">
                  <c:v>83</c:v>
                </c:pt>
                <c:pt idx="1418">
                  <c:v>106</c:v>
                </c:pt>
                <c:pt idx="1419">
                  <c:v>103</c:v>
                </c:pt>
                <c:pt idx="1420">
                  <c:v>93</c:v>
                </c:pt>
                <c:pt idx="1421">
                  <c:v>72</c:v>
                </c:pt>
                <c:pt idx="1422">
                  <c:v>102</c:v>
                </c:pt>
                <c:pt idx="1423">
                  <c:v>106</c:v>
                </c:pt>
                <c:pt idx="1424">
                  <c:v>112</c:v>
                </c:pt>
                <c:pt idx="1425">
                  <c:v>108</c:v>
                </c:pt>
                <c:pt idx="1426">
                  <c:v>108</c:v>
                </c:pt>
                <c:pt idx="1427">
                  <c:v>91</c:v>
                </c:pt>
                <c:pt idx="1428">
                  <c:v>106</c:v>
                </c:pt>
                <c:pt idx="1429">
                  <c:v>101</c:v>
                </c:pt>
                <c:pt idx="1430">
                  <c:v>99</c:v>
                </c:pt>
                <c:pt idx="1431">
                  <c:v>90</c:v>
                </c:pt>
                <c:pt idx="1432">
                  <c:v>90</c:v>
                </c:pt>
                <c:pt idx="1433">
                  <c:v>117</c:v>
                </c:pt>
                <c:pt idx="1434">
                  <c:v>111</c:v>
                </c:pt>
                <c:pt idx="1435">
                  <c:v>107</c:v>
                </c:pt>
                <c:pt idx="1436">
                  <c:v>92</c:v>
                </c:pt>
                <c:pt idx="1437">
                  <c:v>115</c:v>
                </c:pt>
                <c:pt idx="1438">
                  <c:v>86</c:v>
                </c:pt>
                <c:pt idx="1439">
                  <c:v>98</c:v>
                </c:pt>
                <c:pt idx="1440">
                  <c:v>134</c:v>
                </c:pt>
                <c:pt idx="1441">
                  <c:v>103</c:v>
                </c:pt>
                <c:pt idx="1442">
                  <c:v>102</c:v>
                </c:pt>
                <c:pt idx="1443">
                  <c:v>112</c:v>
                </c:pt>
                <c:pt idx="1444">
                  <c:v>120</c:v>
                </c:pt>
                <c:pt idx="1445">
                  <c:v>113</c:v>
                </c:pt>
                <c:pt idx="1446">
                  <c:v>127</c:v>
                </c:pt>
                <c:pt idx="1447">
                  <c:v>86</c:v>
                </c:pt>
                <c:pt idx="1448">
                  <c:v>98</c:v>
                </c:pt>
                <c:pt idx="1449">
                  <c:v>110</c:v>
                </c:pt>
                <c:pt idx="1450">
                  <c:v>108</c:v>
                </c:pt>
                <c:pt idx="1451">
                  <c:v>144</c:v>
                </c:pt>
                <c:pt idx="1452">
                  <c:v>113</c:v>
                </c:pt>
                <c:pt idx="1453">
                  <c:v>111</c:v>
                </c:pt>
                <c:pt idx="1454">
                  <c:v>118</c:v>
                </c:pt>
                <c:pt idx="1455">
                  <c:v>90</c:v>
                </c:pt>
                <c:pt idx="1456">
                  <c:v>112</c:v>
                </c:pt>
                <c:pt idx="1457">
                  <c:v>110</c:v>
                </c:pt>
                <c:pt idx="1458">
                  <c:v>120</c:v>
                </c:pt>
                <c:pt idx="1459">
                  <c:v>88</c:v>
                </c:pt>
                <c:pt idx="1460">
                  <c:v>127</c:v>
                </c:pt>
                <c:pt idx="1461">
                  <c:v>123</c:v>
                </c:pt>
                <c:pt idx="1462">
                  <c:v>151</c:v>
                </c:pt>
                <c:pt idx="1463">
                  <c:v>114</c:v>
                </c:pt>
                <c:pt idx="1464">
                  <c:v>107</c:v>
                </c:pt>
                <c:pt idx="1465">
                  <c:v>98</c:v>
                </c:pt>
                <c:pt idx="1466">
                  <c:v>97</c:v>
                </c:pt>
                <c:pt idx="1467">
                  <c:v>107</c:v>
                </c:pt>
                <c:pt idx="1468">
                  <c:v>104</c:v>
                </c:pt>
                <c:pt idx="1469">
                  <c:v>90</c:v>
                </c:pt>
                <c:pt idx="1470">
                  <c:v>93</c:v>
                </c:pt>
                <c:pt idx="1471">
                  <c:v>97</c:v>
                </c:pt>
                <c:pt idx="1472">
                  <c:v>90</c:v>
                </c:pt>
                <c:pt idx="1473">
                  <c:v>111</c:v>
                </c:pt>
                <c:pt idx="1474">
                  <c:v>90</c:v>
                </c:pt>
                <c:pt idx="1475">
                  <c:v>116</c:v>
                </c:pt>
                <c:pt idx="1476">
                  <c:v>139</c:v>
                </c:pt>
                <c:pt idx="1477">
                  <c:v>117</c:v>
                </c:pt>
                <c:pt idx="1478">
                  <c:v>108</c:v>
                </c:pt>
                <c:pt idx="1479">
                  <c:v>97</c:v>
                </c:pt>
                <c:pt idx="1480">
                  <c:v>88</c:v>
                </c:pt>
                <c:pt idx="1481">
                  <c:v>147</c:v>
                </c:pt>
                <c:pt idx="1482">
                  <c:v>104</c:v>
                </c:pt>
                <c:pt idx="1483">
                  <c:v>88</c:v>
                </c:pt>
                <c:pt idx="1484">
                  <c:v>110</c:v>
                </c:pt>
                <c:pt idx="1485">
                  <c:v>90</c:v>
                </c:pt>
                <c:pt idx="1486">
                  <c:v>98</c:v>
                </c:pt>
                <c:pt idx="1487">
                  <c:v>86</c:v>
                </c:pt>
                <c:pt idx="1488">
                  <c:v>118</c:v>
                </c:pt>
                <c:pt idx="1489">
                  <c:v>86</c:v>
                </c:pt>
                <c:pt idx="1490">
                  <c:v>97</c:v>
                </c:pt>
                <c:pt idx="1491">
                  <c:v>110</c:v>
                </c:pt>
                <c:pt idx="1492">
                  <c:v>123</c:v>
                </c:pt>
                <c:pt idx="1493">
                  <c:v>101</c:v>
                </c:pt>
                <c:pt idx="1494">
                  <c:v>111</c:v>
                </c:pt>
                <c:pt idx="1495">
                  <c:v>93</c:v>
                </c:pt>
                <c:pt idx="1496">
                  <c:v>127</c:v>
                </c:pt>
                <c:pt idx="1497">
                  <c:v>100</c:v>
                </c:pt>
                <c:pt idx="1498">
                  <c:v>104</c:v>
                </c:pt>
                <c:pt idx="1499">
                  <c:v>120</c:v>
                </c:pt>
                <c:pt idx="1500">
                  <c:v>110</c:v>
                </c:pt>
                <c:pt idx="1501">
                  <c:v>95</c:v>
                </c:pt>
                <c:pt idx="1502">
                  <c:v>91</c:v>
                </c:pt>
                <c:pt idx="1503">
                  <c:v>91</c:v>
                </c:pt>
                <c:pt idx="1504">
                  <c:v>89</c:v>
                </c:pt>
                <c:pt idx="1505">
                  <c:v>111</c:v>
                </c:pt>
                <c:pt idx="1506">
                  <c:v>127</c:v>
                </c:pt>
                <c:pt idx="1507">
                  <c:v>118</c:v>
                </c:pt>
                <c:pt idx="1508">
                  <c:v>91</c:v>
                </c:pt>
                <c:pt idx="1509">
                  <c:v>112</c:v>
                </c:pt>
                <c:pt idx="1510">
                  <c:v>93</c:v>
                </c:pt>
                <c:pt idx="1511">
                  <c:v>96</c:v>
                </c:pt>
                <c:pt idx="1512">
                  <c:v>102</c:v>
                </c:pt>
                <c:pt idx="1513">
                  <c:v>92</c:v>
                </c:pt>
                <c:pt idx="1514">
                  <c:v>102</c:v>
                </c:pt>
                <c:pt idx="1515">
                  <c:v>105</c:v>
                </c:pt>
                <c:pt idx="1516">
                  <c:v>113</c:v>
                </c:pt>
                <c:pt idx="1517">
                  <c:v>97</c:v>
                </c:pt>
                <c:pt idx="1518">
                  <c:v>100</c:v>
                </c:pt>
                <c:pt idx="1519">
                  <c:v>128</c:v>
                </c:pt>
                <c:pt idx="1520">
                  <c:v>123</c:v>
                </c:pt>
                <c:pt idx="1521">
                  <c:v>121</c:v>
                </c:pt>
                <c:pt idx="1522">
                  <c:v>92</c:v>
                </c:pt>
                <c:pt idx="1523">
                  <c:v>156</c:v>
                </c:pt>
                <c:pt idx="1524">
                  <c:v>130</c:v>
                </c:pt>
                <c:pt idx="1525">
                  <c:v>98</c:v>
                </c:pt>
                <c:pt idx="1526">
                  <c:v>109</c:v>
                </c:pt>
                <c:pt idx="1527">
                  <c:v>96</c:v>
                </c:pt>
                <c:pt idx="1528">
                  <c:v>117</c:v>
                </c:pt>
                <c:pt idx="1529">
                  <c:v>85</c:v>
                </c:pt>
                <c:pt idx="1530">
                  <c:v>123</c:v>
                </c:pt>
                <c:pt idx="1531">
                  <c:v>97</c:v>
                </c:pt>
                <c:pt idx="1532">
                  <c:v>110</c:v>
                </c:pt>
                <c:pt idx="1533">
                  <c:v>98</c:v>
                </c:pt>
                <c:pt idx="1534">
                  <c:v>134</c:v>
                </c:pt>
                <c:pt idx="1535">
                  <c:v>87</c:v>
                </c:pt>
                <c:pt idx="1536">
                  <c:v>101</c:v>
                </c:pt>
                <c:pt idx="1537">
                  <c:v>87</c:v>
                </c:pt>
                <c:pt idx="1538">
                  <c:v>108</c:v>
                </c:pt>
                <c:pt idx="1539">
                  <c:v>106</c:v>
                </c:pt>
                <c:pt idx="1540">
                  <c:v>92</c:v>
                </c:pt>
                <c:pt idx="1541">
                  <c:v>104</c:v>
                </c:pt>
                <c:pt idx="1542">
                  <c:v>89</c:v>
                </c:pt>
                <c:pt idx="1543">
                  <c:v>162</c:v>
                </c:pt>
                <c:pt idx="1544">
                  <c:v>119</c:v>
                </c:pt>
                <c:pt idx="1545">
                  <c:v>124</c:v>
                </c:pt>
                <c:pt idx="1546">
                  <c:v>116</c:v>
                </c:pt>
                <c:pt idx="1547">
                  <c:v>132</c:v>
                </c:pt>
                <c:pt idx="1548">
                  <c:v>112</c:v>
                </c:pt>
                <c:pt idx="1549">
                  <c:v>128</c:v>
                </c:pt>
                <c:pt idx="1550">
                  <c:v>145</c:v>
                </c:pt>
                <c:pt idx="1551">
                  <c:v>114</c:v>
                </c:pt>
                <c:pt idx="1552">
                  <c:v>97</c:v>
                </c:pt>
                <c:pt idx="1553">
                  <c:v>99</c:v>
                </c:pt>
                <c:pt idx="1554">
                  <c:v>95</c:v>
                </c:pt>
                <c:pt idx="1555">
                  <c:v>111</c:v>
                </c:pt>
                <c:pt idx="1556">
                  <c:v>103</c:v>
                </c:pt>
                <c:pt idx="1557">
                  <c:v>139</c:v>
                </c:pt>
                <c:pt idx="1558">
                  <c:v>133</c:v>
                </c:pt>
                <c:pt idx="1559">
                  <c:v>118</c:v>
                </c:pt>
                <c:pt idx="1560">
                  <c:v>120</c:v>
                </c:pt>
                <c:pt idx="1561">
                  <c:v>105</c:v>
                </c:pt>
                <c:pt idx="1562">
                  <c:v>85</c:v>
                </c:pt>
                <c:pt idx="1563">
                  <c:v>120</c:v>
                </c:pt>
                <c:pt idx="1564">
                  <c:v>127</c:v>
                </c:pt>
                <c:pt idx="1565">
                  <c:v>116</c:v>
                </c:pt>
                <c:pt idx="1566">
                  <c:v>104</c:v>
                </c:pt>
                <c:pt idx="1567">
                  <c:v>96</c:v>
                </c:pt>
                <c:pt idx="1568">
                  <c:v>84</c:v>
                </c:pt>
                <c:pt idx="1569">
                  <c:v>102</c:v>
                </c:pt>
                <c:pt idx="1570">
                  <c:v>107</c:v>
                </c:pt>
                <c:pt idx="1571">
                  <c:v>137</c:v>
                </c:pt>
                <c:pt idx="1572">
                  <c:v>88</c:v>
                </c:pt>
                <c:pt idx="1573">
                  <c:v>161</c:v>
                </c:pt>
                <c:pt idx="1574">
                  <c:v>163</c:v>
                </c:pt>
                <c:pt idx="1575">
                  <c:v>83</c:v>
                </c:pt>
                <c:pt idx="1576">
                  <c:v>132</c:v>
                </c:pt>
                <c:pt idx="1577">
                  <c:v>108</c:v>
                </c:pt>
                <c:pt idx="1578">
                  <c:v>104</c:v>
                </c:pt>
                <c:pt idx="1579">
                  <c:v>117</c:v>
                </c:pt>
                <c:pt idx="1580">
                  <c:v>102</c:v>
                </c:pt>
                <c:pt idx="1581">
                  <c:v>111</c:v>
                </c:pt>
                <c:pt idx="1582">
                  <c:v>118</c:v>
                </c:pt>
                <c:pt idx="1583">
                  <c:v>94</c:v>
                </c:pt>
                <c:pt idx="1584">
                  <c:v>86</c:v>
                </c:pt>
                <c:pt idx="1585">
                  <c:v>113</c:v>
                </c:pt>
                <c:pt idx="1586">
                  <c:v>116</c:v>
                </c:pt>
                <c:pt idx="1587">
                  <c:v>130</c:v>
                </c:pt>
                <c:pt idx="1588">
                  <c:v>116</c:v>
                </c:pt>
                <c:pt idx="1589">
                  <c:v>81</c:v>
                </c:pt>
                <c:pt idx="1590">
                  <c:v>105</c:v>
                </c:pt>
                <c:pt idx="1591">
                  <c:v>115</c:v>
                </c:pt>
                <c:pt idx="1592">
                  <c:v>118</c:v>
                </c:pt>
                <c:pt idx="1593">
                  <c:v>100</c:v>
                </c:pt>
                <c:pt idx="1594">
                  <c:v>115</c:v>
                </c:pt>
                <c:pt idx="1595">
                  <c:v>97</c:v>
                </c:pt>
                <c:pt idx="1596">
                  <c:v>107</c:v>
                </c:pt>
                <c:pt idx="1597">
                  <c:v>108</c:v>
                </c:pt>
                <c:pt idx="1598">
                  <c:v>117</c:v>
                </c:pt>
                <c:pt idx="1599">
                  <c:v>108</c:v>
                </c:pt>
                <c:pt idx="1600">
                  <c:v>114</c:v>
                </c:pt>
                <c:pt idx="1601">
                  <c:v>92</c:v>
                </c:pt>
                <c:pt idx="1602">
                  <c:v>97</c:v>
                </c:pt>
                <c:pt idx="1603">
                  <c:v>106</c:v>
                </c:pt>
                <c:pt idx="1604">
                  <c:v>115</c:v>
                </c:pt>
                <c:pt idx="1605">
                  <c:v>146</c:v>
                </c:pt>
                <c:pt idx="1606">
                  <c:v>107</c:v>
                </c:pt>
                <c:pt idx="1607">
                  <c:v>80</c:v>
                </c:pt>
                <c:pt idx="1608">
                  <c:v>98</c:v>
                </c:pt>
                <c:pt idx="1609">
                  <c:v>132</c:v>
                </c:pt>
                <c:pt idx="1610">
                  <c:v>124</c:v>
                </c:pt>
                <c:pt idx="1611">
                  <c:v>119</c:v>
                </c:pt>
                <c:pt idx="1612">
                  <c:v>91</c:v>
                </c:pt>
                <c:pt idx="1613">
                  <c:v>129</c:v>
                </c:pt>
                <c:pt idx="1614">
                  <c:v>107</c:v>
                </c:pt>
                <c:pt idx="1615">
                  <c:v>87</c:v>
                </c:pt>
                <c:pt idx="1616">
                  <c:v>139</c:v>
                </c:pt>
                <c:pt idx="1617">
                  <c:v>99</c:v>
                </c:pt>
                <c:pt idx="1618">
                  <c:v>122</c:v>
                </c:pt>
                <c:pt idx="1619">
                  <c:v>133</c:v>
                </c:pt>
                <c:pt idx="1620">
                  <c:v>87</c:v>
                </c:pt>
                <c:pt idx="1621">
                  <c:v>100</c:v>
                </c:pt>
                <c:pt idx="1622">
                  <c:v>120</c:v>
                </c:pt>
                <c:pt idx="1623">
                  <c:v>102</c:v>
                </c:pt>
                <c:pt idx="1624">
                  <c:v>100</c:v>
                </c:pt>
                <c:pt idx="1625">
                  <c:v>93</c:v>
                </c:pt>
                <c:pt idx="1626">
                  <c:v>96</c:v>
                </c:pt>
                <c:pt idx="1627">
                  <c:v>108</c:v>
                </c:pt>
                <c:pt idx="1628">
                  <c:v>103</c:v>
                </c:pt>
                <c:pt idx="1629">
                  <c:v>123</c:v>
                </c:pt>
                <c:pt idx="1630">
                  <c:v>113</c:v>
                </c:pt>
                <c:pt idx="1631">
                  <c:v>111</c:v>
                </c:pt>
                <c:pt idx="1632">
                  <c:v>110</c:v>
                </c:pt>
                <c:pt idx="1633">
                  <c:v>128</c:v>
                </c:pt>
                <c:pt idx="1634">
                  <c:v>97</c:v>
                </c:pt>
                <c:pt idx="1635">
                  <c:v>118</c:v>
                </c:pt>
                <c:pt idx="1636">
                  <c:v>133</c:v>
                </c:pt>
                <c:pt idx="1637">
                  <c:v>127</c:v>
                </c:pt>
                <c:pt idx="1638">
                  <c:v>105</c:v>
                </c:pt>
                <c:pt idx="1639">
                  <c:v>105</c:v>
                </c:pt>
                <c:pt idx="1640">
                  <c:v>95</c:v>
                </c:pt>
                <c:pt idx="1641">
                  <c:v>109</c:v>
                </c:pt>
                <c:pt idx="1642">
                  <c:v>100</c:v>
                </c:pt>
                <c:pt idx="1643">
                  <c:v>107</c:v>
                </c:pt>
                <c:pt idx="1644">
                  <c:v>92</c:v>
                </c:pt>
                <c:pt idx="1645">
                  <c:v>111</c:v>
                </c:pt>
                <c:pt idx="1646">
                  <c:v>148</c:v>
                </c:pt>
                <c:pt idx="1647">
                  <c:v>95</c:v>
                </c:pt>
                <c:pt idx="1648">
                  <c:v>106</c:v>
                </c:pt>
                <c:pt idx="1649">
                  <c:v>90</c:v>
                </c:pt>
                <c:pt idx="1650">
                  <c:v>124</c:v>
                </c:pt>
                <c:pt idx="1651">
                  <c:v>90</c:v>
                </c:pt>
                <c:pt idx="1652">
                  <c:v>86</c:v>
                </c:pt>
                <c:pt idx="1653">
                  <c:v>123</c:v>
                </c:pt>
                <c:pt idx="1654">
                  <c:v>111</c:v>
                </c:pt>
                <c:pt idx="1655">
                  <c:v>94</c:v>
                </c:pt>
                <c:pt idx="1656">
                  <c:v>103</c:v>
                </c:pt>
                <c:pt idx="1657">
                  <c:v>84</c:v>
                </c:pt>
                <c:pt idx="1658">
                  <c:v>80</c:v>
                </c:pt>
                <c:pt idx="1659">
                  <c:v>77</c:v>
                </c:pt>
                <c:pt idx="1660">
                  <c:v>133</c:v>
                </c:pt>
                <c:pt idx="1661">
                  <c:v>87</c:v>
                </c:pt>
                <c:pt idx="1662">
                  <c:v>105</c:v>
                </c:pt>
                <c:pt idx="1663">
                  <c:v>123</c:v>
                </c:pt>
                <c:pt idx="1664">
                  <c:v>88</c:v>
                </c:pt>
                <c:pt idx="1665">
                  <c:v>105</c:v>
                </c:pt>
                <c:pt idx="1666">
                  <c:v>99</c:v>
                </c:pt>
                <c:pt idx="1667">
                  <c:v>173</c:v>
                </c:pt>
                <c:pt idx="1668">
                  <c:v>130</c:v>
                </c:pt>
                <c:pt idx="1669">
                  <c:v>120</c:v>
                </c:pt>
                <c:pt idx="1670">
                  <c:v>93</c:v>
                </c:pt>
                <c:pt idx="1671">
                  <c:v>117</c:v>
                </c:pt>
                <c:pt idx="1672">
                  <c:v>107</c:v>
                </c:pt>
                <c:pt idx="1673">
                  <c:v>92</c:v>
                </c:pt>
                <c:pt idx="1674">
                  <c:v>90</c:v>
                </c:pt>
                <c:pt idx="1675">
                  <c:v>83</c:v>
                </c:pt>
                <c:pt idx="1676">
                  <c:v>137</c:v>
                </c:pt>
                <c:pt idx="1677">
                  <c:v>88</c:v>
                </c:pt>
                <c:pt idx="1678">
                  <c:v>113</c:v>
                </c:pt>
                <c:pt idx="1679">
                  <c:v>90</c:v>
                </c:pt>
                <c:pt idx="1680">
                  <c:v>146</c:v>
                </c:pt>
                <c:pt idx="1681">
                  <c:v>106</c:v>
                </c:pt>
                <c:pt idx="1682">
                  <c:v>108</c:v>
                </c:pt>
                <c:pt idx="1683">
                  <c:v>133</c:v>
                </c:pt>
                <c:pt idx="1684">
                  <c:v>141</c:v>
                </c:pt>
                <c:pt idx="1685">
                  <c:v>100</c:v>
                </c:pt>
                <c:pt idx="1686">
                  <c:v>89</c:v>
                </c:pt>
                <c:pt idx="1687">
                  <c:v>108</c:v>
                </c:pt>
                <c:pt idx="1688">
                  <c:v>98</c:v>
                </c:pt>
                <c:pt idx="1689">
                  <c:v>98</c:v>
                </c:pt>
                <c:pt idx="1690">
                  <c:v>120</c:v>
                </c:pt>
                <c:pt idx="1691">
                  <c:v>93</c:v>
                </c:pt>
                <c:pt idx="1692">
                  <c:v>98</c:v>
                </c:pt>
                <c:pt idx="1693">
                  <c:v>106</c:v>
                </c:pt>
                <c:pt idx="1694">
                  <c:v>117</c:v>
                </c:pt>
                <c:pt idx="1695">
                  <c:v>91</c:v>
                </c:pt>
                <c:pt idx="1696">
                  <c:v>99</c:v>
                </c:pt>
                <c:pt idx="1697">
                  <c:v>94</c:v>
                </c:pt>
                <c:pt idx="1698">
                  <c:v>95</c:v>
                </c:pt>
                <c:pt idx="1699">
                  <c:v>99</c:v>
                </c:pt>
                <c:pt idx="1700">
                  <c:v>129</c:v>
                </c:pt>
                <c:pt idx="1701">
                  <c:v>108</c:v>
                </c:pt>
                <c:pt idx="1702">
                  <c:v>125</c:v>
                </c:pt>
                <c:pt idx="1703">
                  <c:v>91</c:v>
                </c:pt>
                <c:pt idx="1704">
                  <c:v>89</c:v>
                </c:pt>
                <c:pt idx="1705">
                  <c:v>120</c:v>
                </c:pt>
                <c:pt idx="1706">
                  <c:v>128</c:v>
                </c:pt>
                <c:pt idx="1707">
                  <c:v>106</c:v>
                </c:pt>
                <c:pt idx="1708">
                  <c:v>96</c:v>
                </c:pt>
                <c:pt idx="1709">
                  <c:v>108</c:v>
                </c:pt>
                <c:pt idx="1710">
                  <c:v>98</c:v>
                </c:pt>
                <c:pt idx="1711">
                  <c:v>99</c:v>
                </c:pt>
                <c:pt idx="1712">
                  <c:v>104</c:v>
                </c:pt>
                <c:pt idx="1713">
                  <c:v>118</c:v>
                </c:pt>
                <c:pt idx="1714">
                  <c:v>83</c:v>
                </c:pt>
                <c:pt idx="1715">
                  <c:v>110</c:v>
                </c:pt>
                <c:pt idx="1716">
                  <c:v>128</c:v>
                </c:pt>
                <c:pt idx="1717">
                  <c:v>108</c:v>
                </c:pt>
                <c:pt idx="1718">
                  <c:v>92</c:v>
                </c:pt>
                <c:pt idx="1719">
                  <c:v>98</c:v>
                </c:pt>
                <c:pt idx="1720">
                  <c:v>88</c:v>
                </c:pt>
                <c:pt idx="1721">
                  <c:v>100</c:v>
                </c:pt>
                <c:pt idx="1722">
                  <c:v>115</c:v>
                </c:pt>
                <c:pt idx="1723">
                  <c:v>110</c:v>
                </c:pt>
                <c:pt idx="1724">
                  <c:v>112</c:v>
                </c:pt>
                <c:pt idx="1725">
                  <c:v>94</c:v>
                </c:pt>
                <c:pt idx="1726">
                  <c:v>110</c:v>
                </c:pt>
                <c:pt idx="1727">
                  <c:v>66</c:v>
                </c:pt>
                <c:pt idx="1728">
                  <c:v>93</c:v>
                </c:pt>
                <c:pt idx="1729">
                  <c:v>118</c:v>
                </c:pt>
                <c:pt idx="1730">
                  <c:v>100</c:v>
                </c:pt>
                <c:pt idx="1731">
                  <c:v>80</c:v>
                </c:pt>
                <c:pt idx="1732">
                  <c:v>102</c:v>
                </c:pt>
                <c:pt idx="1733">
                  <c:v>98</c:v>
                </c:pt>
                <c:pt idx="1734">
                  <c:v>93</c:v>
                </c:pt>
                <c:pt idx="1735">
                  <c:v>89</c:v>
                </c:pt>
                <c:pt idx="1736">
                  <c:v>93</c:v>
                </c:pt>
                <c:pt idx="1737">
                  <c:v>89</c:v>
                </c:pt>
                <c:pt idx="1738">
                  <c:v>98</c:v>
                </c:pt>
                <c:pt idx="1739">
                  <c:v>85</c:v>
                </c:pt>
                <c:pt idx="1740">
                  <c:v>97</c:v>
                </c:pt>
                <c:pt idx="1741">
                  <c:v>201</c:v>
                </c:pt>
                <c:pt idx="1742">
                  <c:v>109</c:v>
                </c:pt>
                <c:pt idx="1743">
                  <c:v>89</c:v>
                </c:pt>
                <c:pt idx="1744">
                  <c:v>84</c:v>
                </c:pt>
                <c:pt idx="1745">
                  <c:v>100</c:v>
                </c:pt>
                <c:pt idx="1746">
                  <c:v>129</c:v>
                </c:pt>
                <c:pt idx="1747">
                  <c:v>90</c:v>
                </c:pt>
                <c:pt idx="1748">
                  <c:v>80</c:v>
                </c:pt>
                <c:pt idx="1749">
                  <c:v>93</c:v>
                </c:pt>
                <c:pt idx="1750">
                  <c:v>94</c:v>
                </c:pt>
                <c:pt idx="1751">
                  <c:v>137</c:v>
                </c:pt>
                <c:pt idx="1752">
                  <c:v>100</c:v>
                </c:pt>
                <c:pt idx="1753">
                  <c:v>91</c:v>
                </c:pt>
                <c:pt idx="1754">
                  <c:v>86</c:v>
                </c:pt>
                <c:pt idx="1755">
                  <c:v>97</c:v>
                </c:pt>
                <c:pt idx="1756">
                  <c:v>102</c:v>
                </c:pt>
                <c:pt idx="1757">
                  <c:v>120</c:v>
                </c:pt>
                <c:pt idx="1758">
                  <c:v>91</c:v>
                </c:pt>
                <c:pt idx="1759">
                  <c:v>107</c:v>
                </c:pt>
                <c:pt idx="1760">
                  <c:v>92</c:v>
                </c:pt>
                <c:pt idx="1761">
                  <c:v>94</c:v>
                </c:pt>
                <c:pt idx="1762">
                  <c:v>90</c:v>
                </c:pt>
                <c:pt idx="1763">
                  <c:v>104</c:v>
                </c:pt>
                <c:pt idx="1764">
                  <c:v>94</c:v>
                </c:pt>
                <c:pt idx="1765">
                  <c:v>124</c:v>
                </c:pt>
                <c:pt idx="1766">
                  <c:v>91</c:v>
                </c:pt>
                <c:pt idx="1767">
                  <c:v>104</c:v>
                </c:pt>
                <c:pt idx="1768">
                  <c:v>130</c:v>
                </c:pt>
                <c:pt idx="1769">
                  <c:v>113</c:v>
                </c:pt>
                <c:pt idx="1770">
                  <c:v>91</c:v>
                </c:pt>
                <c:pt idx="1771">
                  <c:v>129</c:v>
                </c:pt>
                <c:pt idx="1772">
                  <c:v>91</c:v>
                </c:pt>
                <c:pt idx="1773">
                  <c:v>127</c:v>
                </c:pt>
                <c:pt idx="1774">
                  <c:v>95</c:v>
                </c:pt>
                <c:pt idx="1775">
                  <c:v>94</c:v>
                </c:pt>
                <c:pt idx="1776">
                  <c:v>98</c:v>
                </c:pt>
                <c:pt idx="1777">
                  <c:v>93</c:v>
                </c:pt>
                <c:pt idx="1778">
                  <c:v>101</c:v>
                </c:pt>
                <c:pt idx="1779">
                  <c:v>122</c:v>
                </c:pt>
                <c:pt idx="1780">
                  <c:v>95</c:v>
                </c:pt>
                <c:pt idx="1781">
                  <c:v>141</c:v>
                </c:pt>
                <c:pt idx="1782">
                  <c:v>91</c:v>
                </c:pt>
                <c:pt idx="1783">
                  <c:v>110</c:v>
                </c:pt>
                <c:pt idx="1784">
                  <c:v>100</c:v>
                </c:pt>
                <c:pt idx="1785">
                  <c:v>132</c:v>
                </c:pt>
                <c:pt idx="1786">
                  <c:v>108</c:v>
                </c:pt>
                <c:pt idx="1787">
                  <c:v>95</c:v>
                </c:pt>
                <c:pt idx="1788">
                  <c:v>108</c:v>
                </c:pt>
                <c:pt idx="1789">
                  <c:v>111</c:v>
                </c:pt>
                <c:pt idx="1790">
                  <c:v>122</c:v>
                </c:pt>
                <c:pt idx="1791">
                  <c:v>87</c:v>
                </c:pt>
                <c:pt idx="1792">
                  <c:v>136</c:v>
                </c:pt>
                <c:pt idx="1793">
                  <c:v>94</c:v>
                </c:pt>
                <c:pt idx="1794">
                  <c:v>122</c:v>
                </c:pt>
                <c:pt idx="1795">
                  <c:v>118</c:v>
                </c:pt>
                <c:pt idx="1796">
                  <c:v>107</c:v>
                </c:pt>
                <c:pt idx="1797">
                  <c:v>126</c:v>
                </c:pt>
                <c:pt idx="1798">
                  <c:v>95</c:v>
                </c:pt>
                <c:pt idx="1799">
                  <c:v>97</c:v>
                </c:pt>
                <c:pt idx="1800">
                  <c:v>120</c:v>
                </c:pt>
                <c:pt idx="1801">
                  <c:v>97</c:v>
                </c:pt>
                <c:pt idx="1802">
                  <c:v>106</c:v>
                </c:pt>
                <c:pt idx="1803">
                  <c:v>106</c:v>
                </c:pt>
                <c:pt idx="1804">
                  <c:v>84</c:v>
                </c:pt>
                <c:pt idx="1805">
                  <c:v>80</c:v>
                </c:pt>
                <c:pt idx="1806">
                  <c:v>92</c:v>
                </c:pt>
                <c:pt idx="1807">
                  <c:v>117</c:v>
                </c:pt>
                <c:pt idx="1808">
                  <c:v>84</c:v>
                </c:pt>
                <c:pt idx="1809">
                  <c:v>82</c:v>
                </c:pt>
                <c:pt idx="1810">
                  <c:v>121</c:v>
                </c:pt>
                <c:pt idx="1811">
                  <c:v>106</c:v>
                </c:pt>
                <c:pt idx="1812">
                  <c:v>139</c:v>
                </c:pt>
                <c:pt idx="1813">
                  <c:v>117</c:v>
                </c:pt>
                <c:pt idx="1814">
                  <c:v>94</c:v>
                </c:pt>
                <c:pt idx="1815">
                  <c:v>100</c:v>
                </c:pt>
                <c:pt idx="1816">
                  <c:v>92</c:v>
                </c:pt>
                <c:pt idx="1817">
                  <c:v>90</c:v>
                </c:pt>
                <c:pt idx="1818">
                  <c:v>101</c:v>
                </c:pt>
                <c:pt idx="1819">
                  <c:v>100</c:v>
                </c:pt>
                <c:pt idx="1820">
                  <c:v>136</c:v>
                </c:pt>
                <c:pt idx="1821">
                  <c:v>105</c:v>
                </c:pt>
                <c:pt idx="1822">
                  <c:v>116</c:v>
                </c:pt>
                <c:pt idx="1823">
                  <c:v>120</c:v>
                </c:pt>
                <c:pt idx="1824">
                  <c:v>105</c:v>
                </c:pt>
                <c:pt idx="1825">
                  <c:v>118</c:v>
                </c:pt>
                <c:pt idx="1826">
                  <c:v>95</c:v>
                </c:pt>
                <c:pt idx="1827">
                  <c:v>115</c:v>
                </c:pt>
                <c:pt idx="1828">
                  <c:v>105</c:v>
                </c:pt>
                <c:pt idx="1829">
                  <c:v>123</c:v>
                </c:pt>
                <c:pt idx="1830">
                  <c:v>116</c:v>
                </c:pt>
                <c:pt idx="1831">
                  <c:v>107</c:v>
                </c:pt>
                <c:pt idx="1832">
                  <c:v>96</c:v>
                </c:pt>
                <c:pt idx="1833">
                  <c:v>97</c:v>
                </c:pt>
                <c:pt idx="1834">
                  <c:v>89</c:v>
                </c:pt>
                <c:pt idx="1835">
                  <c:v>110</c:v>
                </c:pt>
                <c:pt idx="1836">
                  <c:v>92</c:v>
                </c:pt>
                <c:pt idx="1837">
                  <c:v>93</c:v>
                </c:pt>
                <c:pt idx="1838">
                  <c:v>109</c:v>
                </c:pt>
                <c:pt idx="1839">
                  <c:v>113</c:v>
                </c:pt>
                <c:pt idx="1840">
                  <c:v>136</c:v>
                </c:pt>
                <c:pt idx="1841">
                  <c:v>98</c:v>
                </c:pt>
                <c:pt idx="1842">
                  <c:v>104</c:v>
                </c:pt>
                <c:pt idx="1843">
                  <c:v>92</c:v>
                </c:pt>
                <c:pt idx="1844">
                  <c:v>127</c:v>
                </c:pt>
                <c:pt idx="1845">
                  <c:v>87</c:v>
                </c:pt>
                <c:pt idx="1846">
                  <c:v>115</c:v>
                </c:pt>
                <c:pt idx="1847">
                  <c:v>107</c:v>
                </c:pt>
                <c:pt idx="1848">
                  <c:v>95</c:v>
                </c:pt>
                <c:pt idx="1849">
                  <c:v>105</c:v>
                </c:pt>
                <c:pt idx="1850">
                  <c:v>107</c:v>
                </c:pt>
                <c:pt idx="1851">
                  <c:v>118</c:v>
                </c:pt>
                <c:pt idx="1852">
                  <c:v>105</c:v>
                </c:pt>
                <c:pt idx="1853">
                  <c:v>95</c:v>
                </c:pt>
                <c:pt idx="1854">
                  <c:v>140</c:v>
                </c:pt>
                <c:pt idx="1855">
                  <c:v>98</c:v>
                </c:pt>
                <c:pt idx="1856">
                  <c:v>134</c:v>
                </c:pt>
                <c:pt idx="1857">
                  <c:v>143</c:v>
                </c:pt>
                <c:pt idx="1858">
                  <c:v>111</c:v>
                </c:pt>
                <c:pt idx="1859">
                  <c:v>93</c:v>
                </c:pt>
                <c:pt idx="1860">
                  <c:v>104</c:v>
                </c:pt>
                <c:pt idx="1861">
                  <c:v>92</c:v>
                </c:pt>
                <c:pt idx="1862">
                  <c:v>141</c:v>
                </c:pt>
                <c:pt idx="1863">
                  <c:v>106</c:v>
                </c:pt>
                <c:pt idx="1864">
                  <c:v>98</c:v>
                </c:pt>
                <c:pt idx="1865">
                  <c:v>109</c:v>
                </c:pt>
                <c:pt idx="1866">
                  <c:v>119</c:v>
                </c:pt>
                <c:pt idx="1867">
                  <c:v>112</c:v>
                </c:pt>
                <c:pt idx="1868">
                  <c:v>121</c:v>
                </c:pt>
                <c:pt idx="1869">
                  <c:v>104</c:v>
                </c:pt>
                <c:pt idx="1870">
                  <c:v>132</c:v>
                </c:pt>
                <c:pt idx="1871">
                  <c:v>152</c:v>
                </c:pt>
                <c:pt idx="1872">
                  <c:v>121</c:v>
                </c:pt>
                <c:pt idx="1873">
                  <c:v>98</c:v>
                </c:pt>
                <c:pt idx="1874">
                  <c:v>82</c:v>
                </c:pt>
                <c:pt idx="1875">
                  <c:v>103</c:v>
                </c:pt>
                <c:pt idx="1876">
                  <c:v>116</c:v>
                </c:pt>
                <c:pt idx="1877">
                  <c:v>118</c:v>
                </c:pt>
                <c:pt idx="1878">
                  <c:v>120</c:v>
                </c:pt>
                <c:pt idx="1879">
                  <c:v>121</c:v>
                </c:pt>
                <c:pt idx="1880">
                  <c:v>96</c:v>
                </c:pt>
                <c:pt idx="1881">
                  <c:v>164</c:v>
                </c:pt>
                <c:pt idx="1882">
                  <c:v>132</c:v>
                </c:pt>
                <c:pt idx="1883">
                  <c:v>140</c:v>
                </c:pt>
                <c:pt idx="1884">
                  <c:v>111</c:v>
                </c:pt>
                <c:pt idx="1885">
                  <c:v>99</c:v>
                </c:pt>
                <c:pt idx="1886">
                  <c:v>135</c:v>
                </c:pt>
                <c:pt idx="1887">
                  <c:v>89</c:v>
                </c:pt>
                <c:pt idx="1888">
                  <c:v>119</c:v>
                </c:pt>
                <c:pt idx="1889">
                  <c:v>118</c:v>
                </c:pt>
                <c:pt idx="1890">
                  <c:v>117</c:v>
                </c:pt>
                <c:pt idx="1891">
                  <c:v>115</c:v>
                </c:pt>
                <c:pt idx="1892">
                  <c:v>106</c:v>
                </c:pt>
                <c:pt idx="1893">
                  <c:v>115</c:v>
                </c:pt>
                <c:pt idx="1894">
                  <c:v>94</c:v>
                </c:pt>
                <c:pt idx="1895">
                  <c:v>105</c:v>
                </c:pt>
                <c:pt idx="1896">
                  <c:v>107</c:v>
                </c:pt>
                <c:pt idx="1897">
                  <c:v>98</c:v>
                </c:pt>
                <c:pt idx="1898">
                  <c:v>125</c:v>
                </c:pt>
                <c:pt idx="1899">
                  <c:v>111</c:v>
                </c:pt>
                <c:pt idx="1900">
                  <c:v>119</c:v>
                </c:pt>
                <c:pt idx="1901">
                  <c:v>106</c:v>
                </c:pt>
                <c:pt idx="1902">
                  <c:v>116</c:v>
                </c:pt>
                <c:pt idx="1903">
                  <c:v>119</c:v>
                </c:pt>
                <c:pt idx="1904">
                  <c:v>108</c:v>
                </c:pt>
                <c:pt idx="1905">
                  <c:v>111</c:v>
                </c:pt>
                <c:pt idx="1906">
                  <c:v>107</c:v>
                </c:pt>
                <c:pt idx="1907">
                  <c:v>123</c:v>
                </c:pt>
                <c:pt idx="1908">
                  <c:v>97</c:v>
                </c:pt>
                <c:pt idx="1909">
                  <c:v>93</c:v>
                </c:pt>
                <c:pt idx="1910">
                  <c:v>101</c:v>
                </c:pt>
                <c:pt idx="1911">
                  <c:v>125</c:v>
                </c:pt>
                <c:pt idx="1912">
                  <c:v>113</c:v>
                </c:pt>
                <c:pt idx="1913">
                  <c:v>124</c:v>
                </c:pt>
                <c:pt idx="1914">
                  <c:v>130</c:v>
                </c:pt>
                <c:pt idx="1915">
                  <c:v>134</c:v>
                </c:pt>
                <c:pt idx="1916">
                  <c:v>140</c:v>
                </c:pt>
                <c:pt idx="1917">
                  <c:v>114</c:v>
                </c:pt>
                <c:pt idx="1918">
                  <c:v>90</c:v>
                </c:pt>
                <c:pt idx="1919">
                  <c:v>116</c:v>
                </c:pt>
                <c:pt idx="1920">
                  <c:v>105</c:v>
                </c:pt>
                <c:pt idx="1921">
                  <c:v>117</c:v>
                </c:pt>
                <c:pt idx="1922">
                  <c:v>104</c:v>
                </c:pt>
                <c:pt idx="1923">
                  <c:v>111</c:v>
                </c:pt>
                <c:pt idx="1924">
                  <c:v>122</c:v>
                </c:pt>
                <c:pt idx="1925">
                  <c:v>98</c:v>
                </c:pt>
                <c:pt idx="1926">
                  <c:v>130</c:v>
                </c:pt>
                <c:pt idx="1927">
                  <c:v>93</c:v>
                </c:pt>
                <c:pt idx="1928">
                  <c:v>127</c:v>
                </c:pt>
                <c:pt idx="1929">
                  <c:v>88</c:v>
                </c:pt>
                <c:pt idx="1930">
                  <c:v>113</c:v>
                </c:pt>
                <c:pt idx="1931">
                  <c:v>90</c:v>
                </c:pt>
                <c:pt idx="1932">
                  <c:v>107</c:v>
                </c:pt>
                <c:pt idx="1933">
                  <c:v>122</c:v>
                </c:pt>
                <c:pt idx="1934">
                  <c:v>97</c:v>
                </c:pt>
                <c:pt idx="1935">
                  <c:v>76</c:v>
                </c:pt>
                <c:pt idx="1936">
                  <c:v>93</c:v>
                </c:pt>
                <c:pt idx="1937">
                  <c:v>107</c:v>
                </c:pt>
                <c:pt idx="1938">
                  <c:v>135</c:v>
                </c:pt>
                <c:pt idx="1939">
                  <c:v>92</c:v>
                </c:pt>
                <c:pt idx="1940">
                  <c:v>133</c:v>
                </c:pt>
                <c:pt idx="1941">
                  <c:v>71</c:v>
                </c:pt>
                <c:pt idx="1942">
                  <c:v>105</c:v>
                </c:pt>
                <c:pt idx="1943">
                  <c:v>132</c:v>
                </c:pt>
                <c:pt idx="1944">
                  <c:v>86</c:v>
                </c:pt>
                <c:pt idx="1945">
                  <c:v>102</c:v>
                </c:pt>
                <c:pt idx="1946">
                  <c:v>93</c:v>
                </c:pt>
                <c:pt idx="1947">
                  <c:v>105</c:v>
                </c:pt>
                <c:pt idx="1948">
                  <c:v>86</c:v>
                </c:pt>
                <c:pt idx="1949">
                  <c:v>115</c:v>
                </c:pt>
                <c:pt idx="1950">
                  <c:v>120</c:v>
                </c:pt>
                <c:pt idx="1951">
                  <c:v>89</c:v>
                </c:pt>
                <c:pt idx="1952">
                  <c:v>96</c:v>
                </c:pt>
                <c:pt idx="1953">
                  <c:v>60</c:v>
                </c:pt>
              </c:numCache>
            </c:numRef>
          </c:xVal>
          <c:yVal>
            <c:numRef>
              <c:f>'Cleaned &amp; Transformed IMDB Movi'!$G$4:$G$1957</c:f>
              <c:numCache>
                <c:formatCode>0.00</c:formatCode>
                <c:ptCount val="1954"/>
                <c:pt idx="0">
                  <c:v>2.2999999999999998</c:v>
                </c:pt>
                <c:pt idx="1">
                  <c:v>2.46</c:v>
                </c:pt>
                <c:pt idx="2">
                  <c:v>2.46</c:v>
                </c:pt>
                <c:pt idx="3">
                  <c:v>2.46</c:v>
                </c:pt>
                <c:pt idx="4">
                  <c:v>2.46</c:v>
                </c:pt>
                <c:pt idx="5">
                  <c:v>2.46</c:v>
                </c:pt>
                <c:pt idx="6">
                  <c:v>2.46</c:v>
                </c:pt>
                <c:pt idx="7">
                  <c:v>2.73</c:v>
                </c:pt>
                <c:pt idx="8">
                  <c:v>2.46</c:v>
                </c:pt>
                <c:pt idx="9">
                  <c:v>2.46</c:v>
                </c:pt>
                <c:pt idx="10">
                  <c:v>2.46</c:v>
                </c:pt>
                <c:pt idx="11">
                  <c:v>2.46</c:v>
                </c:pt>
                <c:pt idx="12">
                  <c:v>0.02</c:v>
                </c:pt>
                <c:pt idx="13">
                  <c:v>2.46</c:v>
                </c:pt>
                <c:pt idx="14">
                  <c:v>2.46</c:v>
                </c:pt>
                <c:pt idx="15">
                  <c:v>16.059999999999999</c:v>
                </c:pt>
                <c:pt idx="16">
                  <c:v>0.16</c:v>
                </c:pt>
                <c:pt idx="17">
                  <c:v>0.23</c:v>
                </c:pt>
                <c:pt idx="18">
                  <c:v>14</c:v>
                </c:pt>
                <c:pt idx="19">
                  <c:v>21.71</c:v>
                </c:pt>
                <c:pt idx="20">
                  <c:v>2.46</c:v>
                </c:pt>
                <c:pt idx="21">
                  <c:v>22.49</c:v>
                </c:pt>
                <c:pt idx="22">
                  <c:v>2.46</c:v>
                </c:pt>
                <c:pt idx="23">
                  <c:v>31.9</c:v>
                </c:pt>
                <c:pt idx="24">
                  <c:v>0.03</c:v>
                </c:pt>
                <c:pt idx="25">
                  <c:v>1.1100000000000001</c:v>
                </c:pt>
                <c:pt idx="26">
                  <c:v>13.75</c:v>
                </c:pt>
                <c:pt idx="27">
                  <c:v>2.46</c:v>
                </c:pt>
                <c:pt idx="28">
                  <c:v>34.729999999999997</c:v>
                </c:pt>
                <c:pt idx="29">
                  <c:v>5.56</c:v>
                </c:pt>
                <c:pt idx="30">
                  <c:v>6.14</c:v>
                </c:pt>
                <c:pt idx="31">
                  <c:v>25.1</c:v>
                </c:pt>
                <c:pt idx="32">
                  <c:v>0.22</c:v>
                </c:pt>
                <c:pt idx="33">
                  <c:v>4.2699999999999996</c:v>
                </c:pt>
                <c:pt idx="34">
                  <c:v>30</c:v>
                </c:pt>
                <c:pt idx="35">
                  <c:v>28.61</c:v>
                </c:pt>
                <c:pt idx="36">
                  <c:v>12.31</c:v>
                </c:pt>
                <c:pt idx="37">
                  <c:v>7.79</c:v>
                </c:pt>
                <c:pt idx="38">
                  <c:v>14.38</c:v>
                </c:pt>
                <c:pt idx="39">
                  <c:v>3.33</c:v>
                </c:pt>
                <c:pt idx="40">
                  <c:v>1.1100000000000001</c:v>
                </c:pt>
                <c:pt idx="41">
                  <c:v>2.84</c:v>
                </c:pt>
                <c:pt idx="42">
                  <c:v>2.46</c:v>
                </c:pt>
                <c:pt idx="43">
                  <c:v>2.23</c:v>
                </c:pt>
                <c:pt idx="44">
                  <c:v>2.02</c:v>
                </c:pt>
                <c:pt idx="45">
                  <c:v>2.46</c:v>
                </c:pt>
                <c:pt idx="46">
                  <c:v>0.62</c:v>
                </c:pt>
                <c:pt idx="47">
                  <c:v>10.56</c:v>
                </c:pt>
                <c:pt idx="48">
                  <c:v>2.5</c:v>
                </c:pt>
                <c:pt idx="49">
                  <c:v>5.62</c:v>
                </c:pt>
                <c:pt idx="50">
                  <c:v>15.19</c:v>
                </c:pt>
                <c:pt idx="51">
                  <c:v>20.100000000000001</c:v>
                </c:pt>
                <c:pt idx="52">
                  <c:v>2.46</c:v>
                </c:pt>
                <c:pt idx="53">
                  <c:v>13.04</c:v>
                </c:pt>
                <c:pt idx="54">
                  <c:v>0.52</c:v>
                </c:pt>
                <c:pt idx="55">
                  <c:v>0.19</c:v>
                </c:pt>
                <c:pt idx="56">
                  <c:v>0.56000000000000005</c:v>
                </c:pt>
                <c:pt idx="57">
                  <c:v>2.46</c:v>
                </c:pt>
                <c:pt idx="58">
                  <c:v>40.06</c:v>
                </c:pt>
                <c:pt idx="59">
                  <c:v>7.0000000000000007E-2</c:v>
                </c:pt>
                <c:pt idx="60">
                  <c:v>0.01</c:v>
                </c:pt>
                <c:pt idx="61">
                  <c:v>14.86</c:v>
                </c:pt>
                <c:pt idx="62">
                  <c:v>4.96</c:v>
                </c:pt>
                <c:pt idx="63">
                  <c:v>3.82</c:v>
                </c:pt>
                <c:pt idx="64">
                  <c:v>2.25</c:v>
                </c:pt>
                <c:pt idx="65">
                  <c:v>0.03</c:v>
                </c:pt>
                <c:pt idx="66">
                  <c:v>2.46</c:v>
                </c:pt>
                <c:pt idx="67">
                  <c:v>0.77</c:v>
                </c:pt>
                <c:pt idx="68">
                  <c:v>2.46</c:v>
                </c:pt>
                <c:pt idx="69">
                  <c:v>2.46</c:v>
                </c:pt>
                <c:pt idx="70">
                  <c:v>0.21</c:v>
                </c:pt>
                <c:pt idx="71">
                  <c:v>0.49</c:v>
                </c:pt>
                <c:pt idx="72">
                  <c:v>27.09</c:v>
                </c:pt>
                <c:pt idx="73">
                  <c:v>0.02</c:v>
                </c:pt>
                <c:pt idx="74">
                  <c:v>0.02</c:v>
                </c:pt>
                <c:pt idx="75">
                  <c:v>0.06</c:v>
                </c:pt>
                <c:pt idx="76">
                  <c:v>14.25</c:v>
                </c:pt>
                <c:pt idx="77">
                  <c:v>0.24</c:v>
                </c:pt>
                <c:pt idx="78">
                  <c:v>0.45</c:v>
                </c:pt>
                <c:pt idx="79">
                  <c:v>0.62</c:v>
                </c:pt>
                <c:pt idx="80">
                  <c:v>0.19</c:v>
                </c:pt>
                <c:pt idx="81">
                  <c:v>0.24</c:v>
                </c:pt>
                <c:pt idx="82">
                  <c:v>2.46</c:v>
                </c:pt>
                <c:pt idx="83">
                  <c:v>3.03</c:v>
                </c:pt>
                <c:pt idx="84">
                  <c:v>3.8</c:v>
                </c:pt>
                <c:pt idx="85">
                  <c:v>0.21</c:v>
                </c:pt>
                <c:pt idx="86">
                  <c:v>19.16</c:v>
                </c:pt>
                <c:pt idx="87">
                  <c:v>0.23</c:v>
                </c:pt>
                <c:pt idx="88">
                  <c:v>2.46</c:v>
                </c:pt>
                <c:pt idx="89">
                  <c:v>0.73</c:v>
                </c:pt>
                <c:pt idx="90">
                  <c:v>6.53</c:v>
                </c:pt>
                <c:pt idx="91">
                  <c:v>2.46</c:v>
                </c:pt>
                <c:pt idx="92">
                  <c:v>8.36</c:v>
                </c:pt>
                <c:pt idx="93">
                  <c:v>0.01</c:v>
                </c:pt>
                <c:pt idx="94">
                  <c:v>0.71</c:v>
                </c:pt>
                <c:pt idx="95">
                  <c:v>7.0000000000000007E-2</c:v>
                </c:pt>
                <c:pt idx="96">
                  <c:v>0.34</c:v>
                </c:pt>
                <c:pt idx="97">
                  <c:v>1.79</c:v>
                </c:pt>
                <c:pt idx="98">
                  <c:v>0.77</c:v>
                </c:pt>
                <c:pt idx="99">
                  <c:v>36.92</c:v>
                </c:pt>
                <c:pt idx="100">
                  <c:v>2.46</c:v>
                </c:pt>
                <c:pt idx="101">
                  <c:v>0.6</c:v>
                </c:pt>
                <c:pt idx="102">
                  <c:v>3.83</c:v>
                </c:pt>
                <c:pt idx="103">
                  <c:v>1.04</c:v>
                </c:pt>
                <c:pt idx="104">
                  <c:v>2.46</c:v>
                </c:pt>
                <c:pt idx="105">
                  <c:v>0.68</c:v>
                </c:pt>
                <c:pt idx="106">
                  <c:v>2.46</c:v>
                </c:pt>
                <c:pt idx="107">
                  <c:v>2.46</c:v>
                </c:pt>
                <c:pt idx="108">
                  <c:v>0.05</c:v>
                </c:pt>
                <c:pt idx="109">
                  <c:v>11.01</c:v>
                </c:pt>
                <c:pt idx="110">
                  <c:v>0.56999999999999995</c:v>
                </c:pt>
                <c:pt idx="111">
                  <c:v>0.01</c:v>
                </c:pt>
                <c:pt idx="112">
                  <c:v>62.66</c:v>
                </c:pt>
                <c:pt idx="113">
                  <c:v>10.17</c:v>
                </c:pt>
                <c:pt idx="114">
                  <c:v>11.97</c:v>
                </c:pt>
                <c:pt idx="115">
                  <c:v>28.21</c:v>
                </c:pt>
                <c:pt idx="116">
                  <c:v>2.46</c:v>
                </c:pt>
                <c:pt idx="117">
                  <c:v>2.46</c:v>
                </c:pt>
                <c:pt idx="118">
                  <c:v>2.2000000000000002</c:v>
                </c:pt>
                <c:pt idx="119">
                  <c:v>2.46</c:v>
                </c:pt>
                <c:pt idx="120">
                  <c:v>0.05</c:v>
                </c:pt>
                <c:pt idx="121">
                  <c:v>0.02</c:v>
                </c:pt>
                <c:pt idx="122">
                  <c:v>0</c:v>
                </c:pt>
                <c:pt idx="123">
                  <c:v>2.46</c:v>
                </c:pt>
                <c:pt idx="124">
                  <c:v>3.44</c:v>
                </c:pt>
                <c:pt idx="125">
                  <c:v>2.46</c:v>
                </c:pt>
                <c:pt idx="126">
                  <c:v>72.78</c:v>
                </c:pt>
                <c:pt idx="127">
                  <c:v>21</c:v>
                </c:pt>
                <c:pt idx="128">
                  <c:v>0.32</c:v>
                </c:pt>
                <c:pt idx="129">
                  <c:v>155.02000000000001</c:v>
                </c:pt>
                <c:pt idx="130">
                  <c:v>0.02</c:v>
                </c:pt>
                <c:pt idx="131">
                  <c:v>8.66</c:v>
                </c:pt>
                <c:pt idx="132">
                  <c:v>0.55000000000000004</c:v>
                </c:pt>
                <c:pt idx="133">
                  <c:v>0.21</c:v>
                </c:pt>
                <c:pt idx="134">
                  <c:v>2.46</c:v>
                </c:pt>
                <c:pt idx="135">
                  <c:v>3.17</c:v>
                </c:pt>
                <c:pt idx="136">
                  <c:v>0.15</c:v>
                </c:pt>
                <c:pt idx="137">
                  <c:v>0.01</c:v>
                </c:pt>
                <c:pt idx="138">
                  <c:v>2.46</c:v>
                </c:pt>
                <c:pt idx="139">
                  <c:v>217.33</c:v>
                </c:pt>
                <c:pt idx="140">
                  <c:v>7.0000000000000007E-2</c:v>
                </c:pt>
                <c:pt idx="141">
                  <c:v>2.46</c:v>
                </c:pt>
                <c:pt idx="142">
                  <c:v>0.63</c:v>
                </c:pt>
                <c:pt idx="143">
                  <c:v>0.17</c:v>
                </c:pt>
                <c:pt idx="144">
                  <c:v>0.05</c:v>
                </c:pt>
                <c:pt idx="145">
                  <c:v>0.79</c:v>
                </c:pt>
                <c:pt idx="146">
                  <c:v>0.31</c:v>
                </c:pt>
                <c:pt idx="147">
                  <c:v>3.53</c:v>
                </c:pt>
                <c:pt idx="148">
                  <c:v>0.21</c:v>
                </c:pt>
                <c:pt idx="149">
                  <c:v>25.59</c:v>
                </c:pt>
                <c:pt idx="150">
                  <c:v>2.46</c:v>
                </c:pt>
                <c:pt idx="151">
                  <c:v>2.46</c:v>
                </c:pt>
                <c:pt idx="152">
                  <c:v>0.27</c:v>
                </c:pt>
                <c:pt idx="153">
                  <c:v>0.12</c:v>
                </c:pt>
                <c:pt idx="154">
                  <c:v>2.46</c:v>
                </c:pt>
                <c:pt idx="155">
                  <c:v>2.46</c:v>
                </c:pt>
                <c:pt idx="156">
                  <c:v>0.71</c:v>
                </c:pt>
                <c:pt idx="157">
                  <c:v>0.01</c:v>
                </c:pt>
                <c:pt idx="158">
                  <c:v>0.02</c:v>
                </c:pt>
                <c:pt idx="159">
                  <c:v>75.75</c:v>
                </c:pt>
                <c:pt idx="160">
                  <c:v>0.02</c:v>
                </c:pt>
                <c:pt idx="161">
                  <c:v>50.88</c:v>
                </c:pt>
                <c:pt idx="162">
                  <c:v>0.8</c:v>
                </c:pt>
                <c:pt idx="163">
                  <c:v>0</c:v>
                </c:pt>
                <c:pt idx="164">
                  <c:v>0.01</c:v>
                </c:pt>
                <c:pt idx="165">
                  <c:v>0.13</c:v>
                </c:pt>
                <c:pt idx="166">
                  <c:v>3.82</c:v>
                </c:pt>
                <c:pt idx="167">
                  <c:v>9.4499999999999993</c:v>
                </c:pt>
                <c:pt idx="168">
                  <c:v>93.95</c:v>
                </c:pt>
                <c:pt idx="169">
                  <c:v>0.01</c:v>
                </c:pt>
                <c:pt idx="170">
                  <c:v>0.11</c:v>
                </c:pt>
                <c:pt idx="171">
                  <c:v>219.61</c:v>
                </c:pt>
                <c:pt idx="172">
                  <c:v>2.46</c:v>
                </c:pt>
                <c:pt idx="173">
                  <c:v>0.02</c:v>
                </c:pt>
                <c:pt idx="174">
                  <c:v>2.46</c:v>
                </c:pt>
                <c:pt idx="175">
                  <c:v>0.23</c:v>
                </c:pt>
                <c:pt idx="176">
                  <c:v>0.11</c:v>
                </c:pt>
                <c:pt idx="177">
                  <c:v>0.03</c:v>
                </c:pt>
                <c:pt idx="178">
                  <c:v>0.24</c:v>
                </c:pt>
                <c:pt idx="179">
                  <c:v>2.46</c:v>
                </c:pt>
                <c:pt idx="180">
                  <c:v>0.53</c:v>
                </c:pt>
                <c:pt idx="181">
                  <c:v>0.01</c:v>
                </c:pt>
                <c:pt idx="182">
                  <c:v>0.19</c:v>
                </c:pt>
                <c:pt idx="183">
                  <c:v>2.46</c:v>
                </c:pt>
                <c:pt idx="184">
                  <c:v>0.1</c:v>
                </c:pt>
                <c:pt idx="185">
                  <c:v>2.46</c:v>
                </c:pt>
                <c:pt idx="186">
                  <c:v>2.46</c:v>
                </c:pt>
                <c:pt idx="187">
                  <c:v>0</c:v>
                </c:pt>
                <c:pt idx="188">
                  <c:v>0.39</c:v>
                </c:pt>
                <c:pt idx="189">
                  <c:v>0.08</c:v>
                </c:pt>
                <c:pt idx="190">
                  <c:v>0.05</c:v>
                </c:pt>
                <c:pt idx="191">
                  <c:v>0.33</c:v>
                </c:pt>
                <c:pt idx="192">
                  <c:v>0.26</c:v>
                </c:pt>
                <c:pt idx="193">
                  <c:v>7.0000000000000007E-2</c:v>
                </c:pt>
                <c:pt idx="194">
                  <c:v>0.26</c:v>
                </c:pt>
                <c:pt idx="195">
                  <c:v>2.46</c:v>
                </c:pt>
                <c:pt idx="196">
                  <c:v>0.1</c:v>
                </c:pt>
                <c:pt idx="197">
                  <c:v>0.01</c:v>
                </c:pt>
                <c:pt idx="198">
                  <c:v>3.29</c:v>
                </c:pt>
                <c:pt idx="199">
                  <c:v>0.72</c:v>
                </c:pt>
                <c:pt idx="200">
                  <c:v>7.0000000000000007E-2</c:v>
                </c:pt>
                <c:pt idx="201">
                  <c:v>0.01</c:v>
                </c:pt>
                <c:pt idx="202">
                  <c:v>2.46</c:v>
                </c:pt>
                <c:pt idx="203">
                  <c:v>0.12</c:v>
                </c:pt>
                <c:pt idx="204">
                  <c:v>2.46</c:v>
                </c:pt>
                <c:pt idx="205">
                  <c:v>0</c:v>
                </c:pt>
                <c:pt idx="206">
                  <c:v>2.5499999999999998</c:v>
                </c:pt>
                <c:pt idx="207">
                  <c:v>1</c:v>
                </c:pt>
                <c:pt idx="208">
                  <c:v>2.67</c:v>
                </c:pt>
                <c:pt idx="209">
                  <c:v>0.11</c:v>
                </c:pt>
                <c:pt idx="210">
                  <c:v>0.56000000000000005</c:v>
                </c:pt>
                <c:pt idx="211">
                  <c:v>1.57</c:v>
                </c:pt>
                <c:pt idx="212">
                  <c:v>0.23</c:v>
                </c:pt>
                <c:pt idx="213">
                  <c:v>2.46</c:v>
                </c:pt>
                <c:pt idx="214">
                  <c:v>1.38</c:v>
                </c:pt>
                <c:pt idx="215">
                  <c:v>2.46</c:v>
                </c:pt>
                <c:pt idx="216">
                  <c:v>0</c:v>
                </c:pt>
                <c:pt idx="217">
                  <c:v>0.02</c:v>
                </c:pt>
                <c:pt idx="218">
                  <c:v>0</c:v>
                </c:pt>
                <c:pt idx="219">
                  <c:v>0.02</c:v>
                </c:pt>
                <c:pt idx="220">
                  <c:v>2.46</c:v>
                </c:pt>
                <c:pt idx="221">
                  <c:v>0.65</c:v>
                </c:pt>
                <c:pt idx="222">
                  <c:v>12.56</c:v>
                </c:pt>
                <c:pt idx="223">
                  <c:v>2.46</c:v>
                </c:pt>
                <c:pt idx="224">
                  <c:v>2.46</c:v>
                </c:pt>
                <c:pt idx="225">
                  <c:v>0.01</c:v>
                </c:pt>
                <c:pt idx="226">
                  <c:v>2.46</c:v>
                </c:pt>
                <c:pt idx="227">
                  <c:v>0</c:v>
                </c:pt>
                <c:pt idx="228">
                  <c:v>2.46</c:v>
                </c:pt>
                <c:pt idx="229">
                  <c:v>0.02</c:v>
                </c:pt>
                <c:pt idx="230">
                  <c:v>2.46</c:v>
                </c:pt>
                <c:pt idx="231">
                  <c:v>7.0000000000000007E-2</c:v>
                </c:pt>
                <c:pt idx="232">
                  <c:v>23.07</c:v>
                </c:pt>
                <c:pt idx="233">
                  <c:v>2.33</c:v>
                </c:pt>
                <c:pt idx="234">
                  <c:v>18</c:v>
                </c:pt>
                <c:pt idx="235">
                  <c:v>2.46</c:v>
                </c:pt>
                <c:pt idx="236">
                  <c:v>1.35</c:v>
                </c:pt>
                <c:pt idx="237">
                  <c:v>2.46</c:v>
                </c:pt>
                <c:pt idx="238">
                  <c:v>0.03</c:v>
                </c:pt>
                <c:pt idx="239">
                  <c:v>4.1100000000000003</c:v>
                </c:pt>
                <c:pt idx="240">
                  <c:v>2.46</c:v>
                </c:pt>
                <c:pt idx="241">
                  <c:v>0.1</c:v>
                </c:pt>
                <c:pt idx="242">
                  <c:v>2.46</c:v>
                </c:pt>
                <c:pt idx="243">
                  <c:v>44.67</c:v>
                </c:pt>
                <c:pt idx="244">
                  <c:v>2.46</c:v>
                </c:pt>
                <c:pt idx="245">
                  <c:v>2.46</c:v>
                </c:pt>
                <c:pt idx="246">
                  <c:v>0.3</c:v>
                </c:pt>
                <c:pt idx="247">
                  <c:v>2.46</c:v>
                </c:pt>
                <c:pt idx="248">
                  <c:v>2.46</c:v>
                </c:pt>
                <c:pt idx="249">
                  <c:v>2.46</c:v>
                </c:pt>
                <c:pt idx="250">
                  <c:v>2.46</c:v>
                </c:pt>
                <c:pt idx="251">
                  <c:v>19.02</c:v>
                </c:pt>
                <c:pt idx="252">
                  <c:v>13.41</c:v>
                </c:pt>
                <c:pt idx="253">
                  <c:v>0.1</c:v>
                </c:pt>
                <c:pt idx="254">
                  <c:v>2.46</c:v>
                </c:pt>
                <c:pt idx="255">
                  <c:v>17.739999999999998</c:v>
                </c:pt>
                <c:pt idx="256">
                  <c:v>12.8</c:v>
                </c:pt>
                <c:pt idx="257">
                  <c:v>12.84</c:v>
                </c:pt>
                <c:pt idx="258">
                  <c:v>2.46</c:v>
                </c:pt>
                <c:pt idx="259">
                  <c:v>2.46</c:v>
                </c:pt>
                <c:pt idx="260">
                  <c:v>1.52</c:v>
                </c:pt>
                <c:pt idx="261">
                  <c:v>2.46</c:v>
                </c:pt>
                <c:pt idx="262">
                  <c:v>42.35</c:v>
                </c:pt>
                <c:pt idx="263">
                  <c:v>65</c:v>
                </c:pt>
                <c:pt idx="264">
                  <c:v>304.36</c:v>
                </c:pt>
                <c:pt idx="265">
                  <c:v>6.01</c:v>
                </c:pt>
                <c:pt idx="266">
                  <c:v>93.77</c:v>
                </c:pt>
                <c:pt idx="267">
                  <c:v>182.21</c:v>
                </c:pt>
                <c:pt idx="268">
                  <c:v>0.89</c:v>
                </c:pt>
                <c:pt idx="269">
                  <c:v>95.72</c:v>
                </c:pt>
                <c:pt idx="270">
                  <c:v>303</c:v>
                </c:pt>
                <c:pt idx="271">
                  <c:v>7.0000000000000007E-2</c:v>
                </c:pt>
                <c:pt idx="272">
                  <c:v>12.82</c:v>
                </c:pt>
                <c:pt idx="273">
                  <c:v>216.39</c:v>
                </c:pt>
                <c:pt idx="274">
                  <c:v>0</c:v>
                </c:pt>
                <c:pt idx="275">
                  <c:v>132.09</c:v>
                </c:pt>
                <c:pt idx="276">
                  <c:v>5.31</c:v>
                </c:pt>
                <c:pt idx="277">
                  <c:v>2.46</c:v>
                </c:pt>
                <c:pt idx="278">
                  <c:v>0.35</c:v>
                </c:pt>
                <c:pt idx="279">
                  <c:v>2.46</c:v>
                </c:pt>
                <c:pt idx="280">
                  <c:v>148.31</c:v>
                </c:pt>
                <c:pt idx="281">
                  <c:v>1.56</c:v>
                </c:pt>
                <c:pt idx="282">
                  <c:v>0.69</c:v>
                </c:pt>
                <c:pt idx="283">
                  <c:v>0.31</c:v>
                </c:pt>
                <c:pt idx="284">
                  <c:v>20.28</c:v>
                </c:pt>
                <c:pt idx="285">
                  <c:v>15.03</c:v>
                </c:pt>
                <c:pt idx="286">
                  <c:v>35.29</c:v>
                </c:pt>
                <c:pt idx="287">
                  <c:v>6</c:v>
                </c:pt>
                <c:pt idx="288">
                  <c:v>2.46</c:v>
                </c:pt>
                <c:pt idx="289">
                  <c:v>0.63</c:v>
                </c:pt>
                <c:pt idx="290">
                  <c:v>2.34</c:v>
                </c:pt>
                <c:pt idx="291">
                  <c:v>3.3</c:v>
                </c:pt>
                <c:pt idx="292">
                  <c:v>3.33</c:v>
                </c:pt>
                <c:pt idx="293">
                  <c:v>0.01</c:v>
                </c:pt>
                <c:pt idx="294">
                  <c:v>31.05</c:v>
                </c:pt>
                <c:pt idx="295">
                  <c:v>2.46</c:v>
                </c:pt>
                <c:pt idx="296">
                  <c:v>6.37</c:v>
                </c:pt>
                <c:pt idx="297">
                  <c:v>0.03</c:v>
                </c:pt>
                <c:pt idx="298">
                  <c:v>124.99</c:v>
                </c:pt>
                <c:pt idx="299">
                  <c:v>16.38</c:v>
                </c:pt>
                <c:pt idx="300">
                  <c:v>0.3</c:v>
                </c:pt>
                <c:pt idx="301">
                  <c:v>13.75</c:v>
                </c:pt>
                <c:pt idx="302">
                  <c:v>0.02</c:v>
                </c:pt>
                <c:pt idx="303">
                  <c:v>2.46</c:v>
                </c:pt>
                <c:pt idx="304">
                  <c:v>3.09</c:v>
                </c:pt>
                <c:pt idx="305">
                  <c:v>0.1</c:v>
                </c:pt>
                <c:pt idx="306">
                  <c:v>1.63</c:v>
                </c:pt>
                <c:pt idx="307">
                  <c:v>292.3</c:v>
                </c:pt>
                <c:pt idx="308">
                  <c:v>189.42</c:v>
                </c:pt>
                <c:pt idx="309">
                  <c:v>31.61</c:v>
                </c:pt>
                <c:pt idx="310">
                  <c:v>35.35</c:v>
                </c:pt>
                <c:pt idx="311">
                  <c:v>41.15</c:v>
                </c:pt>
                <c:pt idx="312">
                  <c:v>0.02</c:v>
                </c:pt>
                <c:pt idx="313">
                  <c:v>2.46</c:v>
                </c:pt>
                <c:pt idx="314">
                  <c:v>0.14000000000000001</c:v>
                </c:pt>
                <c:pt idx="315">
                  <c:v>0.06</c:v>
                </c:pt>
                <c:pt idx="316">
                  <c:v>0.97</c:v>
                </c:pt>
                <c:pt idx="317">
                  <c:v>0.25</c:v>
                </c:pt>
                <c:pt idx="318">
                  <c:v>2.46</c:v>
                </c:pt>
                <c:pt idx="319">
                  <c:v>6</c:v>
                </c:pt>
                <c:pt idx="320">
                  <c:v>2.46</c:v>
                </c:pt>
                <c:pt idx="321">
                  <c:v>2.46</c:v>
                </c:pt>
                <c:pt idx="322">
                  <c:v>25.89</c:v>
                </c:pt>
                <c:pt idx="323">
                  <c:v>103.41</c:v>
                </c:pt>
                <c:pt idx="324">
                  <c:v>0</c:v>
                </c:pt>
                <c:pt idx="325">
                  <c:v>3.97</c:v>
                </c:pt>
                <c:pt idx="326">
                  <c:v>6.74</c:v>
                </c:pt>
                <c:pt idx="327">
                  <c:v>237.28</c:v>
                </c:pt>
                <c:pt idx="328">
                  <c:v>2.46</c:v>
                </c:pt>
                <c:pt idx="329">
                  <c:v>45.29</c:v>
                </c:pt>
                <c:pt idx="330">
                  <c:v>80.069999999999993</c:v>
                </c:pt>
                <c:pt idx="331">
                  <c:v>0.26</c:v>
                </c:pt>
                <c:pt idx="332">
                  <c:v>0</c:v>
                </c:pt>
                <c:pt idx="333">
                  <c:v>5.13</c:v>
                </c:pt>
                <c:pt idx="334">
                  <c:v>21.38</c:v>
                </c:pt>
                <c:pt idx="335">
                  <c:v>0.35</c:v>
                </c:pt>
                <c:pt idx="336">
                  <c:v>0.59</c:v>
                </c:pt>
                <c:pt idx="337">
                  <c:v>13.1</c:v>
                </c:pt>
                <c:pt idx="338">
                  <c:v>2.46</c:v>
                </c:pt>
                <c:pt idx="339">
                  <c:v>2.29</c:v>
                </c:pt>
                <c:pt idx="340">
                  <c:v>3.35</c:v>
                </c:pt>
                <c:pt idx="341">
                  <c:v>2.46</c:v>
                </c:pt>
                <c:pt idx="342">
                  <c:v>1.94</c:v>
                </c:pt>
                <c:pt idx="343">
                  <c:v>0.03</c:v>
                </c:pt>
                <c:pt idx="344">
                  <c:v>0.02</c:v>
                </c:pt>
                <c:pt idx="345">
                  <c:v>0.08</c:v>
                </c:pt>
                <c:pt idx="346">
                  <c:v>7.6</c:v>
                </c:pt>
                <c:pt idx="347">
                  <c:v>21.59</c:v>
                </c:pt>
                <c:pt idx="348">
                  <c:v>0.21</c:v>
                </c:pt>
                <c:pt idx="349">
                  <c:v>67.540000000000006</c:v>
                </c:pt>
                <c:pt idx="350">
                  <c:v>2.46</c:v>
                </c:pt>
                <c:pt idx="351">
                  <c:v>139.85</c:v>
                </c:pt>
                <c:pt idx="352">
                  <c:v>7.44</c:v>
                </c:pt>
                <c:pt idx="353">
                  <c:v>2.46</c:v>
                </c:pt>
                <c:pt idx="354">
                  <c:v>2.42</c:v>
                </c:pt>
                <c:pt idx="355">
                  <c:v>148.81</c:v>
                </c:pt>
                <c:pt idx="356">
                  <c:v>2.46</c:v>
                </c:pt>
                <c:pt idx="357">
                  <c:v>0.01</c:v>
                </c:pt>
                <c:pt idx="358">
                  <c:v>0.05</c:v>
                </c:pt>
                <c:pt idx="359">
                  <c:v>2.46</c:v>
                </c:pt>
                <c:pt idx="360">
                  <c:v>0.01</c:v>
                </c:pt>
                <c:pt idx="361">
                  <c:v>0.61</c:v>
                </c:pt>
                <c:pt idx="362">
                  <c:v>2.46</c:v>
                </c:pt>
                <c:pt idx="363">
                  <c:v>1.07</c:v>
                </c:pt>
                <c:pt idx="364">
                  <c:v>0.69</c:v>
                </c:pt>
                <c:pt idx="365">
                  <c:v>0.08</c:v>
                </c:pt>
                <c:pt idx="366">
                  <c:v>0.01</c:v>
                </c:pt>
                <c:pt idx="367">
                  <c:v>0.05</c:v>
                </c:pt>
                <c:pt idx="368">
                  <c:v>1.06</c:v>
                </c:pt>
                <c:pt idx="369">
                  <c:v>0.28000000000000003</c:v>
                </c:pt>
                <c:pt idx="370">
                  <c:v>2.46</c:v>
                </c:pt>
                <c:pt idx="371">
                  <c:v>0</c:v>
                </c:pt>
                <c:pt idx="372">
                  <c:v>0.71</c:v>
                </c:pt>
                <c:pt idx="373">
                  <c:v>1.35</c:v>
                </c:pt>
                <c:pt idx="374">
                  <c:v>0.15</c:v>
                </c:pt>
                <c:pt idx="375">
                  <c:v>57.01</c:v>
                </c:pt>
                <c:pt idx="376">
                  <c:v>0.25</c:v>
                </c:pt>
                <c:pt idx="377">
                  <c:v>0.15</c:v>
                </c:pt>
                <c:pt idx="378">
                  <c:v>2.46</c:v>
                </c:pt>
                <c:pt idx="379">
                  <c:v>0.01</c:v>
                </c:pt>
                <c:pt idx="380">
                  <c:v>15.02</c:v>
                </c:pt>
                <c:pt idx="381">
                  <c:v>0.1</c:v>
                </c:pt>
                <c:pt idx="382">
                  <c:v>0.28999999999999998</c:v>
                </c:pt>
                <c:pt idx="383">
                  <c:v>0.02</c:v>
                </c:pt>
                <c:pt idx="384">
                  <c:v>7.0000000000000007E-2</c:v>
                </c:pt>
                <c:pt idx="385">
                  <c:v>2.46</c:v>
                </c:pt>
                <c:pt idx="386">
                  <c:v>0.09</c:v>
                </c:pt>
                <c:pt idx="387">
                  <c:v>0.11</c:v>
                </c:pt>
                <c:pt idx="388">
                  <c:v>2.46</c:v>
                </c:pt>
                <c:pt idx="389">
                  <c:v>0.06</c:v>
                </c:pt>
                <c:pt idx="390">
                  <c:v>0.26</c:v>
                </c:pt>
                <c:pt idx="391">
                  <c:v>4.0599999999999996</c:v>
                </c:pt>
                <c:pt idx="392">
                  <c:v>0.03</c:v>
                </c:pt>
                <c:pt idx="393">
                  <c:v>2.46</c:v>
                </c:pt>
                <c:pt idx="394">
                  <c:v>0.02</c:v>
                </c:pt>
                <c:pt idx="395">
                  <c:v>2.46</c:v>
                </c:pt>
                <c:pt idx="396">
                  <c:v>2.46</c:v>
                </c:pt>
                <c:pt idx="397">
                  <c:v>12.5</c:v>
                </c:pt>
                <c:pt idx="398">
                  <c:v>2.46</c:v>
                </c:pt>
                <c:pt idx="399">
                  <c:v>2.46</c:v>
                </c:pt>
                <c:pt idx="400">
                  <c:v>46</c:v>
                </c:pt>
                <c:pt idx="401">
                  <c:v>71.63</c:v>
                </c:pt>
                <c:pt idx="402">
                  <c:v>32.17</c:v>
                </c:pt>
                <c:pt idx="403">
                  <c:v>2.46</c:v>
                </c:pt>
                <c:pt idx="404">
                  <c:v>17.41</c:v>
                </c:pt>
                <c:pt idx="405">
                  <c:v>19.7</c:v>
                </c:pt>
                <c:pt idx="406">
                  <c:v>2.46</c:v>
                </c:pt>
                <c:pt idx="407">
                  <c:v>89.02</c:v>
                </c:pt>
                <c:pt idx="408">
                  <c:v>26.63</c:v>
                </c:pt>
                <c:pt idx="409">
                  <c:v>409.01</c:v>
                </c:pt>
                <c:pt idx="410">
                  <c:v>55.7</c:v>
                </c:pt>
                <c:pt idx="411">
                  <c:v>71.349999999999994</c:v>
                </c:pt>
                <c:pt idx="412">
                  <c:v>17.62</c:v>
                </c:pt>
                <c:pt idx="413">
                  <c:v>25.68</c:v>
                </c:pt>
                <c:pt idx="414">
                  <c:v>2.46</c:v>
                </c:pt>
                <c:pt idx="415">
                  <c:v>0.06</c:v>
                </c:pt>
                <c:pt idx="416">
                  <c:v>0.03</c:v>
                </c:pt>
                <c:pt idx="417">
                  <c:v>10.88</c:v>
                </c:pt>
                <c:pt idx="418">
                  <c:v>64.47</c:v>
                </c:pt>
                <c:pt idx="419">
                  <c:v>0</c:v>
                </c:pt>
                <c:pt idx="420">
                  <c:v>2.46</c:v>
                </c:pt>
                <c:pt idx="421">
                  <c:v>187.17</c:v>
                </c:pt>
                <c:pt idx="422">
                  <c:v>0.44</c:v>
                </c:pt>
                <c:pt idx="423">
                  <c:v>0.04</c:v>
                </c:pt>
                <c:pt idx="424">
                  <c:v>18</c:v>
                </c:pt>
                <c:pt idx="425">
                  <c:v>268.49</c:v>
                </c:pt>
                <c:pt idx="426">
                  <c:v>159.58000000000001</c:v>
                </c:pt>
                <c:pt idx="427">
                  <c:v>0.78</c:v>
                </c:pt>
                <c:pt idx="428">
                  <c:v>0.36</c:v>
                </c:pt>
                <c:pt idx="429">
                  <c:v>144.84</c:v>
                </c:pt>
                <c:pt idx="430">
                  <c:v>21.78</c:v>
                </c:pt>
                <c:pt idx="431">
                  <c:v>49.88</c:v>
                </c:pt>
                <c:pt idx="432">
                  <c:v>19.45</c:v>
                </c:pt>
                <c:pt idx="433">
                  <c:v>0.02</c:v>
                </c:pt>
                <c:pt idx="434">
                  <c:v>33.619999999999997</c:v>
                </c:pt>
                <c:pt idx="435">
                  <c:v>2.3199999999999998</c:v>
                </c:pt>
                <c:pt idx="436">
                  <c:v>93.05</c:v>
                </c:pt>
                <c:pt idx="437">
                  <c:v>202.36</c:v>
                </c:pt>
                <c:pt idx="438">
                  <c:v>60.52</c:v>
                </c:pt>
                <c:pt idx="439">
                  <c:v>117.72</c:v>
                </c:pt>
                <c:pt idx="440">
                  <c:v>2.46</c:v>
                </c:pt>
                <c:pt idx="441">
                  <c:v>2.27</c:v>
                </c:pt>
                <c:pt idx="442">
                  <c:v>31.17</c:v>
                </c:pt>
                <c:pt idx="443">
                  <c:v>0.39</c:v>
                </c:pt>
                <c:pt idx="444">
                  <c:v>67.349999999999994</c:v>
                </c:pt>
                <c:pt idx="445">
                  <c:v>101.8</c:v>
                </c:pt>
                <c:pt idx="446">
                  <c:v>16.13</c:v>
                </c:pt>
                <c:pt idx="447">
                  <c:v>0.13</c:v>
                </c:pt>
                <c:pt idx="448">
                  <c:v>2.2000000000000002</c:v>
                </c:pt>
                <c:pt idx="449">
                  <c:v>0.04</c:v>
                </c:pt>
                <c:pt idx="450">
                  <c:v>83.03</c:v>
                </c:pt>
                <c:pt idx="451">
                  <c:v>2.46</c:v>
                </c:pt>
                <c:pt idx="452">
                  <c:v>5.84</c:v>
                </c:pt>
                <c:pt idx="453">
                  <c:v>228.78</c:v>
                </c:pt>
                <c:pt idx="454">
                  <c:v>0.65</c:v>
                </c:pt>
                <c:pt idx="455">
                  <c:v>61</c:v>
                </c:pt>
                <c:pt idx="456">
                  <c:v>10.49</c:v>
                </c:pt>
                <c:pt idx="457">
                  <c:v>0.01</c:v>
                </c:pt>
                <c:pt idx="458">
                  <c:v>0.09</c:v>
                </c:pt>
                <c:pt idx="459">
                  <c:v>2.46</c:v>
                </c:pt>
                <c:pt idx="460">
                  <c:v>0.32</c:v>
                </c:pt>
                <c:pt idx="461">
                  <c:v>2.46</c:v>
                </c:pt>
                <c:pt idx="462">
                  <c:v>53.26</c:v>
                </c:pt>
                <c:pt idx="463">
                  <c:v>0.03</c:v>
                </c:pt>
                <c:pt idx="464">
                  <c:v>2.46</c:v>
                </c:pt>
                <c:pt idx="465">
                  <c:v>6.85</c:v>
                </c:pt>
                <c:pt idx="466">
                  <c:v>0.02</c:v>
                </c:pt>
                <c:pt idx="467">
                  <c:v>0.06</c:v>
                </c:pt>
                <c:pt idx="468">
                  <c:v>11.33</c:v>
                </c:pt>
                <c:pt idx="469">
                  <c:v>83.59</c:v>
                </c:pt>
                <c:pt idx="470">
                  <c:v>68.56</c:v>
                </c:pt>
                <c:pt idx="471">
                  <c:v>16.100000000000001</c:v>
                </c:pt>
                <c:pt idx="472">
                  <c:v>107.1</c:v>
                </c:pt>
                <c:pt idx="473">
                  <c:v>21.5</c:v>
                </c:pt>
                <c:pt idx="474">
                  <c:v>274.08999999999997</c:v>
                </c:pt>
                <c:pt idx="475">
                  <c:v>2.46</c:v>
                </c:pt>
                <c:pt idx="476">
                  <c:v>73.099999999999994</c:v>
                </c:pt>
                <c:pt idx="477">
                  <c:v>0.08</c:v>
                </c:pt>
                <c:pt idx="478">
                  <c:v>2.46</c:v>
                </c:pt>
                <c:pt idx="479">
                  <c:v>42.03</c:v>
                </c:pt>
                <c:pt idx="480">
                  <c:v>19.32</c:v>
                </c:pt>
                <c:pt idx="481">
                  <c:v>1.01</c:v>
                </c:pt>
                <c:pt idx="482">
                  <c:v>0.04</c:v>
                </c:pt>
                <c:pt idx="483">
                  <c:v>2.46</c:v>
                </c:pt>
                <c:pt idx="484">
                  <c:v>2.46</c:v>
                </c:pt>
                <c:pt idx="485">
                  <c:v>132.56</c:v>
                </c:pt>
                <c:pt idx="486">
                  <c:v>36.92</c:v>
                </c:pt>
                <c:pt idx="487">
                  <c:v>2.46</c:v>
                </c:pt>
                <c:pt idx="488">
                  <c:v>0.09</c:v>
                </c:pt>
                <c:pt idx="489">
                  <c:v>116.63</c:v>
                </c:pt>
                <c:pt idx="490">
                  <c:v>2.11</c:v>
                </c:pt>
                <c:pt idx="491">
                  <c:v>1.33</c:v>
                </c:pt>
                <c:pt idx="492">
                  <c:v>0.15</c:v>
                </c:pt>
                <c:pt idx="493">
                  <c:v>8.32</c:v>
                </c:pt>
                <c:pt idx="494">
                  <c:v>89.3</c:v>
                </c:pt>
                <c:pt idx="495">
                  <c:v>424.67</c:v>
                </c:pt>
                <c:pt idx="496">
                  <c:v>2.46</c:v>
                </c:pt>
                <c:pt idx="497">
                  <c:v>56.67</c:v>
                </c:pt>
                <c:pt idx="498">
                  <c:v>116.9</c:v>
                </c:pt>
                <c:pt idx="499">
                  <c:v>37.74</c:v>
                </c:pt>
                <c:pt idx="500">
                  <c:v>27.3</c:v>
                </c:pt>
                <c:pt idx="501">
                  <c:v>61.74</c:v>
                </c:pt>
                <c:pt idx="502">
                  <c:v>25.13</c:v>
                </c:pt>
                <c:pt idx="503">
                  <c:v>0.09</c:v>
                </c:pt>
                <c:pt idx="504">
                  <c:v>2.46</c:v>
                </c:pt>
                <c:pt idx="505">
                  <c:v>400.74</c:v>
                </c:pt>
                <c:pt idx="506">
                  <c:v>25.57</c:v>
                </c:pt>
                <c:pt idx="507">
                  <c:v>0.33</c:v>
                </c:pt>
                <c:pt idx="508">
                  <c:v>0.49</c:v>
                </c:pt>
                <c:pt idx="509">
                  <c:v>1.01</c:v>
                </c:pt>
                <c:pt idx="510">
                  <c:v>2.46</c:v>
                </c:pt>
                <c:pt idx="511">
                  <c:v>35.270000000000003</c:v>
                </c:pt>
                <c:pt idx="512">
                  <c:v>24.48</c:v>
                </c:pt>
                <c:pt idx="513">
                  <c:v>0.02</c:v>
                </c:pt>
                <c:pt idx="514">
                  <c:v>15.32</c:v>
                </c:pt>
                <c:pt idx="515">
                  <c:v>1</c:v>
                </c:pt>
                <c:pt idx="516">
                  <c:v>0.17</c:v>
                </c:pt>
                <c:pt idx="517">
                  <c:v>16.97</c:v>
                </c:pt>
                <c:pt idx="518">
                  <c:v>26.95</c:v>
                </c:pt>
                <c:pt idx="519">
                  <c:v>29.81</c:v>
                </c:pt>
                <c:pt idx="520">
                  <c:v>102</c:v>
                </c:pt>
                <c:pt idx="521">
                  <c:v>234.91</c:v>
                </c:pt>
                <c:pt idx="522">
                  <c:v>2.46</c:v>
                </c:pt>
                <c:pt idx="523">
                  <c:v>0.14000000000000001</c:v>
                </c:pt>
                <c:pt idx="524">
                  <c:v>63.91</c:v>
                </c:pt>
                <c:pt idx="525">
                  <c:v>20.16</c:v>
                </c:pt>
                <c:pt idx="526">
                  <c:v>2.96</c:v>
                </c:pt>
                <c:pt idx="527">
                  <c:v>0.01</c:v>
                </c:pt>
                <c:pt idx="528">
                  <c:v>0.04</c:v>
                </c:pt>
                <c:pt idx="529">
                  <c:v>4.95</c:v>
                </c:pt>
                <c:pt idx="530">
                  <c:v>0.03</c:v>
                </c:pt>
                <c:pt idx="531">
                  <c:v>0</c:v>
                </c:pt>
                <c:pt idx="532">
                  <c:v>0.15</c:v>
                </c:pt>
                <c:pt idx="533">
                  <c:v>291.05</c:v>
                </c:pt>
                <c:pt idx="534">
                  <c:v>2.46</c:v>
                </c:pt>
                <c:pt idx="535">
                  <c:v>0.06</c:v>
                </c:pt>
                <c:pt idx="536">
                  <c:v>0.02</c:v>
                </c:pt>
                <c:pt idx="537">
                  <c:v>2.19</c:v>
                </c:pt>
                <c:pt idx="538">
                  <c:v>1.03</c:v>
                </c:pt>
                <c:pt idx="539">
                  <c:v>150.12</c:v>
                </c:pt>
                <c:pt idx="540">
                  <c:v>0.05</c:v>
                </c:pt>
                <c:pt idx="541">
                  <c:v>2.46</c:v>
                </c:pt>
                <c:pt idx="542">
                  <c:v>0.02</c:v>
                </c:pt>
                <c:pt idx="543">
                  <c:v>6.26</c:v>
                </c:pt>
                <c:pt idx="544">
                  <c:v>4.5599999999999996</c:v>
                </c:pt>
                <c:pt idx="545">
                  <c:v>2.46</c:v>
                </c:pt>
                <c:pt idx="546">
                  <c:v>17.54</c:v>
                </c:pt>
                <c:pt idx="547">
                  <c:v>2.46</c:v>
                </c:pt>
                <c:pt idx="548">
                  <c:v>3.25</c:v>
                </c:pt>
                <c:pt idx="549">
                  <c:v>0.14000000000000001</c:v>
                </c:pt>
                <c:pt idx="550">
                  <c:v>2.15</c:v>
                </c:pt>
                <c:pt idx="551">
                  <c:v>0.2</c:v>
                </c:pt>
                <c:pt idx="552">
                  <c:v>2.46</c:v>
                </c:pt>
                <c:pt idx="553">
                  <c:v>2.46</c:v>
                </c:pt>
                <c:pt idx="554">
                  <c:v>0.02</c:v>
                </c:pt>
                <c:pt idx="555">
                  <c:v>2.46</c:v>
                </c:pt>
                <c:pt idx="556">
                  <c:v>0.09</c:v>
                </c:pt>
                <c:pt idx="557">
                  <c:v>0.38</c:v>
                </c:pt>
                <c:pt idx="558">
                  <c:v>0.09</c:v>
                </c:pt>
                <c:pt idx="559">
                  <c:v>2.46</c:v>
                </c:pt>
                <c:pt idx="560">
                  <c:v>2.0099999999999998</c:v>
                </c:pt>
                <c:pt idx="561">
                  <c:v>2.2200000000000002</c:v>
                </c:pt>
                <c:pt idx="562">
                  <c:v>1.23</c:v>
                </c:pt>
                <c:pt idx="563">
                  <c:v>0.04</c:v>
                </c:pt>
                <c:pt idx="564">
                  <c:v>2.46</c:v>
                </c:pt>
                <c:pt idx="565">
                  <c:v>4.4400000000000004</c:v>
                </c:pt>
                <c:pt idx="566">
                  <c:v>2.46</c:v>
                </c:pt>
                <c:pt idx="567">
                  <c:v>2.46</c:v>
                </c:pt>
                <c:pt idx="568">
                  <c:v>83.3</c:v>
                </c:pt>
                <c:pt idx="569">
                  <c:v>0.65</c:v>
                </c:pt>
                <c:pt idx="570">
                  <c:v>2.46</c:v>
                </c:pt>
                <c:pt idx="571">
                  <c:v>2.46</c:v>
                </c:pt>
                <c:pt idx="572">
                  <c:v>1.36</c:v>
                </c:pt>
                <c:pt idx="573">
                  <c:v>0.41</c:v>
                </c:pt>
                <c:pt idx="574">
                  <c:v>7.02</c:v>
                </c:pt>
                <c:pt idx="575">
                  <c:v>125.1</c:v>
                </c:pt>
                <c:pt idx="576">
                  <c:v>0.26</c:v>
                </c:pt>
                <c:pt idx="577">
                  <c:v>0</c:v>
                </c:pt>
                <c:pt idx="578">
                  <c:v>0.01</c:v>
                </c:pt>
                <c:pt idx="579">
                  <c:v>0.02</c:v>
                </c:pt>
                <c:pt idx="580">
                  <c:v>2.46</c:v>
                </c:pt>
                <c:pt idx="581">
                  <c:v>0.05</c:v>
                </c:pt>
                <c:pt idx="582">
                  <c:v>1.01</c:v>
                </c:pt>
                <c:pt idx="583">
                  <c:v>0.52</c:v>
                </c:pt>
                <c:pt idx="584">
                  <c:v>2.46</c:v>
                </c:pt>
                <c:pt idx="585">
                  <c:v>0.04</c:v>
                </c:pt>
                <c:pt idx="586">
                  <c:v>0.37</c:v>
                </c:pt>
                <c:pt idx="587">
                  <c:v>2.46</c:v>
                </c:pt>
                <c:pt idx="588">
                  <c:v>2.46</c:v>
                </c:pt>
                <c:pt idx="589">
                  <c:v>2.46</c:v>
                </c:pt>
                <c:pt idx="590">
                  <c:v>2.46</c:v>
                </c:pt>
                <c:pt idx="591">
                  <c:v>44.47</c:v>
                </c:pt>
                <c:pt idx="592">
                  <c:v>38.36</c:v>
                </c:pt>
                <c:pt idx="593">
                  <c:v>2.46</c:v>
                </c:pt>
                <c:pt idx="594">
                  <c:v>0.28000000000000003</c:v>
                </c:pt>
                <c:pt idx="595">
                  <c:v>27.7</c:v>
                </c:pt>
                <c:pt idx="596">
                  <c:v>0.02</c:v>
                </c:pt>
                <c:pt idx="597">
                  <c:v>0.2</c:v>
                </c:pt>
                <c:pt idx="598">
                  <c:v>0.01</c:v>
                </c:pt>
                <c:pt idx="599">
                  <c:v>2.61</c:v>
                </c:pt>
                <c:pt idx="600">
                  <c:v>0.51</c:v>
                </c:pt>
                <c:pt idx="601">
                  <c:v>10.73</c:v>
                </c:pt>
                <c:pt idx="602">
                  <c:v>2.46</c:v>
                </c:pt>
                <c:pt idx="603">
                  <c:v>2.46</c:v>
                </c:pt>
                <c:pt idx="604">
                  <c:v>0.16</c:v>
                </c:pt>
                <c:pt idx="605">
                  <c:v>0.31</c:v>
                </c:pt>
                <c:pt idx="606">
                  <c:v>0.03</c:v>
                </c:pt>
                <c:pt idx="607">
                  <c:v>37.71</c:v>
                </c:pt>
                <c:pt idx="608">
                  <c:v>0.01</c:v>
                </c:pt>
                <c:pt idx="609">
                  <c:v>2.17</c:v>
                </c:pt>
                <c:pt idx="610">
                  <c:v>16.170000000000002</c:v>
                </c:pt>
                <c:pt idx="611">
                  <c:v>3.41</c:v>
                </c:pt>
                <c:pt idx="612">
                  <c:v>1.02</c:v>
                </c:pt>
                <c:pt idx="613">
                  <c:v>2.46</c:v>
                </c:pt>
                <c:pt idx="614">
                  <c:v>21.49</c:v>
                </c:pt>
                <c:pt idx="615">
                  <c:v>2.46</c:v>
                </c:pt>
                <c:pt idx="616">
                  <c:v>2.46</c:v>
                </c:pt>
                <c:pt idx="617">
                  <c:v>0.09</c:v>
                </c:pt>
                <c:pt idx="618">
                  <c:v>33.409999999999997</c:v>
                </c:pt>
                <c:pt idx="619">
                  <c:v>0</c:v>
                </c:pt>
                <c:pt idx="620">
                  <c:v>2.46</c:v>
                </c:pt>
                <c:pt idx="621">
                  <c:v>58.24</c:v>
                </c:pt>
                <c:pt idx="622">
                  <c:v>0.22</c:v>
                </c:pt>
                <c:pt idx="623">
                  <c:v>2.46</c:v>
                </c:pt>
                <c:pt idx="624">
                  <c:v>0.25</c:v>
                </c:pt>
                <c:pt idx="625">
                  <c:v>0.42</c:v>
                </c:pt>
                <c:pt idx="626">
                  <c:v>0.13</c:v>
                </c:pt>
                <c:pt idx="627">
                  <c:v>2.46</c:v>
                </c:pt>
                <c:pt idx="628">
                  <c:v>0.05</c:v>
                </c:pt>
                <c:pt idx="629">
                  <c:v>13.36</c:v>
                </c:pt>
                <c:pt idx="630">
                  <c:v>0.05</c:v>
                </c:pt>
                <c:pt idx="631">
                  <c:v>2.46</c:v>
                </c:pt>
                <c:pt idx="632">
                  <c:v>0.16</c:v>
                </c:pt>
                <c:pt idx="633">
                  <c:v>7.0000000000000007E-2</c:v>
                </c:pt>
                <c:pt idx="634">
                  <c:v>238.68</c:v>
                </c:pt>
                <c:pt idx="635">
                  <c:v>2.46</c:v>
                </c:pt>
                <c:pt idx="636">
                  <c:v>71.02</c:v>
                </c:pt>
                <c:pt idx="637">
                  <c:v>1.88</c:v>
                </c:pt>
                <c:pt idx="638">
                  <c:v>90.29</c:v>
                </c:pt>
                <c:pt idx="639">
                  <c:v>0.01</c:v>
                </c:pt>
                <c:pt idx="640">
                  <c:v>2.46</c:v>
                </c:pt>
                <c:pt idx="641">
                  <c:v>75.61</c:v>
                </c:pt>
                <c:pt idx="642">
                  <c:v>0.05</c:v>
                </c:pt>
                <c:pt idx="643">
                  <c:v>0.01</c:v>
                </c:pt>
                <c:pt idx="644">
                  <c:v>2.46</c:v>
                </c:pt>
                <c:pt idx="645">
                  <c:v>0.32</c:v>
                </c:pt>
                <c:pt idx="646">
                  <c:v>0.1</c:v>
                </c:pt>
                <c:pt idx="647">
                  <c:v>0.03</c:v>
                </c:pt>
                <c:pt idx="648">
                  <c:v>2.46</c:v>
                </c:pt>
                <c:pt idx="649">
                  <c:v>0.79</c:v>
                </c:pt>
                <c:pt idx="650">
                  <c:v>0.33</c:v>
                </c:pt>
                <c:pt idx="651">
                  <c:v>2.46</c:v>
                </c:pt>
                <c:pt idx="652">
                  <c:v>30.66</c:v>
                </c:pt>
                <c:pt idx="653">
                  <c:v>1.51</c:v>
                </c:pt>
                <c:pt idx="654">
                  <c:v>3.83</c:v>
                </c:pt>
                <c:pt idx="655">
                  <c:v>137.4</c:v>
                </c:pt>
                <c:pt idx="656">
                  <c:v>2.46</c:v>
                </c:pt>
                <c:pt idx="657">
                  <c:v>2.46</c:v>
                </c:pt>
                <c:pt idx="658">
                  <c:v>258.37</c:v>
                </c:pt>
                <c:pt idx="659">
                  <c:v>2.46</c:v>
                </c:pt>
                <c:pt idx="660">
                  <c:v>0.27</c:v>
                </c:pt>
                <c:pt idx="661">
                  <c:v>0.28999999999999998</c:v>
                </c:pt>
                <c:pt idx="662">
                  <c:v>0.01</c:v>
                </c:pt>
                <c:pt idx="663">
                  <c:v>0.05</c:v>
                </c:pt>
                <c:pt idx="664">
                  <c:v>2.46</c:v>
                </c:pt>
                <c:pt idx="665">
                  <c:v>13.24</c:v>
                </c:pt>
                <c:pt idx="666">
                  <c:v>2.46</c:v>
                </c:pt>
                <c:pt idx="667">
                  <c:v>2.46</c:v>
                </c:pt>
                <c:pt idx="668">
                  <c:v>0.19</c:v>
                </c:pt>
                <c:pt idx="669">
                  <c:v>0.25</c:v>
                </c:pt>
                <c:pt idx="670">
                  <c:v>2.46</c:v>
                </c:pt>
                <c:pt idx="671">
                  <c:v>0</c:v>
                </c:pt>
                <c:pt idx="672">
                  <c:v>2.46</c:v>
                </c:pt>
                <c:pt idx="673">
                  <c:v>2.46</c:v>
                </c:pt>
                <c:pt idx="674">
                  <c:v>1.36</c:v>
                </c:pt>
                <c:pt idx="675">
                  <c:v>0.57999999999999996</c:v>
                </c:pt>
                <c:pt idx="676">
                  <c:v>2.46</c:v>
                </c:pt>
                <c:pt idx="677">
                  <c:v>0.3</c:v>
                </c:pt>
                <c:pt idx="678">
                  <c:v>2.46</c:v>
                </c:pt>
                <c:pt idx="679">
                  <c:v>2.46</c:v>
                </c:pt>
                <c:pt idx="680">
                  <c:v>2.46</c:v>
                </c:pt>
                <c:pt idx="681">
                  <c:v>0.02</c:v>
                </c:pt>
                <c:pt idx="682">
                  <c:v>0.13</c:v>
                </c:pt>
                <c:pt idx="683">
                  <c:v>0</c:v>
                </c:pt>
                <c:pt idx="684">
                  <c:v>17.649999999999999</c:v>
                </c:pt>
                <c:pt idx="685">
                  <c:v>2.46</c:v>
                </c:pt>
                <c:pt idx="686">
                  <c:v>2.46</c:v>
                </c:pt>
                <c:pt idx="687">
                  <c:v>2.85</c:v>
                </c:pt>
                <c:pt idx="688">
                  <c:v>0.14000000000000001</c:v>
                </c:pt>
                <c:pt idx="689">
                  <c:v>0</c:v>
                </c:pt>
                <c:pt idx="690">
                  <c:v>2.46</c:v>
                </c:pt>
                <c:pt idx="691">
                  <c:v>2.46</c:v>
                </c:pt>
                <c:pt idx="692">
                  <c:v>1.08</c:v>
                </c:pt>
                <c:pt idx="693">
                  <c:v>0.11</c:v>
                </c:pt>
                <c:pt idx="694">
                  <c:v>0.01</c:v>
                </c:pt>
                <c:pt idx="695">
                  <c:v>0</c:v>
                </c:pt>
                <c:pt idx="696">
                  <c:v>0.75</c:v>
                </c:pt>
                <c:pt idx="697">
                  <c:v>0.06</c:v>
                </c:pt>
                <c:pt idx="698">
                  <c:v>0.31</c:v>
                </c:pt>
                <c:pt idx="699">
                  <c:v>2.46</c:v>
                </c:pt>
                <c:pt idx="700">
                  <c:v>2.46</c:v>
                </c:pt>
                <c:pt idx="701">
                  <c:v>7.0000000000000007E-2</c:v>
                </c:pt>
                <c:pt idx="702">
                  <c:v>0.05</c:v>
                </c:pt>
                <c:pt idx="703">
                  <c:v>8.83</c:v>
                </c:pt>
                <c:pt idx="704">
                  <c:v>0.01</c:v>
                </c:pt>
                <c:pt idx="705">
                  <c:v>2.46</c:v>
                </c:pt>
                <c:pt idx="706">
                  <c:v>98.93</c:v>
                </c:pt>
                <c:pt idx="707">
                  <c:v>2.46</c:v>
                </c:pt>
                <c:pt idx="708">
                  <c:v>2.46</c:v>
                </c:pt>
                <c:pt idx="709">
                  <c:v>2.46</c:v>
                </c:pt>
                <c:pt idx="710">
                  <c:v>19.079999999999998</c:v>
                </c:pt>
                <c:pt idx="711">
                  <c:v>59.1</c:v>
                </c:pt>
                <c:pt idx="712">
                  <c:v>106.58</c:v>
                </c:pt>
                <c:pt idx="713">
                  <c:v>0.01</c:v>
                </c:pt>
                <c:pt idx="714">
                  <c:v>2.46</c:v>
                </c:pt>
                <c:pt idx="715">
                  <c:v>7.0000000000000007E-2</c:v>
                </c:pt>
                <c:pt idx="716">
                  <c:v>3.32</c:v>
                </c:pt>
                <c:pt idx="717">
                  <c:v>0.72</c:v>
                </c:pt>
                <c:pt idx="718">
                  <c:v>0.05</c:v>
                </c:pt>
                <c:pt idx="719">
                  <c:v>2.46</c:v>
                </c:pt>
                <c:pt idx="720">
                  <c:v>58.61</c:v>
                </c:pt>
                <c:pt idx="721">
                  <c:v>2.46</c:v>
                </c:pt>
                <c:pt idx="722">
                  <c:v>78.03</c:v>
                </c:pt>
                <c:pt idx="723">
                  <c:v>23.22</c:v>
                </c:pt>
                <c:pt idx="724">
                  <c:v>30.7</c:v>
                </c:pt>
                <c:pt idx="725">
                  <c:v>0.04</c:v>
                </c:pt>
                <c:pt idx="726">
                  <c:v>18.850000000000001</c:v>
                </c:pt>
                <c:pt idx="727">
                  <c:v>0.01</c:v>
                </c:pt>
                <c:pt idx="728">
                  <c:v>50.58</c:v>
                </c:pt>
                <c:pt idx="729">
                  <c:v>7.79</c:v>
                </c:pt>
                <c:pt idx="730">
                  <c:v>2.46</c:v>
                </c:pt>
                <c:pt idx="731">
                  <c:v>2.46</c:v>
                </c:pt>
                <c:pt idx="732">
                  <c:v>0.02</c:v>
                </c:pt>
                <c:pt idx="733">
                  <c:v>2.46</c:v>
                </c:pt>
                <c:pt idx="734">
                  <c:v>23.39</c:v>
                </c:pt>
                <c:pt idx="735">
                  <c:v>92.17</c:v>
                </c:pt>
                <c:pt idx="736">
                  <c:v>100.21</c:v>
                </c:pt>
                <c:pt idx="737">
                  <c:v>101.2</c:v>
                </c:pt>
                <c:pt idx="738">
                  <c:v>150.94999999999999</c:v>
                </c:pt>
                <c:pt idx="739">
                  <c:v>2.46</c:v>
                </c:pt>
                <c:pt idx="740">
                  <c:v>5.55</c:v>
                </c:pt>
                <c:pt idx="741">
                  <c:v>28.83</c:v>
                </c:pt>
                <c:pt idx="742">
                  <c:v>0.06</c:v>
                </c:pt>
                <c:pt idx="743">
                  <c:v>10.51</c:v>
                </c:pt>
                <c:pt idx="744">
                  <c:v>0.21</c:v>
                </c:pt>
                <c:pt idx="745">
                  <c:v>233.92</c:v>
                </c:pt>
                <c:pt idx="746">
                  <c:v>43.58</c:v>
                </c:pt>
                <c:pt idx="747">
                  <c:v>23.02</c:v>
                </c:pt>
                <c:pt idx="748">
                  <c:v>124.87</c:v>
                </c:pt>
                <c:pt idx="749">
                  <c:v>83.91</c:v>
                </c:pt>
                <c:pt idx="750">
                  <c:v>202.85</c:v>
                </c:pt>
                <c:pt idx="751">
                  <c:v>200.68</c:v>
                </c:pt>
                <c:pt idx="752">
                  <c:v>71.959999999999994</c:v>
                </c:pt>
                <c:pt idx="753">
                  <c:v>1.1100000000000001</c:v>
                </c:pt>
                <c:pt idx="754">
                  <c:v>2.46</c:v>
                </c:pt>
                <c:pt idx="755">
                  <c:v>2.46</c:v>
                </c:pt>
                <c:pt idx="756">
                  <c:v>39.32</c:v>
                </c:pt>
                <c:pt idx="757">
                  <c:v>2.46</c:v>
                </c:pt>
                <c:pt idx="758">
                  <c:v>31.42</c:v>
                </c:pt>
                <c:pt idx="759">
                  <c:v>0.64</c:v>
                </c:pt>
                <c:pt idx="760">
                  <c:v>45.09</c:v>
                </c:pt>
                <c:pt idx="761">
                  <c:v>2.46</c:v>
                </c:pt>
                <c:pt idx="762">
                  <c:v>2.46</c:v>
                </c:pt>
                <c:pt idx="763">
                  <c:v>0.35</c:v>
                </c:pt>
                <c:pt idx="764">
                  <c:v>43.14</c:v>
                </c:pt>
                <c:pt idx="765">
                  <c:v>150.16</c:v>
                </c:pt>
                <c:pt idx="766">
                  <c:v>0.51</c:v>
                </c:pt>
                <c:pt idx="767">
                  <c:v>2.46</c:v>
                </c:pt>
                <c:pt idx="768">
                  <c:v>2.4300000000000002</c:v>
                </c:pt>
                <c:pt idx="769">
                  <c:v>24.98</c:v>
                </c:pt>
                <c:pt idx="770">
                  <c:v>245.44</c:v>
                </c:pt>
                <c:pt idx="771">
                  <c:v>2.46</c:v>
                </c:pt>
                <c:pt idx="772">
                  <c:v>36.450000000000003</c:v>
                </c:pt>
                <c:pt idx="773">
                  <c:v>0.03</c:v>
                </c:pt>
                <c:pt idx="774">
                  <c:v>2.46</c:v>
                </c:pt>
                <c:pt idx="775">
                  <c:v>2.46</c:v>
                </c:pt>
                <c:pt idx="776">
                  <c:v>2.46</c:v>
                </c:pt>
                <c:pt idx="777">
                  <c:v>26.31</c:v>
                </c:pt>
                <c:pt idx="778">
                  <c:v>0.41</c:v>
                </c:pt>
                <c:pt idx="779">
                  <c:v>13.76</c:v>
                </c:pt>
                <c:pt idx="780">
                  <c:v>2.46</c:v>
                </c:pt>
                <c:pt idx="781">
                  <c:v>14</c:v>
                </c:pt>
                <c:pt idx="782">
                  <c:v>0.01</c:v>
                </c:pt>
                <c:pt idx="783">
                  <c:v>208.55</c:v>
                </c:pt>
                <c:pt idx="784">
                  <c:v>47.12</c:v>
                </c:pt>
                <c:pt idx="785">
                  <c:v>2.46</c:v>
                </c:pt>
                <c:pt idx="786">
                  <c:v>50.47</c:v>
                </c:pt>
                <c:pt idx="787">
                  <c:v>0.1</c:v>
                </c:pt>
                <c:pt idx="788">
                  <c:v>0.28000000000000003</c:v>
                </c:pt>
                <c:pt idx="789">
                  <c:v>2.46</c:v>
                </c:pt>
                <c:pt idx="790">
                  <c:v>2.46</c:v>
                </c:pt>
                <c:pt idx="791">
                  <c:v>54.24</c:v>
                </c:pt>
                <c:pt idx="792">
                  <c:v>0.1</c:v>
                </c:pt>
                <c:pt idx="793">
                  <c:v>126.66</c:v>
                </c:pt>
                <c:pt idx="794">
                  <c:v>56.28</c:v>
                </c:pt>
                <c:pt idx="795">
                  <c:v>241.41</c:v>
                </c:pt>
                <c:pt idx="796">
                  <c:v>7.0000000000000007E-2</c:v>
                </c:pt>
                <c:pt idx="797">
                  <c:v>6.37</c:v>
                </c:pt>
                <c:pt idx="798">
                  <c:v>47.03</c:v>
                </c:pt>
                <c:pt idx="799">
                  <c:v>2.46</c:v>
                </c:pt>
                <c:pt idx="800">
                  <c:v>72.69</c:v>
                </c:pt>
                <c:pt idx="801">
                  <c:v>84.27</c:v>
                </c:pt>
                <c:pt idx="802">
                  <c:v>2.46</c:v>
                </c:pt>
                <c:pt idx="803">
                  <c:v>0.01</c:v>
                </c:pt>
                <c:pt idx="804">
                  <c:v>0.56000000000000005</c:v>
                </c:pt>
                <c:pt idx="805">
                  <c:v>44.13</c:v>
                </c:pt>
                <c:pt idx="806">
                  <c:v>0.32</c:v>
                </c:pt>
                <c:pt idx="807">
                  <c:v>2.46</c:v>
                </c:pt>
                <c:pt idx="808">
                  <c:v>34.29</c:v>
                </c:pt>
                <c:pt idx="809">
                  <c:v>2.46</c:v>
                </c:pt>
                <c:pt idx="810">
                  <c:v>0.04</c:v>
                </c:pt>
                <c:pt idx="811">
                  <c:v>102.43</c:v>
                </c:pt>
                <c:pt idx="812">
                  <c:v>10.51</c:v>
                </c:pt>
                <c:pt idx="813">
                  <c:v>0.81</c:v>
                </c:pt>
                <c:pt idx="814">
                  <c:v>2.46</c:v>
                </c:pt>
                <c:pt idx="815">
                  <c:v>17.239999999999998</c:v>
                </c:pt>
                <c:pt idx="816">
                  <c:v>0.01</c:v>
                </c:pt>
                <c:pt idx="817">
                  <c:v>7.0000000000000007E-2</c:v>
                </c:pt>
                <c:pt idx="818">
                  <c:v>85.82</c:v>
                </c:pt>
                <c:pt idx="819">
                  <c:v>2.46</c:v>
                </c:pt>
                <c:pt idx="820">
                  <c:v>0.33</c:v>
                </c:pt>
                <c:pt idx="821">
                  <c:v>167.77</c:v>
                </c:pt>
                <c:pt idx="822">
                  <c:v>21.2</c:v>
                </c:pt>
                <c:pt idx="823">
                  <c:v>101.53</c:v>
                </c:pt>
                <c:pt idx="824">
                  <c:v>0.1</c:v>
                </c:pt>
                <c:pt idx="825">
                  <c:v>0.18</c:v>
                </c:pt>
                <c:pt idx="826">
                  <c:v>1.44</c:v>
                </c:pt>
                <c:pt idx="827">
                  <c:v>2.63</c:v>
                </c:pt>
                <c:pt idx="828">
                  <c:v>2.96</c:v>
                </c:pt>
                <c:pt idx="829">
                  <c:v>259.77</c:v>
                </c:pt>
                <c:pt idx="830">
                  <c:v>0.15</c:v>
                </c:pt>
                <c:pt idx="831">
                  <c:v>2.46</c:v>
                </c:pt>
                <c:pt idx="832">
                  <c:v>2.46</c:v>
                </c:pt>
                <c:pt idx="833">
                  <c:v>2.46</c:v>
                </c:pt>
                <c:pt idx="834">
                  <c:v>25.38</c:v>
                </c:pt>
                <c:pt idx="835">
                  <c:v>2.46</c:v>
                </c:pt>
                <c:pt idx="836">
                  <c:v>2.46</c:v>
                </c:pt>
                <c:pt idx="837">
                  <c:v>2.46</c:v>
                </c:pt>
                <c:pt idx="838">
                  <c:v>2.46</c:v>
                </c:pt>
                <c:pt idx="839">
                  <c:v>2.46</c:v>
                </c:pt>
                <c:pt idx="840">
                  <c:v>2.46</c:v>
                </c:pt>
                <c:pt idx="841">
                  <c:v>91.13</c:v>
                </c:pt>
                <c:pt idx="842">
                  <c:v>30.51</c:v>
                </c:pt>
                <c:pt idx="843">
                  <c:v>222.53</c:v>
                </c:pt>
                <c:pt idx="844">
                  <c:v>2.25</c:v>
                </c:pt>
                <c:pt idx="845">
                  <c:v>12.1</c:v>
                </c:pt>
                <c:pt idx="846">
                  <c:v>177</c:v>
                </c:pt>
                <c:pt idx="847">
                  <c:v>257.76</c:v>
                </c:pt>
                <c:pt idx="848">
                  <c:v>0.92</c:v>
                </c:pt>
                <c:pt idx="849">
                  <c:v>128</c:v>
                </c:pt>
                <c:pt idx="850">
                  <c:v>43.04</c:v>
                </c:pt>
                <c:pt idx="851">
                  <c:v>2.46</c:v>
                </c:pt>
                <c:pt idx="852">
                  <c:v>18.75</c:v>
                </c:pt>
                <c:pt idx="853">
                  <c:v>3.96</c:v>
                </c:pt>
                <c:pt idx="854">
                  <c:v>350.13</c:v>
                </c:pt>
                <c:pt idx="855">
                  <c:v>32.380000000000003</c:v>
                </c:pt>
                <c:pt idx="856">
                  <c:v>1.81</c:v>
                </c:pt>
                <c:pt idx="857">
                  <c:v>50.15</c:v>
                </c:pt>
                <c:pt idx="858">
                  <c:v>13.09</c:v>
                </c:pt>
                <c:pt idx="859">
                  <c:v>42.34</c:v>
                </c:pt>
                <c:pt idx="860">
                  <c:v>188.02</c:v>
                </c:pt>
                <c:pt idx="861">
                  <c:v>0.44</c:v>
                </c:pt>
                <c:pt idx="862">
                  <c:v>0.01</c:v>
                </c:pt>
                <c:pt idx="863">
                  <c:v>2.46</c:v>
                </c:pt>
                <c:pt idx="864">
                  <c:v>115.64</c:v>
                </c:pt>
                <c:pt idx="865">
                  <c:v>2.46</c:v>
                </c:pt>
                <c:pt idx="866">
                  <c:v>2.46</c:v>
                </c:pt>
                <c:pt idx="867">
                  <c:v>2.46</c:v>
                </c:pt>
                <c:pt idx="868">
                  <c:v>33.68</c:v>
                </c:pt>
                <c:pt idx="869">
                  <c:v>255.12</c:v>
                </c:pt>
                <c:pt idx="870">
                  <c:v>0.11</c:v>
                </c:pt>
                <c:pt idx="871">
                  <c:v>0</c:v>
                </c:pt>
                <c:pt idx="872">
                  <c:v>0.23</c:v>
                </c:pt>
                <c:pt idx="873">
                  <c:v>26.76</c:v>
                </c:pt>
                <c:pt idx="874">
                  <c:v>2.46</c:v>
                </c:pt>
                <c:pt idx="875">
                  <c:v>2.46</c:v>
                </c:pt>
                <c:pt idx="876">
                  <c:v>14.48</c:v>
                </c:pt>
                <c:pt idx="877">
                  <c:v>337.14</c:v>
                </c:pt>
                <c:pt idx="878">
                  <c:v>52.08</c:v>
                </c:pt>
                <c:pt idx="879">
                  <c:v>20.399999999999999</c:v>
                </c:pt>
                <c:pt idx="880">
                  <c:v>35.89</c:v>
                </c:pt>
                <c:pt idx="881">
                  <c:v>60.76</c:v>
                </c:pt>
                <c:pt idx="882">
                  <c:v>46.29</c:v>
                </c:pt>
                <c:pt idx="883">
                  <c:v>2.46</c:v>
                </c:pt>
                <c:pt idx="884">
                  <c:v>113.75</c:v>
                </c:pt>
                <c:pt idx="885">
                  <c:v>0.26</c:v>
                </c:pt>
                <c:pt idx="886">
                  <c:v>1.87</c:v>
                </c:pt>
                <c:pt idx="887">
                  <c:v>26.05</c:v>
                </c:pt>
                <c:pt idx="888">
                  <c:v>0.02</c:v>
                </c:pt>
                <c:pt idx="889">
                  <c:v>2.4500000000000002</c:v>
                </c:pt>
                <c:pt idx="890">
                  <c:v>4.01</c:v>
                </c:pt>
                <c:pt idx="891">
                  <c:v>4.1900000000000004</c:v>
                </c:pt>
                <c:pt idx="892">
                  <c:v>65.010000000000005</c:v>
                </c:pt>
                <c:pt idx="893">
                  <c:v>0.19</c:v>
                </c:pt>
                <c:pt idx="894">
                  <c:v>50.84</c:v>
                </c:pt>
                <c:pt idx="895">
                  <c:v>0.2</c:v>
                </c:pt>
                <c:pt idx="896">
                  <c:v>1.17</c:v>
                </c:pt>
                <c:pt idx="897">
                  <c:v>3.33</c:v>
                </c:pt>
                <c:pt idx="898">
                  <c:v>2.46</c:v>
                </c:pt>
                <c:pt idx="899">
                  <c:v>0.46</c:v>
                </c:pt>
                <c:pt idx="900">
                  <c:v>5.98</c:v>
                </c:pt>
                <c:pt idx="901">
                  <c:v>2.8</c:v>
                </c:pt>
                <c:pt idx="902">
                  <c:v>4.4000000000000004</c:v>
                </c:pt>
                <c:pt idx="903">
                  <c:v>2.46</c:v>
                </c:pt>
                <c:pt idx="904">
                  <c:v>3.11</c:v>
                </c:pt>
                <c:pt idx="905">
                  <c:v>2.46</c:v>
                </c:pt>
                <c:pt idx="906">
                  <c:v>2.46</c:v>
                </c:pt>
                <c:pt idx="907">
                  <c:v>8.11</c:v>
                </c:pt>
                <c:pt idx="908">
                  <c:v>37.880000000000003</c:v>
                </c:pt>
                <c:pt idx="909">
                  <c:v>2.46</c:v>
                </c:pt>
                <c:pt idx="910">
                  <c:v>0.02</c:v>
                </c:pt>
                <c:pt idx="911">
                  <c:v>54.45</c:v>
                </c:pt>
                <c:pt idx="912">
                  <c:v>17.22</c:v>
                </c:pt>
                <c:pt idx="913">
                  <c:v>0.03</c:v>
                </c:pt>
                <c:pt idx="914">
                  <c:v>15.16</c:v>
                </c:pt>
                <c:pt idx="915">
                  <c:v>2.46</c:v>
                </c:pt>
                <c:pt idx="916">
                  <c:v>2.46</c:v>
                </c:pt>
                <c:pt idx="917">
                  <c:v>2.46</c:v>
                </c:pt>
                <c:pt idx="918">
                  <c:v>2.46</c:v>
                </c:pt>
                <c:pt idx="919">
                  <c:v>2.46</c:v>
                </c:pt>
                <c:pt idx="920">
                  <c:v>3.13</c:v>
                </c:pt>
                <c:pt idx="921">
                  <c:v>0.05</c:v>
                </c:pt>
                <c:pt idx="922">
                  <c:v>2.72</c:v>
                </c:pt>
                <c:pt idx="923">
                  <c:v>2.46</c:v>
                </c:pt>
                <c:pt idx="924">
                  <c:v>0.04</c:v>
                </c:pt>
                <c:pt idx="925">
                  <c:v>2.46</c:v>
                </c:pt>
                <c:pt idx="926">
                  <c:v>0.34</c:v>
                </c:pt>
                <c:pt idx="927">
                  <c:v>89.26</c:v>
                </c:pt>
                <c:pt idx="928">
                  <c:v>128.26</c:v>
                </c:pt>
                <c:pt idx="929">
                  <c:v>0.01</c:v>
                </c:pt>
                <c:pt idx="930">
                  <c:v>0.01</c:v>
                </c:pt>
                <c:pt idx="931">
                  <c:v>0.04</c:v>
                </c:pt>
                <c:pt idx="932">
                  <c:v>0.04</c:v>
                </c:pt>
                <c:pt idx="933">
                  <c:v>5.28</c:v>
                </c:pt>
                <c:pt idx="934">
                  <c:v>0.04</c:v>
                </c:pt>
                <c:pt idx="935">
                  <c:v>1.06</c:v>
                </c:pt>
                <c:pt idx="936">
                  <c:v>2.46</c:v>
                </c:pt>
                <c:pt idx="937">
                  <c:v>25.44</c:v>
                </c:pt>
                <c:pt idx="938">
                  <c:v>2.46</c:v>
                </c:pt>
                <c:pt idx="939">
                  <c:v>0.01</c:v>
                </c:pt>
                <c:pt idx="940">
                  <c:v>0.32</c:v>
                </c:pt>
                <c:pt idx="941">
                  <c:v>2.46</c:v>
                </c:pt>
                <c:pt idx="942">
                  <c:v>0.51</c:v>
                </c:pt>
                <c:pt idx="943">
                  <c:v>0.86</c:v>
                </c:pt>
                <c:pt idx="944">
                  <c:v>21.57</c:v>
                </c:pt>
                <c:pt idx="945">
                  <c:v>2.46</c:v>
                </c:pt>
                <c:pt idx="946">
                  <c:v>2.46</c:v>
                </c:pt>
                <c:pt idx="947">
                  <c:v>0.79</c:v>
                </c:pt>
                <c:pt idx="948">
                  <c:v>2.46</c:v>
                </c:pt>
                <c:pt idx="949">
                  <c:v>0.43</c:v>
                </c:pt>
                <c:pt idx="950">
                  <c:v>1.82</c:v>
                </c:pt>
                <c:pt idx="951">
                  <c:v>0.33</c:v>
                </c:pt>
                <c:pt idx="952">
                  <c:v>2.46</c:v>
                </c:pt>
                <c:pt idx="953">
                  <c:v>0.12</c:v>
                </c:pt>
                <c:pt idx="954">
                  <c:v>2.46</c:v>
                </c:pt>
                <c:pt idx="955">
                  <c:v>0.02</c:v>
                </c:pt>
                <c:pt idx="956">
                  <c:v>2.46</c:v>
                </c:pt>
                <c:pt idx="957">
                  <c:v>2.46</c:v>
                </c:pt>
                <c:pt idx="958">
                  <c:v>2.46</c:v>
                </c:pt>
                <c:pt idx="959">
                  <c:v>2.46</c:v>
                </c:pt>
                <c:pt idx="960">
                  <c:v>2.46</c:v>
                </c:pt>
                <c:pt idx="961">
                  <c:v>2.46</c:v>
                </c:pt>
                <c:pt idx="962">
                  <c:v>2.46</c:v>
                </c:pt>
                <c:pt idx="963">
                  <c:v>0.55000000000000004</c:v>
                </c:pt>
                <c:pt idx="964">
                  <c:v>1.01</c:v>
                </c:pt>
                <c:pt idx="965">
                  <c:v>0.59</c:v>
                </c:pt>
                <c:pt idx="966">
                  <c:v>2.46</c:v>
                </c:pt>
                <c:pt idx="967">
                  <c:v>0.61</c:v>
                </c:pt>
                <c:pt idx="968">
                  <c:v>0.02</c:v>
                </c:pt>
                <c:pt idx="969">
                  <c:v>5.74</c:v>
                </c:pt>
                <c:pt idx="970">
                  <c:v>0.45</c:v>
                </c:pt>
                <c:pt idx="971">
                  <c:v>0.28000000000000003</c:v>
                </c:pt>
                <c:pt idx="972">
                  <c:v>0.03</c:v>
                </c:pt>
                <c:pt idx="973">
                  <c:v>0.99</c:v>
                </c:pt>
                <c:pt idx="974">
                  <c:v>14.67</c:v>
                </c:pt>
                <c:pt idx="975">
                  <c:v>38.92</c:v>
                </c:pt>
                <c:pt idx="976">
                  <c:v>2.46</c:v>
                </c:pt>
                <c:pt idx="977">
                  <c:v>0.17</c:v>
                </c:pt>
                <c:pt idx="978">
                  <c:v>2.46</c:v>
                </c:pt>
                <c:pt idx="979">
                  <c:v>0.05</c:v>
                </c:pt>
                <c:pt idx="980">
                  <c:v>0.04</c:v>
                </c:pt>
                <c:pt idx="981">
                  <c:v>1.1000000000000001</c:v>
                </c:pt>
                <c:pt idx="982">
                  <c:v>2.46</c:v>
                </c:pt>
                <c:pt idx="983">
                  <c:v>2.46</c:v>
                </c:pt>
                <c:pt idx="984">
                  <c:v>2.46</c:v>
                </c:pt>
                <c:pt idx="985">
                  <c:v>2.46</c:v>
                </c:pt>
                <c:pt idx="986">
                  <c:v>2.46</c:v>
                </c:pt>
                <c:pt idx="987">
                  <c:v>3.49</c:v>
                </c:pt>
                <c:pt idx="988">
                  <c:v>0.14000000000000001</c:v>
                </c:pt>
                <c:pt idx="989">
                  <c:v>84.53</c:v>
                </c:pt>
                <c:pt idx="990">
                  <c:v>0.03</c:v>
                </c:pt>
                <c:pt idx="991">
                  <c:v>0.02</c:v>
                </c:pt>
                <c:pt idx="992">
                  <c:v>1.36</c:v>
                </c:pt>
                <c:pt idx="993">
                  <c:v>0.1</c:v>
                </c:pt>
                <c:pt idx="994">
                  <c:v>2.46</c:v>
                </c:pt>
                <c:pt idx="995">
                  <c:v>2.46</c:v>
                </c:pt>
                <c:pt idx="996">
                  <c:v>2.46</c:v>
                </c:pt>
                <c:pt idx="997">
                  <c:v>12.55</c:v>
                </c:pt>
                <c:pt idx="998">
                  <c:v>2.46</c:v>
                </c:pt>
                <c:pt idx="999">
                  <c:v>2.46</c:v>
                </c:pt>
                <c:pt idx="1000">
                  <c:v>2.46</c:v>
                </c:pt>
                <c:pt idx="1001">
                  <c:v>0.15</c:v>
                </c:pt>
                <c:pt idx="1002">
                  <c:v>2.46</c:v>
                </c:pt>
                <c:pt idx="1003">
                  <c:v>0.15</c:v>
                </c:pt>
                <c:pt idx="1004">
                  <c:v>0.14000000000000001</c:v>
                </c:pt>
                <c:pt idx="1005">
                  <c:v>2.46</c:v>
                </c:pt>
                <c:pt idx="1006">
                  <c:v>2.46</c:v>
                </c:pt>
                <c:pt idx="1007">
                  <c:v>2.46</c:v>
                </c:pt>
                <c:pt idx="1008">
                  <c:v>2.46</c:v>
                </c:pt>
                <c:pt idx="1009">
                  <c:v>2.46</c:v>
                </c:pt>
                <c:pt idx="1010">
                  <c:v>1.03</c:v>
                </c:pt>
                <c:pt idx="1011">
                  <c:v>0.28000000000000003</c:v>
                </c:pt>
                <c:pt idx="1012">
                  <c:v>3.45</c:v>
                </c:pt>
                <c:pt idx="1013">
                  <c:v>0.03</c:v>
                </c:pt>
                <c:pt idx="1014">
                  <c:v>0.18</c:v>
                </c:pt>
                <c:pt idx="1015">
                  <c:v>2.46</c:v>
                </c:pt>
                <c:pt idx="1016">
                  <c:v>7.57</c:v>
                </c:pt>
                <c:pt idx="1017">
                  <c:v>131.54</c:v>
                </c:pt>
                <c:pt idx="1018">
                  <c:v>1.0900000000000001</c:v>
                </c:pt>
                <c:pt idx="1019">
                  <c:v>0.16</c:v>
                </c:pt>
                <c:pt idx="1020">
                  <c:v>1.41</c:v>
                </c:pt>
                <c:pt idx="1021">
                  <c:v>2.46</c:v>
                </c:pt>
                <c:pt idx="1022">
                  <c:v>2.46</c:v>
                </c:pt>
                <c:pt idx="1023">
                  <c:v>0.12</c:v>
                </c:pt>
                <c:pt idx="1024">
                  <c:v>0.05</c:v>
                </c:pt>
                <c:pt idx="1025">
                  <c:v>2.44</c:v>
                </c:pt>
                <c:pt idx="1026">
                  <c:v>2.46</c:v>
                </c:pt>
                <c:pt idx="1027">
                  <c:v>2.46</c:v>
                </c:pt>
                <c:pt idx="1028">
                  <c:v>1.43</c:v>
                </c:pt>
                <c:pt idx="1029">
                  <c:v>0.28000000000000003</c:v>
                </c:pt>
                <c:pt idx="1030">
                  <c:v>2.46</c:v>
                </c:pt>
                <c:pt idx="1031">
                  <c:v>0.6</c:v>
                </c:pt>
                <c:pt idx="1032">
                  <c:v>0.14000000000000001</c:v>
                </c:pt>
                <c:pt idx="1033">
                  <c:v>2.46</c:v>
                </c:pt>
                <c:pt idx="1034">
                  <c:v>2.46</c:v>
                </c:pt>
                <c:pt idx="1035">
                  <c:v>0.04</c:v>
                </c:pt>
                <c:pt idx="1036">
                  <c:v>2.46</c:v>
                </c:pt>
                <c:pt idx="1037">
                  <c:v>2.46</c:v>
                </c:pt>
                <c:pt idx="1038">
                  <c:v>1.1200000000000001</c:v>
                </c:pt>
                <c:pt idx="1039">
                  <c:v>0.03</c:v>
                </c:pt>
                <c:pt idx="1040">
                  <c:v>0.01</c:v>
                </c:pt>
                <c:pt idx="1041">
                  <c:v>2.46</c:v>
                </c:pt>
                <c:pt idx="1042">
                  <c:v>8.5</c:v>
                </c:pt>
                <c:pt idx="1043">
                  <c:v>2.87</c:v>
                </c:pt>
                <c:pt idx="1044">
                  <c:v>2.46</c:v>
                </c:pt>
                <c:pt idx="1045">
                  <c:v>2.46</c:v>
                </c:pt>
                <c:pt idx="1046">
                  <c:v>0.03</c:v>
                </c:pt>
                <c:pt idx="1047">
                  <c:v>2.46</c:v>
                </c:pt>
                <c:pt idx="1048">
                  <c:v>0.14000000000000001</c:v>
                </c:pt>
                <c:pt idx="1049">
                  <c:v>0.23</c:v>
                </c:pt>
                <c:pt idx="1050">
                  <c:v>2.46</c:v>
                </c:pt>
                <c:pt idx="1051">
                  <c:v>2.46</c:v>
                </c:pt>
                <c:pt idx="1052">
                  <c:v>2.46</c:v>
                </c:pt>
                <c:pt idx="1053">
                  <c:v>0.11</c:v>
                </c:pt>
                <c:pt idx="1054">
                  <c:v>0.01</c:v>
                </c:pt>
                <c:pt idx="1055">
                  <c:v>0.01</c:v>
                </c:pt>
                <c:pt idx="1056">
                  <c:v>1.01</c:v>
                </c:pt>
                <c:pt idx="1057">
                  <c:v>0.01</c:v>
                </c:pt>
                <c:pt idx="1058">
                  <c:v>2.46</c:v>
                </c:pt>
                <c:pt idx="1059">
                  <c:v>0.17</c:v>
                </c:pt>
                <c:pt idx="1060">
                  <c:v>2.46</c:v>
                </c:pt>
                <c:pt idx="1061">
                  <c:v>0</c:v>
                </c:pt>
                <c:pt idx="1062">
                  <c:v>1.34</c:v>
                </c:pt>
                <c:pt idx="1063">
                  <c:v>2.46</c:v>
                </c:pt>
                <c:pt idx="1064">
                  <c:v>0.11</c:v>
                </c:pt>
                <c:pt idx="1065">
                  <c:v>0.13</c:v>
                </c:pt>
                <c:pt idx="1066">
                  <c:v>0.05</c:v>
                </c:pt>
                <c:pt idx="1067">
                  <c:v>111.51</c:v>
                </c:pt>
                <c:pt idx="1068">
                  <c:v>2.46</c:v>
                </c:pt>
                <c:pt idx="1069">
                  <c:v>2.46</c:v>
                </c:pt>
                <c:pt idx="1070">
                  <c:v>0.57999999999999996</c:v>
                </c:pt>
                <c:pt idx="1071">
                  <c:v>0.02</c:v>
                </c:pt>
                <c:pt idx="1072">
                  <c:v>2.46</c:v>
                </c:pt>
                <c:pt idx="1073">
                  <c:v>0.02</c:v>
                </c:pt>
                <c:pt idx="1074">
                  <c:v>0.01</c:v>
                </c:pt>
                <c:pt idx="1075">
                  <c:v>64.25</c:v>
                </c:pt>
                <c:pt idx="1076">
                  <c:v>0.28000000000000003</c:v>
                </c:pt>
                <c:pt idx="1077">
                  <c:v>0.22</c:v>
                </c:pt>
                <c:pt idx="1078">
                  <c:v>0.03</c:v>
                </c:pt>
                <c:pt idx="1079">
                  <c:v>2.46</c:v>
                </c:pt>
                <c:pt idx="1080">
                  <c:v>2.46</c:v>
                </c:pt>
                <c:pt idx="1081">
                  <c:v>14.62</c:v>
                </c:pt>
                <c:pt idx="1082">
                  <c:v>2.46</c:v>
                </c:pt>
                <c:pt idx="1083">
                  <c:v>1.31</c:v>
                </c:pt>
                <c:pt idx="1084">
                  <c:v>2.46</c:v>
                </c:pt>
                <c:pt idx="1085">
                  <c:v>2.46</c:v>
                </c:pt>
                <c:pt idx="1086">
                  <c:v>2.46</c:v>
                </c:pt>
                <c:pt idx="1087">
                  <c:v>2.46</c:v>
                </c:pt>
                <c:pt idx="1088">
                  <c:v>0.12</c:v>
                </c:pt>
                <c:pt idx="1089">
                  <c:v>3.5</c:v>
                </c:pt>
                <c:pt idx="1090">
                  <c:v>2.46</c:v>
                </c:pt>
                <c:pt idx="1091">
                  <c:v>2.46</c:v>
                </c:pt>
                <c:pt idx="1092">
                  <c:v>2.46</c:v>
                </c:pt>
                <c:pt idx="1093">
                  <c:v>0.02</c:v>
                </c:pt>
                <c:pt idx="1094">
                  <c:v>2.46</c:v>
                </c:pt>
                <c:pt idx="1095">
                  <c:v>91.44</c:v>
                </c:pt>
                <c:pt idx="1096">
                  <c:v>0.1</c:v>
                </c:pt>
                <c:pt idx="1097">
                  <c:v>2.46</c:v>
                </c:pt>
                <c:pt idx="1098">
                  <c:v>0</c:v>
                </c:pt>
                <c:pt idx="1099">
                  <c:v>2.46</c:v>
                </c:pt>
                <c:pt idx="1100">
                  <c:v>47.39</c:v>
                </c:pt>
                <c:pt idx="1101">
                  <c:v>7.0000000000000007E-2</c:v>
                </c:pt>
                <c:pt idx="1102">
                  <c:v>35.39</c:v>
                </c:pt>
                <c:pt idx="1103">
                  <c:v>2.46</c:v>
                </c:pt>
                <c:pt idx="1104">
                  <c:v>37.450000000000003</c:v>
                </c:pt>
                <c:pt idx="1105">
                  <c:v>2.46</c:v>
                </c:pt>
                <c:pt idx="1106">
                  <c:v>166.17</c:v>
                </c:pt>
                <c:pt idx="1107">
                  <c:v>2.46</c:v>
                </c:pt>
                <c:pt idx="1108">
                  <c:v>2.46</c:v>
                </c:pt>
                <c:pt idx="1109">
                  <c:v>7.1</c:v>
                </c:pt>
                <c:pt idx="1110">
                  <c:v>0.19</c:v>
                </c:pt>
                <c:pt idx="1111">
                  <c:v>44.47</c:v>
                </c:pt>
                <c:pt idx="1112">
                  <c:v>42.48</c:v>
                </c:pt>
                <c:pt idx="1113">
                  <c:v>3.61</c:v>
                </c:pt>
                <c:pt idx="1114">
                  <c:v>26.46</c:v>
                </c:pt>
                <c:pt idx="1115">
                  <c:v>25.8</c:v>
                </c:pt>
                <c:pt idx="1116">
                  <c:v>31.57</c:v>
                </c:pt>
                <c:pt idx="1117">
                  <c:v>2.46</c:v>
                </c:pt>
                <c:pt idx="1118">
                  <c:v>5.35</c:v>
                </c:pt>
                <c:pt idx="1119">
                  <c:v>2.46</c:v>
                </c:pt>
                <c:pt idx="1120">
                  <c:v>33.31</c:v>
                </c:pt>
                <c:pt idx="1121">
                  <c:v>130.18</c:v>
                </c:pt>
                <c:pt idx="1122">
                  <c:v>0.1</c:v>
                </c:pt>
                <c:pt idx="1123">
                  <c:v>2.46</c:v>
                </c:pt>
                <c:pt idx="1124">
                  <c:v>201.15</c:v>
                </c:pt>
                <c:pt idx="1125">
                  <c:v>2.46</c:v>
                </c:pt>
                <c:pt idx="1126">
                  <c:v>353.01</c:v>
                </c:pt>
                <c:pt idx="1127">
                  <c:v>2.46</c:v>
                </c:pt>
                <c:pt idx="1128">
                  <c:v>10.64</c:v>
                </c:pt>
                <c:pt idx="1129">
                  <c:v>7.61</c:v>
                </c:pt>
                <c:pt idx="1130">
                  <c:v>1.21</c:v>
                </c:pt>
                <c:pt idx="1131">
                  <c:v>12.23</c:v>
                </c:pt>
                <c:pt idx="1132">
                  <c:v>4.72</c:v>
                </c:pt>
                <c:pt idx="1133">
                  <c:v>34.51</c:v>
                </c:pt>
                <c:pt idx="1134">
                  <c:v>2.46</c:v>
                </c:pt>
                <c:pt idx="1135">
                  <c:v>2.46</c:v>
                </c:pt>
                <c:pt idx="1136">
                  <c:v>154.06</c:v>
                </c:pt>
                <c:pt idx="1137">
                  <c:v>0</c:v>
                </c:pt>
                <c:pt idx="1138">
                  <c:v>0.23</c:v>
                </c:pt>
                <c:pt idx="1139">
                  <c:v>2.46</c:v>
                </c:pt>
                <c:pt idx="1140">
                  <c:v>652.27</c:v>
                </c:pt>
                <c:pt idx="1141">
                  <c:v>0.02</c:v>
                </c:pt>
                <c:pt idx="1142">
                  <c:v>0.04</c:v>
                </c:pt>
                <c:pt idx="1143">
                  <c:v>2.46</c:v>
                </c:pt>
                <c:pt idx="1144">
                  <c:v>20.99</c:v>
                </c:pt>
                <c:pt idx="1145">
                  <c:v>2.46</c:v>
                </c:pt>
                <c:pt idx="1146">
                  <c:v>0.3</c:v>
                </c:pt>
                <c:pt idx="1147">
                  <c:v>7.43</c:v>
                </c:pt>
                <c:pt idx="1148">
                  <c:v>161.19999999999999</c:v>
                </c:pt>
                <c:pt idx="1149">
                  <c:v>0.12</c:v>
                </c:pt>
                <c:pt idx="1150">
                  <c:v>12.28</c:v>
                </c:pt>
                <c:pt idx="1151">
                  <c:v>459.01</c:v>
                </c:pt>
                <c:pt idx="1152">
                  <c:v>0.2</c:v>
                </c:pt>
                <c:pt idx="1153">
                  <c:v>56.12</c:v>
                </c:pt>
                <c:pt idx="1154">
                  <c:v>0.49</c:v>
                </c:pt>
                <c:pt idx="1155">
                  <c:v>2.46</c:v>
                </c:pt>
                <c:pt idx="1156">
                  <c:v>2.46</c:v>
                </c:pt>
                <c:pt idx="1157">
                  <c:v>155.19</c:v>
                </c:pt>
                <c:pt idx="1158">
                  <c:v>66.010000000000005</c:v>
                </c:pt>
                <c:pt idx="1159">
                  <c:v>2.46</c:v>
                </c:pt>
                <c:pt idx="1160">
                  <c:v>2.46</c:v>
                </c:pt>
                <c:pt idx="1161">
                  <c:v>33.08</c:v>
                </c:pt>
                <c:pt idx="1162">
                  <c:v>6.74</c:v>
                </c:pt>
                <c:pt idx="1163">
                  <c:v>195.04</c:v>
                </c:pt>
                <c:pt idx="1164">
                  <c:v>93.44</c:v>
                </c:pt>
                <c:pt idx="1165">
                  <c:v>0.06</c:v>
                </c:pt>
                <c:pt idx="1166">
                  <c:v>2.46</c:v>
                </c:pt>
                <c:pt idx="1167">
                  <c:v>52.42</c:v>
                </c:pt>
                <c:pt idx="1168">
                  <c:v>17.510000000000002</c:v>
                </c:pt>
                <c:pt idx="1169">
                  <c:v>32</c:v>
                </c:pt>
                <c:pt idx="1170">
                  <c:v>2.46</c:v>
                </c:pt>
                <c:pt idx="1171">
                  <c:v>17.739999999999998</c:v>
                </c:pt>
                <c:pt idx="1172">
                  <c:v>0.12</c:v>
                </c:pt>
                <c:pt idx="1173">
                  <c:v>2.46</c:v>
                </c:pt>
                <c:pt idx="1174">
                  <c:v>0</c:v>
                </c:pt>
                <c:pt idx="1175">
                  <c:v>0.11</c:v>
                </c:pt>
                <c:pt idx="1176">
                  <c:v>0.08</c:v>
                </c:pt>
                <c:pt idx="1177">
                  <c:v>2.46</c:v>
                </c:pt>
                <c:pt idx="1178">
                  <c:v>65.209999999999994</c:v>
                </c:pt>
                <c:pt idx="1179">
                  <c:v>32.36</c:v>
                </c:pt>
                <c:pt idx="1180">
                  <c:v>2.46</c:v>
                </c:pt>
                <c:pt idx="1181">
                  <c:v>22.47</c:v>
                </c:pt>
                <c:pt idx="1182">
                  <c:v>2.46</c:v>
                </c:pt>
                <c:pt idx="1183">
                  <c:v>6.42</c:v>
                </c:pt>
                <c:pt idx="1184">
                  <c:v>2.46</c:v>
                </c:pt>
                <c:pt idx="1185">
                  <c:v>0.13</c:v>
                </c:pt>
                <c:pt idx="1186">
                  <c:v>2.46</c:v>
                </c:pt>
                <c:pt idx="1187">
                  <c:v>45.45</c:v>
                </c:pt>
                <c:pt idx="1188">
                  <c:v>2.46</c:v>
                </c:pt>
                <c:pt idx="1189">
                  <c:v>0.61</c:v>
                </c:pt>
                <c:pt idx="1190">
                  <c:v>2.46</c:v>
                </c:pt>
                <c:pt idx="1191">
                  <c:v>0.05</c:v>
                </c:pt>
                <c:pt idx="1192">
                  <c:v>3.59</c:v>
                </c:pt>
                <c:pt idx="1193">
                  <c:v>2.46</c:v>
                </c:pt>
                <c:pt idx="1194">
                  <c:v>26.82</c:v>
                </c:pt>
                <c:pt idx="1195">
                  <c:v>2.46</c:v>
                </c:pt>
                <c:pt idx="1196">
                  <c:v>110.83</c:v>
                </c:pt>
                <c:pt idx="1197">
                  <c:v>43.77</c:v>
                </c:pt>
                <c:pt idx="1198">
                  <c:v>2.46</c:v>
                </c:pt>
                <c:pt idx="1199">
                  <c:v>31.09</c:v>
                </c:pt>
                <c:pt idx="1200">
                  <c:v>0.16</c:v>
                </c:pt>
                <c:pt idx="1201">
                  <c:v>228.43</c:v>
                </c:pt>
                <c:pt idx="1202">
                  <c:v>2.46</c:v>
                </c:pt>
                <c:pt idx="1203">
                  <c:v>180.2</c:v>
                </c:pt>
                <c:pt idx="1204">
                  <c:v>43.48</c:v>
                </c:pt>
                <c:pt idx="1205">
                  <c:v>0.85</c:v>
                </c:pt>
                <c:pt idx="1206">
                  <c:v>336.05</c:v>
                </c:pt>
                <c:pt idx="1207">
                  <c:v>27.29</c:v>
                </c:pt>
                <c:pt idx="1208">
                  <c:v>0.02</c:v>
                </c:pt>
                <c:pt idx="1209">
                  <c:v>4.7</c:v>
                </c:pt>
                <c:pt idx="1210">
                  <c:v>8.41</c:v>
                </c:pt>
                <c:pt idx="1211">
                  <c:v>81.7</c:v>
                </c:pt>
                <c:pt idx="1212">
                  <c:v>0.08</c:v>
                </c:pt>
                <c:pt idx="1213">
                  <c:v>2.46</c:v>
                </c:pt>
                <c:pt idx="1214">
                  <c:v>2.46</c:v>
                </c:pt>
                <c:pt idx="1215">
                  <c:v>62.58</c:v>
                </c:pt>
                <c:pt idx="1216">
                  <c:v>2.46</c:v>
                </c:pt>
                <c:pt idx="1217">
                  <c:v>12.19</c:v>
                </c:pt>
                <c:pt idx="1218">
                  <c:v>53.86</c:v>
                </c:pt>
                <c:pt idx="1219">
                  <c:v>0.04</c:v>
                </c:pt>
                <c:pt idx="1220">
                  <c:v>89.76</c:v>
                </c:pt>
                <c:pt idx="1221">
                  <c:v>78.75</c:v>
                </c:pt>
                <c:pt idx="1222">
                  <c:v>2.46</c:v>
                </c:pt>
                <c:pt idx="1223">
                  <c:v>12.71</c:v>
                </c:pt>
                <c:pt idx="1224">
                  <c:v>2.99</c:v>
                </c:pt>
                <c:pt idx="1225">
                  <c:v>72.31</c:v>
                </c:pt>
                <c:pt idx="1226">
                  <c:v>10.14</c:v>
                </c:pt>
                <c:pt idx="1227">
                  <c:v>200.07</c:v>
                </c:pt>
                <c:pt idx="1228">
                  <c:v>2.46</c:v>
                </c:pt>
                <c:pt idx="1229">
                  <c:v>2.46</c:v>
                </c:pt>
                <c:pt idx="1230">
                  <c:v>2.7</c:v>
                </c:pt>
                <c:pt idx="1231">
                  <c:v>0.03</c:v>
                </c:pt>
                <c:pt idx="1232">
                  <c:v>29.47</c:v>
                </c:pt>
                <c:pt idx="1233">
                  <c:v>38.32</c:v>
                </c:pt>
                <c:pt idx="1234">
                  <c:v>14.68</c:v>
                </c:pt>
                <c:pt idx="1235">
                  <c:v>8.6999999999999993</c:v>
                </c:pt>
                <c:pt idx="1236">
                  <c:v>0.01</c:v>
                </c:pt>
                <c:pt idx="1237">
                  <c:v>75.760000000000005</c:v>
                </c:pt>
                <c:pt idx="1238">
                  <c:v>1.87</c:v>
                </c:pt>
                <c:pt idx="1239">
                  <c:v>11.11</c:v>
                </c:pt>
                <c:pt idx="1240">
                  <c:v>2.46</c:v>
                </c:pt>
                <c:pt idx="1241">
                  <c:v>25.02</c:v>
                </c:pt>
                <c:pt idx="1242">
                  <c:v>2.46</c:v>
                </c:pt>
                <c:pt idx="1243">
                  <c:v>34.54</c:v>
                </c:pt>
                <c:pt idx="1244">
                  <c:v>45.06</c:v>
                </c:pt>
                <c:pt idx="1245">
                  <c:v>2.56</c:v>
                </c:pt>
                <c:pt idx="1246">
                  <c:v>0.06</c:v>
                </c:pt>
                <c:pt idx="1247">
                  <c:v>2.46</c:v>
                </c:pt>
                <c:pt idx="1248">
                  <c:v>14.39</c:v>
                </c:pt>
                <c:pt idx="1249">
                  <c:v>80.08</c:v>
                </c:pt>
                <c:pt idx="1250">
                  <c:v>2.46</c:v>
                </c:pt>
                <c:pt idx="1251">
                  <c:v>46.89</c:v>
                </c:pt>
                <c:pt idx="1252">
                  <c:v>70.260000000000005</c:v>
                </c:pt>
                <c:pt idx="1253">
                  <c:v>56.45</c:v>
                </c:pt>
                <c:pt idx="1254">
                  <c:v>109.77</c:v>
                </c:pt>
                <c:pt idx="1255">
                  <c:v>17.77</c:v>
                </c:pt>
                <c:pt idx="1256">
                  <c:v>10.210000000000001</c:v>
                </c:pt>
                <c:pt idx="1257">
                  <c:v>4.25</c:v>
                </c:pt>
                <c:pt idx="1258">
                  <c:v>2.46</c:v>
                </c:pt>
                <c:pt idx="1259">
                  <c:v>4.6900000000000004</c:v>
                </c:pt>
                <c:pt idx="1260">
                  <c:v>54.12</c:v>
                </c:pt>
                <c:pt idx="1261">
                  <c:v>0.08</c:v>
                </c:pt>
                <c:pt idx="1262">
                  <c:v>2.46</c:v>
                </c:pt>
                <c:pt idx="1263">
                  <c:v>7</c:v>
                </c:pt>
                <c:pt idx="1264">
                  <c:v>0.53</c:v>
                </c:pt>
                <c:pt idx="1265">
                  <c:v>2.46</c:v>
                </c:pt>
                <c:pt idx="1266">
                  <c:v>13.65</c:v>
                </c:pt>
                <c:pt idx="1267">
                  <c:v>4.03</c:v>
                </c:pt>
                <c:pt idx="1268">
                  <c:v>0.05</c:v>
                </c:pt>
                <c:pt idx="1269">
                  <c:v>2.54</c:v>
                </c:pt>
                <c:pt idx="1270">
                  <c:v>7.86</c:v>
                </c:pt>
                <c:pt idx="1271">
                  <c:v>0.04</c:v>
                </c:pt>
                <c:pt idx="1272">
                  <c:v>0</c:v>
                </c:pt>
                <c:pt idx="1273">
                  <c:v>6.98</c:v>
                </c:pt>
                <c:pt idx="1274">
                  <c:v>2.46</c:v>
                </c:pt>
                <c:pt idx="1275">
                  <c:v>0.05</c:v>
                </c:pt>
                <c:pt idx="1276">
                  <c:v>936.66</c:v>
                </c:pt>
                <c:pt idx="1277">
                  <c:v>20.18</c:v>
                </c:pt>
                <c:pt idx="1278">
                  <c:v>1.1599999999999999</c:v>
                </c:pt>
                <c:pt idx="1279">
                  <c:v>2.25</c:v>
                </c:pt>
                <c:pt idx="1280">
                  <c:v>27.37</c:v>
                </c:pt>
                <c:pt idx="1281">
                  <c:v>2.46</c:v>
                </c:pt>
                <c:pt idx="1282">
                  <c:v>183.64</c:v>
                </c:pt>
                <c:pt idx="1283">
                  <c:v>0.56000000000000005</c:v>
                </c:pt>
                <c:pt idx="1284">
                  <c:v>2.46</c:v>
                </c:pt>
                <c:pt idx="1285">
                  <c:v>3.76</c:v>
                </c:pt>
                <c:pt idx="1286">
                  <c:v>0.25</c:v>
                </c:pt>
                <c:pt idx="1287">
                  <c:v>1.1100000000000001</c:v>
                </c:pt>
                <c:pt idx="1288">
                  <c:v>2.02</c:v>
                </c:pt>
                <c:pt idx="1289">
                  <c:v>0.64</c:v>
                </c:pt>
                <c:pt idx="1290">
                  <c:v>2.46</c:v>
                </c:pt>
                <c:pt idx="1291">
                  <c:v>0.43</c:v>
                </c:pt>
                <c:pt idx="1292">
                  <c:v>0.1</c:v>
                </c:pt>
                <c:pt idx="1293">
                  <c:v>2.46</c:v>
                </c:pt>
                <c:pt idx="1294">
                  <c:v>0.12</c:v>
                </c:pt>
                <c:pt idx="1295">
                  <c:v>5.78</c:v>
                </c:pt>
                <c:pt idx="1296">
                  <c:v>0.03</c:v>
                </c:pt>
                <c:pt idx="1297">
                  <c:v>26.28</c:v>
                </c:pt>
                <c:pt idx="1298">
                  <c:v>0.01</c:v>
                </c:pt>
                <c:pt idx="1299">
                  <c:v>35.090000000000003</c:v>
                </c:pt>
                <c:pt idx="1300">
                  <c:v>281.72000000000003</c:v>
                </c:pt>
                <c:pt idx="1301">
                  <c:v>2.46</c:v>
                </c:pt>
                <c:pt idx="1302">
                  <c:v>0.41</c:v>
                </c:pt>
                <c:pt idx="1303">
                  <c:v>0.14000000000000001</c:v>
                </c:pt>
                <c:pt idx="1304">
                  <c:v>0.7</c:v>
                </c:pt>
                <c:pt idx="1305">
                  <c:v>0.09</c:v>
                </c:pt>
                <c:pt idx="1306">
                  <c:v>0.18</c:v>
                </c:pt>
                <c:pt idx="1307">
                  <c:v>2.46</c:v>
                </c:pt>
                <c:pt idx="1308">
                  <c:v>2.46</c:v>
                </c:pt>
                <c:pt idx="1309">
                  <c:v>0.1</c:v>
                </c:pt>
                <c:pt idx="1310">
                  <c:v>0.51</c:v>
                </c:pt>
                <c:pt idx="1311">
                  <c:v>0.05</c:v>
                </c:pt>
                <c:pt idx="1312">
                  <c:v>28.78</c:v>
                </c:pt>
                <c:pt idx="1313">
                  <c:v>0.03</c:v>
                </c:pt>
                <c:pt idx="1314">
                  <c:v>2.46</c:v>
                </c:pt>
                <c:pt idx="1315">
                  <c:v>1.51</c:v>
                </c:pt>
                <c:pt idx="1316">
                  <c:v>0.14000000000000001</c:v>
                </c:pt>
                <c:pt idx="1317">
                  <c:v>2.46</c:v>
                </c:pt>
                <c:pt idx="1318">
                  <c:v>0.02</c:v>
                </c:pt>
                <c:pt idx="1319">
                  <c:v>0.05</c:v>
                </c:pt>
                <c:pt idx="1320">
                  <c:v>1.1000000000000001</c:v>
                </c:pt>
                <c:pt idx="1321">
                  <c:v>0.12</c:v>
                </c:pt>
                <c:pt idx="1322">
                  <c:v>2.46</c:v>
                </c:pt>
                <c:pt idx="1323">
                  <c:v>2.46</c:v>
                </c:pt>
                <c:pt idx="1324">
                  <c:v>0.23</c:v>
                </c:pt>
                <c:pt idx="1325">
                  <c:v>0.21</c:v>
                </c:pt>
                <c:pt idx="1326">
                  <c:v>0.16</c:v>
                </c:pt>
                <c:pt idx="1327">
                  <c:v>0.03</c:v>
                </c:pt>
                <c:pt idx="1328">
                  <c:v>0.46</c:v>
                </c:pt>
                <c:pt idx="1329">
                  <c:v>2.46</c:v>
                </c:pt>
                <c:pt idx="1330">
                  <c:v>2.46</c:v>
                </c:pt>
                <c:pt idx="1331">
                  <c:v>0.44</c:v>
                </c:pt>
                <c:pt idx="1332">
                  <c:v>0.38</c:v>
                </c:pt>
                <c:pt idx="1333">
                  <c:v>2.46</c:v>
                </c:pt>
                <c:pt idx="1334">
                  <c:v>0.05</c:v>
                </c:pt>
                <c:pt idx="1335">
                  <c:v>2.46</c:v>
                </c:pt>
                <c:pt idx="1336">
                  <c:v>0.03</c:v>
                </c:pt>
                <c:pt idx="1337">
                  <c:v>9.25</c:v>
                </c:pt>
                <c:pt idx="1338">
                  <c:v>0.34</c:v>
                </c:pt>
                <c:pt idx="1339">
                  <c:v>0.01</c:v>
                </c:pt>
                <c:pt idx="1340">
                  <c:v>0.06</c:v>
                </c:pt>
                <c:pt idx="1341">
                  <c:v>0.27</c:v>
                </c:pt>
                <c:pt idx="1342">
                  <c:v>15.79</c:v>
                </c:pt>
                <c:pt idx="1343">
                  <c:v>0.02</c:v>
                </c:pt>
                <c:pt idx="1344">
                  <c:v>2.61</c:v>
                </c:pt>
                <c:pt idx="1345">
                  <c:v>0.24</c:v>
                </c:pt>
                <c:pt idx="1346">
                  <c:v>0.83</c:v>
                </c:pt>
                <c:pt idx="1347">
                  <c:v>0.89</c:v>
                </c:pt>
                <c:pt idx="1348">
                  <c:v>0.03</c:v>
                </c:pt>
                <c:pt idx="1349">
                  <c:v>10.02</c:v>
                </c:pt>
                <c:pt idx="1350">
                  <c:v>1.98</c:v>
                </c:pt>
                <c:pt idx="1351">
                  <c:v>0.22</c:v>
                </c:pt>
                <c:pt idx="1352">
                  <c:v>1.34</c:v>
                </c:pt>
                <c:pt idx="1353">
                  <c:v>123.09</c:v>
                </c:pt>
                <c:pt idx="1354">
                  <c:v>3.87</c:v>
                </c:pt>
                <c:pt idx="1355">
                  <c:v>18.7</c:v>
                </c:pt>
                <c:pt idx="1356">
                  <c:v>2.46</c:v>
                </c:pt>
                <c:pt idx="1357">
                  <c:v>0.03</c:v>
                </c:pt>
                <c:pt idx="1358">
                  <c:v>1.98</c:v>
                </c:pt>
                <c:pt idx="1359">
                  <c:v>0.02</c:v>
                </c:pt>
                <c:pt idx="1360">
                  <c:v>2.46</c:v>
                </c:pt>
                <c:pt idx="1361">
                  <c:v>0.02</c:v>
                </c:pt>
                <c:pt idx="1362">
                  <c:v>14.43</c:v>
                </c:pt>
                <c:pt idx="1363">
                  <c:v>2.46</c:v>
                </c:pt>
                <c:pt idx="1364">
                  <c:v>3.22</c:v>
                </c:pt>
                <c:pt idx="1365">
                  <c:v>14.44</c:v>
                </c:pt>
                <c:pt idx="1366">
                  <c:v>0.14000000000000001</c:v>
                </c:pt>
                <c:pt idx="1367">
                  <c:v>0.01</c:v>
                </c:pt>
                <c:pt idx="1368">
                  <c:v>2.46</c:v>
                </c:pt>
                <c:pt idx="1369">
                  <c:v>0.01</c:v>
                </c:pt>
                <c:pt idx="1370">
                  <c:v>25.14</c:v>
                </c:pt>
                <c:pt idx="1371">
                  <c:v>0.02</c:v>
                </c:pt>
                <c:pt idx="1372">
                  <c:v>4.2699999999999996</c:v>
                </c:pt>
                <c:pt idx="1373">
                  <c:v>2.46</c:v>
                </c:pt>
                <c:pt idx="1374">
                  <c:v>2.46</c:v>
                </c:pt>
                <c:pt idx="1375">
                  <c:v>2.46</c:v>
                </c:pt>
                <c:pt idx="1376">
                  <c:v>0.16</c:v>
                </c:pt>
                <c:pt idx="1377">
                  <c:v>0.01</c:v>
                </c:pt>
                <c:pt idx="1378">
                  <c:v>2.46</c:v>
                </c:pt>
                <c:pt idx="1379">
                  <c:v>2.46</c:v>
                </c:pt>
                <c:pt idx="1380">
                  <c:v>0.03</c:v>
                </c:pt>
                <c:pt idx="1381">
                  <c:v>177.4</c:v>
                </c:pt>
                <c:pt idx="1382">
                  <c:v>0</c:v>
                </c:pt>
                <c:pt idx="1383">
                  <c:v>2.46</c:v>
                </c:pt>
                <c:pt idx="1384">
                  <c:v>0</c:v>
                </c:pt>
                <c:pt idx="1385">
                  <c:v>1.78</c:v>
                </c:pt>
                <c:pt idx="1386">
                  <c:v>1.65</c:v>
                </c:pt>
                <c:pt idx="1387">
                  <c:v>2.46</c:v>
                </c:pt>
                <c:pt idx="1388">
                  <c:v>0.02</c:v>
                </c:pt>
                <c:pt idx="1389">
                  <c:v>0.06</c:v>
                </c:pt>
                <c:pt idx="1390">
                  <c:v>0.03</c:v>
                </c:pt>
                <c:pt idx="1391">
                  <c:v>2.46</c:v>
                </c:pt>
                <c:pt idx="1392">
                  <c:v>2.46</c:v>
                </c:pt>
                <c:pt idx="1393">
                  <c:v>0.28000000000000003</c:v>
                </c:pt>
                <c:pt idx="1394">
                  <c:v>0.1</c:v>
                </c:pt>
                <c:pt idx="1395">
                  <c:v>356.46</c:v>
                </c:pt>
                <c:pt idx="1396">
                  <c:v>1.83</c:v>
                </c:pt>
                <c:pt idx="1397">
                  <c:v>0</c:v>
                </c:pt>
                <c:pt idx="1398">
                  <c:v>0.02</c:v>
                </c:pt>
                <c:pt idx="1399">
                  <c:v>0.01</c:v>
                </c:pt>
                <c:pt idx="1400">
                  <c:v>0.01</c:v>
                </c:pt>
                <c:pt idx="1401">
                  <c:v>3.48</c:v>
                </c:pt>
                <c:pt idx="1402">
                  <c:v>1.1200000000000001</c:v>
                </c:pt>
                <c:pt idx="1403">
                  <c:v>7.0000000000000007E-2</c:v>
                </c:pt>
                <c:pt idx="1404">
                  <c:v>2.46</c:v>
                </c:pt>
                <c:pt idx="1405">
                  <c:v>2.46</c:v>
                </c:pt>
                <c:pt idx="1406">
                  <c:v>0.04</c:v>
                </c:pt>
                <c:pt idx="1407">
                  <c:v>16.03</c:v>
                </c:pt>
                <c:pt idx="1408">
                  <c:v>0.53</c:v>
                </c:pt>
                <c:pt idx="1409">
                  <c:v>0.06</c:v>
                </c:pt>
                <c:pt idx="1410">
                  <c:v>2.46</c:v>
                </c:pt>
                <c:pt idx="1411">
                  <c:v>2.46</c:v>
                </c:pt>
                <c:pt idx="1412">
                  <c:v>2.46</c:v>
                </c:pt>
                <c:pt idx="1413">
                  <c:v>0.01</c:v>
                </c:pt>
                <c:pt idx="1414">
                  <c:v>0.17</c:v>
                </c:pt>
                <c:pt idx="1415">
                  <c:v>0.01</c:v>
                </c:pt>
                <c:pt idx="1416">
                  <c:v>2.46</c:v>
                </c:pt>
                <c:pt idx="1417">
                  <c:v>2.46</c:v>
                </c:pt>
                <c:pt idx="1418">
                  <c:v>2.46</c:v>
                </c:pt>
                <c:pt idx="1419">
                  <c:v>0.41</c:v>
                </c:pt>
                <c:pt idx="1420">
                  <c:v>26.58</c:v>
                </c:pt>
                <c:pt idx="1421">
                  <c:v>2.46</c:v>
                </c:pt>
                <c:pt idx="1422">
                  <c:v>2.46</c:v>
                </c:pt>
                <c:pt idx="1423">
                  <c:v>2.46</c:v>
                </c:pt>
                <c:pt idx="1424">
                  <c:v>34.92</c:v>
                </c:pt>
                <c:pt idx="1425">
                  <c:v>363.07</c:v>
                </c:pt>
                <c:pt idx="1426">
                  <c:v>10.91</c:v>
                </c:pt>
                <c:pt idx="1427">
                  <c:v>2.46</c:v>
                </c:pt>
                <c:pt idx="1428">
                  <c:v>30.5</c:v>
                </c:pt>
                <c:pt idx="1429">
                  <c:v>2.46</c:v>
                </c:pt>
                <c:pt idx="1430">
                  <c:v>62.68</c:v>
                </c:pt>
                <c:pt idx="1431">
                  <c:v>2.46</c:v>
                </c:pt>
                <c:pt idx="1432">
                  <c:v>2.46</c:v>
                </c:pt>
                <c:pt idx="1433">
                  <c:v>27.57</c:v>
                </c:pt>
                <c:pt idx="1434">
                  <c:v>18.71</c:v>
                </c:pt>
                <c:pt idx="1435">
                  <c:v>36.869999999999997</c:v>
                </c:pt>
                <c:pt idx="1436">
                  <c:v>2.46</c:v>
                </c:pt>
                <c:pt idx="1437">
                  <c:v>12.63</c:v>
                </c:pt>
                <c:pt idx="1438">
                  <c:v>2.46</c:v>
                </c:pt>
                <c:pt idx="1439">
                  <c:v>2.46</c:v>
                </c:pt>
                <c:pt idx="1440">
                  <c:v>19.100000000000001</c:v>
                </c:pt>
                <c:pt idx="1441">
                  <c:v>72.08</c:v>
                </c:pt>
                <c:pt idx="1442">
                  <c:v>35.590000000000003</c:v>
                </c:pt>
                <c:pt idx="1443">
                  <c:v>3.71</c:v>
                </c:pt>
                <c:pt idx="1444">
                  <c:v>66.180000000000007</c:v>
                </c:pt>
                <c:pt idx="1445">
                  <c:v>14.27</c:v>
                </c:pt>
                <c:pt idx="1446">
                  <c:v>31.15</c:v>
                </c:pt>
                <c:pt idx="1447">
                  <c:v>1.03</c:v>
                </c:pt>
                <c:pt idx="1448">
                  <c:v>41.01</c:v>
                </c:pt>
                <c:pt idx="1449">
                  <c:v>56.25</c:v>
                </c:pt>
                <c:pt idx="1450">
                  <c:v>79.209999999999994</c:v>
                </c:pt>
                <c:pt idx="1451">
                  <c:v>155.44</c:v>
                </c:pt>
                <c:pt idx="1452">
                  <c:v>2.46</c:v>
                </c:pt>
                <c:pt idx="1453">
                  <c:v>2.46</c:v>
                </c:pt>
                <c:pt idx="1454">
                  <c:v>32.46</c:v>
                </c:pt>
                <c:pt idx="1455">
                  <c:v>2.46</c:v>
                </c:pt>
                <c:pt idx="1456">
                  <c:v>23.05</c:v>
                </c:pt>
                <c:pt idx="1457">
                  <c:v>0.06</c:v>
                </c:pt>
                <c:pt idx="1458">
                  <c:v>103.14</c:v>
                </c:pt>
                <c:pt idx="1459">
                  <c:v>2.46</c:v>
                </c:pt>
                <c:pt idx="1460">
                  <c:v>2.46</c:v>
                </c:pt>
                <c:pt idx="1461">
                  <c:v>47.37</c:v>
                </c:pt>
                <c:pt idx="1462">
                  <c:v>330.36</c:v>
                </c:pt>
                <c:pt idx="1463">
                  <c:v>48.39</c:v>
                </c:pt>
                <c:pt idx="1464">
                  <c:v>0.03</c:v>
                </c:pt>
                <c:pt idx="1465">
                  <c:v>4.2</c:v>
                </c:pt>
                <c:pt idx="1466">
                  <c:v>107.51</c:v>
                </c:pt>
                <c:pt idx="1467">
                  <c:v>2.46</c:v>
                </c:pt>
                <c:pt idx="1468">
                  <c:v>1.36</c:v>
                </c:pt>
                <c:pt idx="1469">
                  <c:v>2.46</c:v>
                </c:pt>
                <c:pt idx="1470">
                  <c:v>2.46</c:v>
                </c:pt>
                <c:pt idx="1471">
                  <c:v>2.46</c:v>
                </c:pt>
                <c:pt idx="1472">
                  <c:v>14.01</c:v>
                </c:pt>
                <c:pt idx="1473">
                  <c:v>6.46</c:v>
                </c:pt>
                <c:pt idx="1474">
                  <c:v>2.46</c:v>
                </c:pt>
                <c:pt idx="1475">
                  <c:v>36.26</c:v>
                </c:pt>
                <c:pt idx="1476">
                  <c:v>20.76</c:v>
                </c:pt>
                <c:pt idx="1477">
                  <c:v>1.33</c:v>
                </c:pt>
                <c:pt idx="1478">
                  <c:v>3.15</c:v>
                </c:pt>
                <c:pt idx="1479">
                  <c:v>2.46</c:v>
                </c:pt>
                <c:pt idx="1480">
                  <c:v>2.46</c:v>
                </c:pt>
                <c:pt idx="1481">
                  <c:v>408.08</c:v>
                </c:pt>
                <c:pt idx="1482">
                  <c:v>0.02</c:v>
                </c:pt>
                <c:pt idx="1483">
                  <c:v>2.46</c:v>
                </c:pt>
                <c:pt idx="1484">
                  <c:v>0.23</c:v>
                </c:pt>
                <c:pt idx="1485">
                  <c:v>0.03</c:v>
                </c:pt>
                <c:pt idx="1486">
                  <c:v>21.22</c:v>
                </c:pt>
                <c:pt idx="1487">
                  <c:v>2.46</c:v>
                </c:pt>
                <c:pt idx="1488">
                  <c:v>2.13</c:v>
                </c:pt>
                <c:pt idx="1489">
                  <c:v>55.12</c:v>
                </c:pt>
                <c:pt idx="1490">
                  <c:v>0.09</c:v>
                </c:pt>
                <c:pt idx="1491">
                  <c:v>126.64</c:v>
                </c:pt>
                <c:pt idx="1492">
                  <c:v>162.43</c:v>
                </c:pt>
                <c:pt idx="1493">
                  <c:v>5.2</c:v>
                </c:pt>
                <c:pt idx="1494">
                  <c:v>27.38</c:v>
                </c:pt>
                <c:pt idx="1495">
                  <c:v>2.46</c:v>
                </c:pt>
                <c:pt idx="1496">
                  <c:v>15.43</c:v>
                </c:pt>
                <c:pt idx="1497">
                  <c:v>2.46</c:v>
                </c:pt>
                <c:pt idx="1498">
                  <c:v>0.69</c:v>
                </c:pt>
                <c:pt idx="1499">
                  <c:v>2.96</c:v>
                </c:pt>
                <c:pt idx="1500">
                  <c:v>0.09</c:v>
                </c:pt>
                <c:pt idx="1501">
                  <c:v>2.46</c:v>
                </c:pt>
                <c:pt idx="1502">
                  <c:v>0.17</c:v>
                </c:pt>
                <c:pt idx="1503">
                  <c:v>7.0000000000000007E-2</c:v>
                </c:pt>
                <c:pt idx="1504">
                  <c:v>97.69</c:v>
                </c:pt>
                <c:pt idx="1505">
                  <c:v>0.08</c:v>
                </c:pt>
                <c:pt idx="1506">
                  <c:v>87.24</c:v>
                </c:pt>
                <c:pt idx="1507">
                  <c:v>5.88</c:v>
                </c:pt>
                <c:pt idx="1508">
                  <c:v>2.46</c:v>
                </c:pt>
                <c:pt idx="1509">
                  <c:v>2.46</c:v>
                </c:pt>
                <c:pt idx="1510">
                  <c:v>2.46</c:v>
                </c:pt>
                <c:pt idx="1511">
                  <c:v>125.07</c:v>
                </c:pt>
                <c:pt idx="1512">
                  <c:v>76.23</c:v>
                </c:pt>
                <c:pt idx="1513">
                  <c:v>2.46</c:v>
                </c:pt>
                <c:pt idx="1514">
                  <c:v>0.28000000000000003</c:v>
                </c:pt>
                <c:pt idx="1515">
                  <c:v>2.46</c:v>
                </c:pt>
                <c:pt idx="1516">
                  <c:v>77.040000000000006</c:v>
                </c:pt>
                <c:pt idx="1517">
                  <c:v>486.3</c:v>
                </c:pt>
                <c:pt idx="1518">
                  <c:v>1.6</c:v>
                </c:pt>
                <c:pt idx="1519">
                  <c:v>86.26</c:v>
                </c:pt>
                <c:pt idx="1520">
                  <c:v>26.41</c:v>
                </c:pt>
                <c:pt idx="1521">
                  <c:v>34.340000000000003</c:v>
                </c:pt>
                <c:pt idx="1522">
                  <c:v>3.91</c:v>
                </c:pt>
                <c:pt idx="1523">
                  <c:v>2.46</c:v>
                </c:pt>
                <c:pt idx="1524">
                  <c:v>2.46</c:v>
                </c:pt>
                <c:pt idx="1525">
                  <c:v>2.46</c:v>
                </c:pt>
                <c:pt idx="1526">
                  <c:v>4.07</c:v>
                </c:pt>
                <c:pt idx="1527">
                  <c:v>38.58</c:v>
                </c:pt>
                <c:pt idx="1528">
                  <c:v>128.34</c:v>
                </c:pt>
                <c:pt idx="1529">
                  <c:v>0.01</c:v>
                </c:pt>
                <c:pt idx="1530">
                  <c:v>325.10000000000002</c:v>
                </c:pt>
                <c:pt idx="1531">
                  <c:v>4.21</c:v>
                </c:pt>
                <c:pt idx="1532">
                  <c:v>3.4</c:v>
                </c:pt>
                <c:pt idx="1533">
                  <c:v>0.59</c:v>
                </c:pt>
                <c:pt idx="1534">
                  <c:v>21.59</c:v>
                </c:pt>
                <c:pt idx="1535">
                  <c:v>72.680000000000007</c:v>
                </c:pt>
                <c:pt idx="1536">
                  <c:v>48.02</c:v>
                </c:pt>
                <c:pt idx="1537">
                  <c:v>368.38</c:v>
                </c:pt>
                <c:pt idx="1538">
                  <c:v>341.27</c:v>
                </c:pt>
                <c:pt idx="1539">
                  <c:v>364</c:v>
                </c:pt>
                <c:pt idx="1540">
                  <c:v>153.71</c:v>
                </c:pt>
                <c:pt idx="1541">
                  <c:v>0.05</c:v>
                </c:pt>
                <c:pt idx="1542">
                  <c:v>2.46</c:v>
                </c:pt>
                <c:pt idx="1543">
                  <c:v>1.48</c:v>
                </c:pt>
                <c:pt idx="1544">
                  <c:v>0.3</c:v>
                </c:pt>
                <c:pt idx="1545">
                  <c:v>8.81</c:v>
                </c:pt>
                <c:pt idx="1546">
                  <c:v>100.55</c:v>
                </c:pt>
                <c:pt idx="1547">
                  <c:v>234.04</c:v>
                </c:pt>
                <c:pt idx="1548">
                  <c:v>75.400000000000006</c:v>
                </c:pt>
                <c:pt idx="1549">
                  <c:v>2.46</c:v>
                </c:pt>
                <c:pt idx="1550">
                  <c:v>2.0099999999999998</c:v>
                </c:pt>
                <c:pt idx="1551">
                  <c:v>0.05</c:v>
                </c:pt>
                <c:pt idx="1552">
                  <c:v>2.46</c:v>
                </c:pt>
                <c:pt idx="1553">
                  <c:v>2.46</c:v>
                </c:pt>
                <c:pt idx="1554">
                  <c:v>0</c:v>
                </c:pt>
                <c:pt idx="1555">
                  <c:v>4.71</c:v>
                </c:pt>
                <c:pt idx="1556">
                  <c:v>2.46</c:v>
                </c:pt>
                <c:pt idx="1557">
                  <c:v>67.209999999999994</c:v>
                </c:pt>
                <c:pt idx="1558">
                  <c:v>0.11</c:v>
                </c:pt>
                <c:pt idx="1559">
                  <c:v>0.27</c:v>
                </c:pt>
                <c:pt idx="1560">
                  <c:v>2.46</c:v>
                </c:pt>
                <c:pt idx="1561">
                  <c:v>14.9</c:v>
                </c:pt>
                <c:pt idx="1562">
                  <c:v>0.7</c:v>
                </c:pt>
                <c:pt idx="1563">
                  <c:v>15.86</c:v>
                </c:pt>
                <c:pt idx="1564">
                  <c:v>169.61</c:v>
                </c:pt>
                <c:pt idx="1565">
                  <c:v>10.66</c:v>
                </c:pt>
                <c:pt idx="1566">
                  <c:v>2.46</c:v>
                </c:pt>
                <c:pt idx="1567">
                  <c:v>11.1</c:v>
                </c:pt>
                <c:pt idx="1568">
                  <c:v>6.3</c:v>
                </c:pt>
                <c:pt idx="1569">
                  <c:v>2.46</c:v>
                </c:pt>
                <c:pt idx="1570">
                  <c:v>248.76</c:v>
                </c:pt>
                <c:pt idx="1571">
                  <c:v>47.7</c:v>
                </c:pt>
                <c:pt idx="1572">
                  <c:v>0.2</c:v>
                </c:pt>
                <c:pt idx="1573">
                  <c:v>7.1</c:v>
                </c:pt>
                <c:pt idx="1574">
                  <c:v>0.66</c:v>
                </c:pt>
                <c:pt idx="1575">
                  <c:v>2.46</c:v>
                </c:pt>
                <c:pt idx="1576">
                  <c:v>3.5</c:v>
                </c:pt>
                <c:pt idx="1577">
                  <c:v>2.46</c:v>
                </c:pt>
                <c:pt idx="1578">
                  <c:v>14.43</c:v>
                </c:pt>
                <c:pt idx="1579">
                  <c:v>4.8499999999999996</c:v>
                </c:pt>
                <c:pt idx="1580">
                  <c:v>2.46</c:v>
                </c:pt>
                <c:pt idx="1581">
                  <c:v>2.46</c:v>
                </c:pt>
                <c:pt idx="1582">
                  <c:v>58.7</c:v>
                </c:pt>
                <c:pt idx="1583">
                  <c:v>0.06</c:v>
                </c:pt>
                <c:pt idx="1584">
                  <c:v>0.01</c:v>
                </c:pt>
                <c:pt idx="1585">
                  <c:v>1.74</c:v>
                </c:pt>
                <c:pt idx="1586">
                  <c:v>100.01</c:v>
                </c:pt>
                <c:pt idx="1587">
                  <c:v>1.99</c:v>
                </c:pt>
                <c:pt idx="1588">
                  <c:v>0.11</c:v>
                </c:pt>
                <c:pt idx="1589">
                  <c:v>67.27</c:v>
                </c:pt>
                <c:pt idx="1590">
                  <c:v>2.46</c:v>
                </c:pt>
                <c:pt idx="1591">
                  <c:v>232.64</c:v>
                </c:pt>
                <c:pt idx="1592">
                  <c:v>51.74</c:v>
                </c:pt>
                <c:pt idx="1593">
                  <c:v>13.96</c:v>
                </c:pt>
                <c:pt idx="1594">
                  <c:v>12.79</c:v>
                </c:pt>
                <c:pt idx="1595">
                  <c:v>2.46</c:v>
                </c:pt>
                <c:pt idx="1596">
                  <c:v>61.43</c:v>
                </c:pt>
                <c:pt idx="1597">
                  <c:v>2.46</c:v>
                </c:pt>
                <c:pt idx="1598">
                  <c:v>55.48</c:v>
                </c:pt>
                <c:pt idx="1599">
                  <c:v>3.74</c:v>
                </c:pt>
                <c:pt idx="1600">
                  <c:v>0.12</c:v>
                </c:pt>
                <c:pt idx="1601">
                  <c:v>0.26</c:v>
                </c:pt>
                <c:pt idx="1602">
                  <c:v>31.02</c:v>
                </c:pt>
                <c:pt idx="1603">
                  <c:v>3.24</c:v>
                </c:pt>
                <c:pt idx="1604">
                  <c:v>54.65</c:v>
                </c:pt>
                <c:pt idx="1605">
                  <c:v>0.28999999999999998</c:v>
                </c:pt>
                <c:pt idx="1606">
                  <c:v>1.03</c:v>
                </c:pt>
                <c:pt idx="1607">
                  <c:v>0.92</c:v>
                </c:pt>
                <c:pt idx="1608">
                  <c:v>2.46</c:v>
                </c:pt>
                <c:pt idx="1609">
                  <c:v>93.43</c:v>
                </c:pt>
                <c:pt idx="1610">
                  <c:v>2.4</c:v>
                </c:pt>
                <c:pt idx="1611">
                  <c:v>5.66</c:v>
                </c:pt>
                <c:pt idx="1612">
                  <c:v>30.35</c:v>
                </c:pt>
                <c:pt idx="1613">
                  <c:v>10.38</c:v>
                </c:pt>
                <c:pt idx="1614">
                  <c:v>0.94</c:v>
                </c:pt>
                <c:pt idx="1615">
                  <c:v>19.64</c:v>
                </c:pt>
                <c:pt idx="1616">
                  <c:v>57.68</c:v>
                </c:pt>
                <c:pt idx="1617">
                  <c:v>1.49</c:v>
                </c:pt>
                <c:pt idx="1618">
                  <c:v>158.85</c:v>
                </c:pt>
                <c:pt idx="1619">
                  <c:v>532.17999999999995</c:v>
                </c:pt>
                <c:pt idx="1620">
                  <c:v>4.79</c:v>
                </c:pt>
                <c:pt idx="1621">
                  <c:v>0.26</c:v>
                </c:pt>
                <c:pt idx="1622">
                  <c:v>7.23</c:v>
                </c:pt>
                <c:pt idx="1623">
                  <c:v>27.01</c:v>
                </c:pt>
                <c:pt idx="1624">
                  <c:v>2.46</c:v>
                </c:pt>
                <c:pt idx="1625">
                  <c:v>2.46</c:v>
                </c:pt>
                <c:pt idx="1626">
                  <c:v>2.46</c:v>
                </c:pt>
                <c:pt idx="1627">
                  <c:v>0.54</c:v>
                </c:pt>
                <c:pt idx="1628">
                  <c:v>0.04</c:v>
                </c:pt>
                <c:pt idx="1629">
                  <c:v>7.7</c:v>
                </c:pt>
                <c:pt idx="1630">
                  <c:v>0.15</c:v>
                </c:pt>
                <c:pt idx="1631">
                  <c:v>27.85</c:v>
                </c:pt>
                <c:pt idx="1632">
                  <c:v>2.46</c:v>
                </c:pt>
                <c:pt idx="1633">
                  <c:v>151.1</c:v>
                </c:pt>
                <c:pt idx="1634">
                  <c:v>2.46</c:v>
                </c:pt>
                <c:pt idx="1635">
                  <c:v>2.14</c:v>
                </c:pt>
                <c:pt idx="1636">
                  <c:v>12.55</c:v>
                </c:pt>
                <c:pt idx="1637">
                  <c:v>3.65</c:v>
                </c:pt>
                <c:pt idx="1638">
                  <c:v>0.03</c:v>
                </c:pt>
                <c:pt idx="1639">
                  <c:v>2.46</c:v>
                </c:pt>
                <c:pt idx="1640">
                  <c:v>2.46</c:v>
                </c:pt>
                <c:pt idx="1641">
                  <c:v>2.46</c:v>
                </c:pt>
                <c:pt idx="1642">
                  <c:v>0.01</c:v>
                </c:pt>
                <c:pt idx="1643">
                  <c:v>26.83</c:v>
                </c:pt>
                <c:pt idx="1644">
                  <c:v>2.46</c:v>
                </c:pt>
                <c:pt idx="1645">
                  <c:v>3.9</c:v>
                </c:pt>
                <c:pt idx="1646">
                  <c:v>2.46</c:v>
                </c:pt>
                <c:pt idx="1647">
                  <c:v>2.46</c:v>
                </c:pt>
                <c:pt idx="1648">
                  <c:v>2.46</c:v>
                </c:pt>
                <c:pt idx="1649">
                  <c:v>2.46</c:v>
                </c:pt>
                <c:pt idx="1650">
                  <c:v>40.1</c:v>
                </c:pt>
                <c:pt idx="1651">
                  <c:v>0</c:v>
                </c:pt>
                <c:pt idx="1652">
                  <c:v>2.46</c:v>
                </c:pt>
                <c:pt idx="1653">
                  <c:v>24.25</c:v>
                </c:pt>
                <c:pt idx="1654">
                  <c:v>60.32</c:v>
                </c:pt>
                <c:pt idx="1655">
                  <c:v>2.46</c:v>
                </c:pt>
                <c:pt idx="1656">
                  <c:v>45.54</c:v>
                </c:pt>
                <c:pt idx="1657">
                  <c:v>0.01</c:v>
                </c:pt>
                <c:pt idx="1658">
                  <c:v>0.01</c:v>
                </c:pt>
                <c:pt idx="1659">
                  <c:v>0.01</c:v>
                </c:pt>
                <c:pt idx="1660">
                  <c:v>31.89</c:v>
                </c:pt>
                <c:pt idx="1661">
                  <c:v>2.46</c:v>
                </c:pt>
                <c:pt idx="1662">
                  <c:v>1.31</c:v>
                </c:pt>
                <c:pt idx="1663">
                  <c:v>2.46</c:v>
                </c:pt>
                <c:pt idx="1664">
                  <c:v>2.46</c:v>
                </c:pt>
                <c:pt idx="1665">
                  <c:v>2.46</c:v>
                </c:pt>
                <c:pt idx="1666">
                  <c:v>2.46</c:v>
                </c:pt>
                <c:pt idx="1667">
                  <c:v>2.46</c:v>
                </c:pt>
                <c:pt idx="1668">
                  <c:v>0.03</c:v>
                </c:pt>
                <c:pt idx="1669">
                  <c:v>0.23</c:v>
                </c:pt>
                <c:pt idx="1670">
                  <c:v>7.12</c:v>
                </c:pt>
                <c:pt idx="1671">
                  <c:v>0.05</c:v>
                </c:pt>
                <c:pt idx="1672">
                  <c:v>0.61</c:v>
                </c:pt>
                <c:pt idx="1673">
                  <c:v>3.82</c:v>
                </c:pt>
                <c:pt idx="1674">
                  <c:v>2.46</c:v>
                </c:pt>
                <c:pt idx="1675">
                  <c:v>0</c:v>
                </c:pt>
                <c:pt idx="1676">
                  <c:v>0.01</c:v>
                </c:pt>
                <c:pt idx="1677">
                  <c:v>2.46</c:v>
                </c:pt>
                <c:pt idx="1678">
                  <c:v>0.88</c:v>
                </c:pt>
                <c:pt idx="1679">
                  <c:v>0.15</c:v>
                </c:pt>
                <c:pt idx="1680">
                  <c:v>8.11</c:v>
                </c:pt>
                <c:pt idx="1681">
                  <c:v>0.08</c:v>
                </c:pt>
                <c:pt idx="1682">
                  <c:v>2.46</c:v>
                </c:pt>
                <c:pt idx="1683">
                  <c:v>2.46</c:v>
                </c:pt>
                <c:pt idx="1684">
                  <c:v>8.58</c:v>
                </c:pt>
                <c:pt idx="1685">
                  <c:v>2.46</c:v>
                </c:pt>
                <c:pt idx="1686">
                  <c:v>2.46</c:v>
                </c:pt>
                <c:pt idx="1687">
                  <c:v>2.46</c:v>
                </c:pt>
                <c:pt idx="1688">
                  <c:v>2.46</c:v>
                </c:pt>
                <c:pt idx="1689">
                  <c:v>2.46</c:v>
                </c:pt>
                <c:pt idx="1690">
                  <c:v>1.66</c:v>
                </c:pt>
                <c:pt idx="1691">
                  <c:v>0.01</c:v>
                </c:pt>
                <c:pt idx="1692">
                  <c:v>2.46</c:v>
                </c:pt>
                <c:pt idx="1693">
                  <c:v>2.46</c:v>
                </c:pt>
                <c:pt idx="1694">
                  <c:v>138.29</c:v>
                </c:pt>
                <c:pt idx="1695">
                  <c:v>6.88</c:v>
                </c:pt>
                <c:pt idx="1696">
                  <c:v>63.29</c:v>
                </c:pt>
                <c:pt idx="1697">
                  <c:v>0.01</c:v>
                </c:pt>
                <c:pt idx="1698">
                  <c:v>2.46</c:v>
                </c:pt>
                <c:pt idx="1699">
                  <c:v>2.2799999999999998</c:v>
                </c:pt>
                <c:pt idx="1700">
                  <c:v>2.46</c:v>
                </c:pt>
                <c:pt idx="1701">
                  <c:v>0.44</c:v>
                </c:pt>
                <c:pt idx="1702">
                  <c:v>1.86</c:v>
                </c:pt>
                <c:pt idx="1703">
                  <c:v>2.46</c:v>
                </c:pt>
                <c:pt idx="1704">
                  <c:v>0.13</c:v>
                </c:pt>
                <c:pt idx="1705">
                  <c:v>0.04</c:v>
                </c:pt>
                <c:pt idx="1706">
                  <c:v>0.18</c:v>
                </c:pt>
                <c:pt idx="1707">
                  <c:v>0.26</c:v>
                </c:pt>
                <c:pt idx="1708">
                  <c:v>2.46</c:v>
                </c:pt>
                <c:pt idx="1709">
                  <c:v>2.46</c:v>
                </c:pt>
                <c:pt idx="1710">
                  <c:v>0.32</c:v>
                </c:pt>
                <c:pt idx="1711">
                  <c:v>2.46</c:v>
                </c:pt>
                <c:pt idx="1712">
                  <c:v>2.46</c:v>
                </c:pt>
                <c:pt idx="1713">
                  <c:v>3.81</c:v>
                </c:pt>
                <c:pt idx="1714">
                  <c:v>2.46</c:v>
                </c:pt>
                <c:pt idx="1715">
                  <c:v>2.46</c:v>
                </c:pt>
                <c:pt idx="1716">
                  <c:v>0.03</c:v>
                </c:pt>
                <c:pt idx="1717">
                  <c:v>2.46</c:v>
                </c:pt>
                <c:pt idx="1718">
                  <c:v>5.62</c:v>
                </c:pt>
                <c:pt idx="1719">
                  <c:v>0.01</c:v>
                </c:pt>
                <c:pt idx="1720">
                  <c:v>0.1</c:v>
                </c:pt>
                <c:pt idx="1721">
                  <c:v>2.46</c:v>
                </c:pt>
                <c:pt idx="1722">
                  <c:v>6.17</c:v>
                </c:pt>
                <c:pt idx="1723">
                  <c:v>2.46</c:v>
                </c:pt>
                <c:pt idx="1724">
                  <c:v>2.46</c:v>
                </c:pt>
                <c:pt idx="1725">
                  <c:v>2.46</c:v>
                </c:pt>
                <c:pt idx="1726">
                  <c:v>1.4</c:v>
                </c:pt>
                <c:pt idx="1727">
                  <c:v>0.28999999999999998</c:v>
                </c:pt>
                <c:pt idx="1728">
                  <c:v>2.46</c:v>
                </c:pt>
                <c:pt idx="1729">
                  <c:v>0</c:v>
                </c:pt>
                <c:pt idx="1730">
                  <c:v>2.46</c:v>
                </c:pt>
                <c:pt idx="1731">
                  <c:v>2.46</c:v>
                </c:pt>
                <c:pt idx="1732">
                  <c:v>0.1</c:v>
                </c:pt>
                <c:pt idx="1733">
                  <c:v>0.03</c:v>
                </c:pt>
                <c:pt idx="1734">
                  <c:v>2.46</c:v>
                </c:pt>
                <c:pt idx="1735">
                  <c:v>0.02</c:v>
                </c:pt>
                <c:pt idx="1736">
                  <c:v>0.1</c:v>
                </c:pt>
                <c:pt idx="1737">
                  <c:v>24.7</c:v>
                </c:pt>
                <c:pt idx="1738">
                  <c:v>2.4700000000000002</c:v>
                </c:pt>
                <c:pt idx="1739">
                  <c:v>0.04</c:v>
                </c:pt>
                <c:pt idx="1740">
                  <c:v>2.46</c:v>
                </c:pt>
                <c:pt idx="1741">
                  <c:v>0.04</c:v>
                </c:pt>
                <c:pt idx="1742">
                  <c:v>3.02</c:v>
                </c:pt>
                <c:pt idx="1743">
                  <c:v>1.1299999999999999</c:v>
                </c:pt>
                <c:pt idx="1744">
                  <c:v>2.46</c:v>
                </c:pt>
                <c:pt idx="1745">
                  <c:v>2.46</c:v>
                </c:pt>
                <c:pt idx="1746">
                  <c:v>504.01</c:v>
                </c:pt>
                <c:pt idx="1747">
                  <c:v>2.46</c:v>
                </c:pt>
                <c:pt idx="1748">
                  <c:v>0.03</c:v>
                </c:pt>
                <c:pt idx="1749">
                  <c:v>2.46</c:v>
                </c:pt>
                <c:pt idx="1750">
                  <c:v>2.46</c:v>
                </c:pt>
                <c:pt idx="1751">
                  <c:v>226.28</c:v>
                </c:pt>
                <c:pt idx="1752">
                  <c:v>64.510000000000005</c:v>
                </c:pt>
                <c:pt idx="1753">
                  <c:v>2.46</c:v>
                </c:pt>
                <c:pt idx="1754">
                  <c:v>2.46</c:v>
                </c:pt>
                <c:pt idx="1755">
                  <c:v>2.46</c:v>
                </c:pt>
                <c:pt idx="1756">
                  <c:v>2.46</c:v>
                </c:pt>
                <c:pt idx="1757">
                  <c:v>7.89</c:v>
                </c:pt>
                <c:pt idx="1758">
                  <c:v>2.46</c:v>
                </c:pt>
                <c:pt idx="1759">
                  <c:v>40.56</c:v>
                </c:pt>
                <c:pt idx="1760">
                  <c:v>2.46</c:v>
                </c:pt>
                <c:pt idx="1761">
                  <c:v>2.46</c:v>
                </c:pt>
                <c:pt idx="1762">
                  <c:v>2.46</c:v>
                </c:pt>
                <c:pt idx="1763">
                  <c:v>30.23</c:v>
                </c:pt>
                <c:pt idx="1764">
                  <c:v>2.46</c:v>
                </c:pt>
                <c:pt idx="1765">
                  <c:v>85.36</c:v>
                </c:pt>
                <c:pt idx="1766">
                  <c:v>2.46</c:v>
                </c:pt>
                <c:pt idx="1767">
                  <c:v>176.04</c:v>
                </c:pt>
                <c:pt idx="1768">
                  <c:v>2.46</c:v>
                </c:pt>
                <c:pt idx="1769">
                  <c:v>2.46</c:v>
                </c:pt>
                <c:pt idx="1770">
                  <c:v>2.46</c:v>
                </c:pt>
                <c:pt idx="1771">
                  <c:v>0.44</c:v>
                </c:pt>
                <c:pt idx="1772">
                  <c:v>2.46</c:v>
                </c:pt>
                <c:pt idx="1773">
                  <c:v>17.45</c:v>
                </c:pt>
                <c:pt idx="1774">
                  <c:v>20.78</c:v>
                </c:pt>
                <c:pt idx="1775">
                  <c:v>2.46</c:v>
                </c:pt>
                <c:pt idx="1776">
                  <c:v>12.24</c:v>
                </c:pt>
                <c:pt idx="1777">
                  <c:v>2.46</c:v>
                </c:pt>
                <c:pt idx="1778">
                  <c:v>24.8</c:v>
                </c:pt>
                <c:pt idx="1779">
                  <c:v>74.260000000000005</c:v>
                </c:pt>
                <c:pt idx="1780">
                  <c:v>2.46</c:v>
                </c:pt>
                <c:pt idx="1781">
                  <c:v>412.56</c:v>
                </c:pt>
                <c:pt idx="1782">
                  <c:v>2.46</c:v>
                </c:pt>
                <c:pt idx="1783">
                  <c:v>20.5</c:v>
                </c:pt>
                <c:pt idx="1784">
                  <c:v>18.600000000000001</c:v>
                </c:pt>
                <c:pt idx="1785">
                  <c:v>57.39</c:v>
                </c:pt>
                <c:pt idx="1786">
                  <c:v>1.78</c:v>
                </c:pt>
                <c:pt idx="1787">
                  <c:v>2.46</c:v>
                </c:pt>
                <c:pt idx="1788">
                  <c:v>1.24</c:v>
                </c:pt>
                <c:pt idx="1789">
                  <c:v>80.099999999999994</c:v>
                </c:pt>
                <c:pt idx="1790">
                  <c:v>92.03</c:v>
                </c:pt>
                <c:pt idx="1791">
                  <c:v>3.61</c:v>
                </c:pt>
                <c:pt idx="1792">
                  <c:v>226.01</c:v>
                </c:pt>
                <c:pt idx="1793">
                  <c:v>0.65</c:v>
                </c:pt>
                <c:pt idx="1794">
                  <c:v>2.46</c:v>
                </c:pt>
                <c:pt idx="1795">
                  <c:v>168.05</c:v>
                </c:pt>
                <c:pt idx="1796">
                  <c:v>44.9</c:v>
                </c:pt>
                <c:pt idx="1797">
                  <c:v>39.18</c:v>
                </c:pt>
                <c:pt idx="1798">
                  <c:v>30.72</c:v>
                </c:pt>
                <c:pt idx="1799">
                  <c:v>175</c:v>
                </c:pt>
                <c:pt idx="1800">
                  <c:v>1.32</c:v>
                </c:pt>
                <c:pt idx="1801">
                  <c:v>2.46</c:v>
                </c:pt>
                <c:pt idx="1802">
                  <c:v>2.46</c:v>
                </c:pt>
                <c:pt idx="1803">
                  <c:v>1.1100000000000001</c:v>
                </c:pt>
                <c:pt idx="1804">
                  <c:v>2.46</c:v>
                </c:pt>
                <c:pt idx="1805">
                  <c:v>0.05</c:v>
                </c:pt>
                <c:pt idx="1806">
                  <c:v>2.46</c:v>
                </c:pt>
                <c:pt idx="1807">
                  <c:v>2.4</c:v>
                </c:pt>
                <c:pt idx="1808">
                  <c:v>0.05</c:v>
                </c:pt>
                <c:pt idx="1809">
                  <c:v>7.12</c:v>
                </c:pt>
                <c:pt idx="1810">
                  <c:v>2.46</c:v>
                </c:pt>
                <c:pt idx="1811">
                  <c:v>2.68</c:v>
                </c:pt>
                <c:pt idx="1812">
                  <c:v>44.92</c:v>
                </c:pt>
                <c:pt idx="1813">
                  <c:v>0.38</c:v>
                </c:pt>
                <c:pt idx="1814">
                  <c:v>2.46</c:v>
                </c:pt>
                <c:pt idx="1815">
                  <c:v>2.46</c:v>
                </c:pt>
                <c:pt idx="1816">
                  <c:v>2.46</c:v>
                </c:pt>
                <c:pt idx="1817">
                  <c:v>1.65</c:v>
                </c:pt>
                <c:pt idx="1818">
                  <c:v>2.46</c:v>
                </c:pt>
                <c:pt idx="1819">
                  <c:v>11.27</c:v>
                </c:pt>
                <c:pt idx="1820">
                  <c:v>389.81</c:v>
                </c:pt>
                <c:pt idx="1821">
                  <c:v>2.46</c:v>
                </c:pt>
                <c:pt idx="1822">
                  <c:v>58.06</c:v>
                </c:pt>
                <c:pt idx="1823">
                  <c:v>2.46</c:v>
                </c:pt>
                <c:pt idx="1824">
                  <c:v>1.28</c:v>
                </c:pt>
                <c:pt idx="1825">
                  <c:v>75.47</c:v>
                </c:pt>
                <c:pt idx="1826">
                  <c:v>50.7</c:v>
                </c:pt>
                <c:pt idx="1827">
                  <c:v>51.69</c:v>
                </c:pt>
                <c:pt idx="1828">
                  <c:v>2.46</c:v>
                </c:pt>
                <c:pt idx="1829">
                  <c:v>2.46</c:v>
                </c:pt>
                <c:pt idx="1830">
                  <c:v>13.41</c:v>
                </c:pt>
                <c:pt idx="1831">
                  <c:v>33.799999999999997</c:v>
                </c:pt>
                <c:pt idx="1832">
                  <c:v>4.08</c:v>
                </c:pt>
                <c:pt idx="1833">
                  <c:v>0.94</c:v>
                </c:pt>
                <c:pt idx="1834">
                  <c:v>0.62</c:v>
                </c:pt>
                <c:pt idx="1835">
                  <c:v>2.46</c:v>
                </c:pt>
                <c:pt idx="1836">
                  <c:v>1.6</c:v>
                </c:pt>
                <c:pt idx="1837">
                  <c:v>10.58</c:v>
                </c:pt>
                <c:pt idx="1838">
                  <c:v>2.46</c:v>
                </c:pt>
                <c:pt idx="1839">
                  <c:v>107.83</c:v>
                </c:pt>
                <c:pt idx="1840">
                  <c:v>41.19</c:v>
                </c:pt>
                <c:pt idx="1841">
                  <c:v>3.02</c:v>
                </c:pt>
                <c:pt idx="1842">
                  <c:v>0.34</c:v>
                </c:pt>
                <c:pt idx="1843">
                  <c:v>2.46</c:v>
                </c:pt>
                <c:pt idx="1844">
                  <c:v>17.27</c:v>
                </c:pt>
                <c:pt idx="1845">
                  <c:v>2.46</c:v>
                </c:pt>
                <c:pt idx="1846">
                  <c:v>51.34</c:v>
                </c:pt>
                <c:pt idx="1847">
                  <c:v>0.17</c:v>
                </c:pt>
                <c:pt idx="1848">
                  <c:v>0.1</c:v>
                </c:pt>
                <c:pt idx="1849">
                  <c:v>2.4300000000000002</c:v>
                </c:pt>
                <c:pt idx="1850">
                  <c:v>2.46</c:v>
                </c:pt>
                <c:pt idx="1851">
                  <c:v>0.13</c:v>
                </c:pt>
                <c:pt idx="1852">
                  <c:v>2.46</c:v>
                </c:pt>
                <c:pt idx="1853">
                  <c:v>2.46</c:v>
                </c:pt>
                <c:pt idx="1854">
                  <c:v>146.88</c:v>
                </c:pt>
                <c:pt idx="1855">
                  <c:v>0.04</c:v>
                </c:pt>
                <c:pt idx="1856">
                  <c:v>2.46</c:v>
                </c:pt>
                <c:pt idx="1857">
                  <c:v>0.13</c:v>
                </c:pt>
                <c:pt idx="1858">
                  <c:v>22.25</c:v>
                </c:pt>
                <c:pt idx="1859">
                  <c:v>2.46</c:v>
                </c:pt>
                <c:pt idx="1860">
                  <c:v>2.46</c:v>
                </c:pt>
                <c:pt idx="1861">
                  <c:v>0</c:v>
                </c:pt>
                <c:pt idx="1862">
                  <c:v>100.23</c:v>
                </c:pt>
                <c:pt idx="1863">
                  <c:v>188.37</c:v>
                </c:pt>
                <c:pt idx="1864">
                  <c:v>0.47</c:v>
                </c:pt>
                <c:pt idx="1865">
                  <c:v>33.700000000000003</c:v>
                </c:pt>
                <c:pt idx="1866">
                  <c:v>0.04</c:v>
                </c:pt>
                <c:pt idx="1867">
                  <c:v>30.35</c:v>
                </c:pt>
                <c:pt idx="1868">
                  <c:v>2.29</c:v>
                </c:pt>
                <c:pt idx="1869">
                  <c:v>0</c:v>
                </c:pt>
                <c:pt idx="1870">
                  <c:v>2.46</c:v>
                </c:pt>
                <c:pt idx="1871">
                  <c:v>620.17999999999995</c:v>
                </c:pt>
                <c:pt idx="1872">
                  <c:v>12.64</c:v>
                </c:pt>
                <c:pt idx="1873">
                  <c:v>2.46</c:v>
                </c:pt>
                <c:pt idx="1874">
                  <c:v>2.46</c:v>
                </c:pt>
                <c:pt idx="1875">
                  <c:v>0.77</c:v>
                </c:pt>
                <c:pt idx="1876">
                  <c:v>0.15</c:v>
                </c:pt>
                <c:pt idx="1877">
                  <c:v>0.49</c:v>
                </c:pt>
                <c:pt idx="1878">
                  <c:v>229.02</c:v>
                </c:pt>
                <c:pt idx="1879">
                  <c:v>17.8</c:v>
                </c:pt>
                <c:pt idx="1880">
                  <c:v>2.46</c:v>
                </c:pt>
                <c:pt idx="1881">
                  <c:v>92.05</c:v>
                </c:pt>
                <c:pt idx="1882">
                  <c:v>18.100000000000001</c:v>
                </c:pt>
                <c:pt idx="1883">
                  <c:v>0.22</c:v>
                </c:pt>
                <c:pt idx="1884">
                  <c:v>2.46</c:v>
                </c:pt>
                <c:pt idx="1885">
                  <c:v>0.18</c:v>
                </c:pt>
                <c:pt idx="1886">
                  <c:v>327.48</c:v>
                </c:pt>
                <c:pt idx="1887">
                  <c:v>264.62</c:v>
                </c:pt>
                <c:pt idx="1888">
                  <c:v>30.01</c:v>
                </c:pt>
                <c:pt idx="1889">
                  <c:v>10.050000000000001</c:v>
                </c:pt>
                <c:pt idx="1890">
                  <c:v>2.46</c:v>
                </c:pt>
                <c:pt idx="1891">
                  <c:v>2.46</c:v>
                </c:pt>
                <c:pt idx="1892">
                  <c:v>2.46</c:v>
                </c:pt>
                <c:pt idx="1893">
                  <c:v>54.51</c:v>
                </c:pt>
                <c:pt idx="1894">
                  <c:v>48.96</c:v>
                </c:pt>
                <c:pt idx="1895">
                  <c:v>209.73</c:v>
                </c:pt>
                <c:pt idx="1896">
                  <c:v>14.11</c:v>
                </c:pt>
                <c:pt idx="1897">
                  <c:v>2.46</c:v>
                </c:pt>
                <c:pt idx="1898">
                  <c:v>0.97</c:v>
                </c:pt>
                <c:pt idx="1899">
                  <c:v>5.9</c:v>
                </c:pt>
                <c:pt idx="1900">
                  <c:v>4.21</c:v>
                </c:pt>
                <c:pt idx="1901">
                  <c:v>0.38</c:v>
                </c:pt>
                <c:pt idx="1902">
                  <c:v>1.03</c:v>
                </c:pt>
                <c:pt idx="1903">
                  <c:v>6.67</c:v>
                </c:pt>
                <c:pt idx="1904">
                  <c:v>1.59</c:v>
                </c:pt>
                <c:pt idx="1905">
                  <c:v>36.25</c:v>
                </c:pt>
                <c:pt idx="1906">
                  <c:v>1.74</c:v>
                </c:pt>
                <c:pt idx="1907">
                  <c:v>63.86</c:v>
                </c:pt>
                <c:pt idx="1908">
                  <c:v>0.53</c:v>
                </c:pt>
                <c:pt idx="1909">
                  <c:v>2.46</c:v>
                </c:pt>
                <c:pt idx="1910">
                  <c:v>1.4</c:v>
                </c:pt>
                <c:pt idx="1911">
                  <c:v>56.47</c:v>
                </c:pt>
                <c:pt idx="1912">
                  <c:v>34.39</c:v>
                </c:pt>
                <c:pt idx="1913">
                  <c:v>0.03</c:v>
                </c:pt>
                <c:pt idx="1914">
                  <c:v>315.06</c:v>
                </c:pt>
                <c:pt idx="1915">
                  <c:v>18.34</c:v>
                </c:pt>
                <c:pt idx="1916">
                  <c:v>28.78</c:v>
                </c:pt>
                <c:pt idx="1917">
                  <c:v>102.83</c:v>
                </c:pt>
                <c:pt idx="1918">
                  <c:v>0.46</c:v>
                </c:pt>
                <c:pt idx="1919">
                  <c:v>81.900000000000006</c:v>
                </c:pt>
                <c:pt idx="1920">
                  <c:v>5.78</c:v>
                </c:pt>
                <c:pt idx="1921">
                  <c:v>2.46</c:v>
                </c:pt>
                <c:pt idx="1922">
                  <c:v>1.02</c:v>
                </c:pt>
                <c:pt idx="1923">
                  <c:v>0.08</c:v>
                </c:pt>
                <c:pt idx="1924">
                  <c:v>11.96</c:v>
                </c:pt>
                <c:pt idx="1925">
                  <c:v>2.46</c:v>
                </c:pt>
                <c:pt idx="1926">
                  <c:v>21.02</c:v>
                </c:pt>
                <c:pt idx="1927">
                  <c:v>0.01</c:v>
                </c:pt>
                <c:pt idx="1928">
                  <c:v>0.56999999999999995</c:v>
                </c:pt>
                <c:pt idx="1929">
                  <c:v>0.96</c:v>
                </c:pt>
                <c:pt idx="1930">
                  <c:v>132.41999999999999</c:v>
                </c:pt>
                <c:pt idx="1931">
                  <c:v>2.46</c:v>
                </c:pt>
                <c:pt idx="1932">
                  <c:v>0.08</c:v>
                </c:pt>
                <c:pt idx="1933">
                  <c:v>0.02</c:v>
                </c:pt>
                <c:pt idx="1934">
                  <c:v>2.46</c:v>
                </c:pt>
                <c:pt idx="1935">
                  <c:v>2.46</c:v>
                </c:pt>
                <c:pt idx="1936">
                  <c:v>0.15</c:v>
                </c:pt>
                <c:pt idx="1937">
                  <c:v>8.0399999999999991</c:v>
                </c:pt>
                <c:pt idx="1938">
                  <c:v>24.45</c:v>
                </c:pt>
                <c:pt idx="1939">
                  <c:v>2.46</c:v>
                </c:pt>
                <c:pt idx="1940">
                  <c:v>334.2</c:v>
                </c:pt>
                <c:pt idx="1941">
                  <c:v>0.75</c:v>
                </c:pt>
                <c:pt idx="1942">
                  <c:v>174.34</c:v>
                </c:pt>
                <c:pt idx="1943">
                  <c:v>25.11</c:v>
                </c:pt>
                <c:pt idx="1944">
                  <c:v>2.46</c:v>
                </c:pt>
                <c:pt idx="1945">
                  <c:v>2.0299999999999998</c:v>
                </c:pt>
                <c:pt idx="1946">
                  <c:v>0.01</c:v>
                </c:pt>
                <c:pt idx="1947">
                  <c:v>1.03</c:v>
                </c:pt>
                <c:pt idx="1948">
                  <c:v>2.46</c:v>
                </c:pt>
                <c:pt idx="1949">
                  <c:v>32.729999999999997</c:v>
                </c:pt>
                <c:pt idx="1950">
                  <c:v>2.46</c:v>
                </c:pt>
                <c:pt idx="1951">
                  <c:v>20.87</c:v>
                </c:pt>
                <c:pt idx="1952">
                  <c:v>2.46</c:v>
                </c:pt>
                <c:pt idx="1953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A7-4D44-B185-237AE643C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166943"/>
        <c:axId val="1500155903"/>
      </c:scatterChart>
      <c:valAx>
        <c:axId val="15001669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0155903"/>
        <c:crosses val="autoZero"/>
        <c:crossBetween val="midCat"/>
      </c:valAx>
      <c:valAx>
        <c:axId val="15001559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0016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[IMDB_Movie_Insights Analysis (1933 - 2020).xlsx]Pivot Tables!PivotTable1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The highest movie ratings (1960s to 2010s) 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Tables'!$C$5:$C$10</c:f>
              <c:strCache>
                <c:ptCount val="6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</c:strCache>
            </c:strRef>
          </c:cat>
          <c:val>
            <c:numRef>
              <c:f>'Pivot Tables'!$D$5:$D$10</c:f>
              <c:numCache>
                <c:formatCode>0.00</c:formatCode>
                <c:ptCount val="6"/>
                <c:pt idx="0">
                  <c:v>6.2833333333333323</c:v>
                </c:pt>
                <c:pt idx="1">
                  <c:v>6.9454545454545444</c:v>
                </c:pt>
                <c:pt idx="2">
                  <c:v>6.7299999999999995</c:v>
                </c:pt>
                <c:pt idx="3">
                  <c:v>6.8350000000000009</c:v>
                </c:pt>
                <c:pt idx="4">
                  <c:v>6.6621848739495801</c:v>
                </c:pt>
                <c:pt idx="5">
                  <c:v>6.4625070581592254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0-469E-8CFB-265B1033A3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7878255"/>
        <c:axId val="1437888815"/>
      </c:barChart>
      <c:catAx>
        <c:axId val="1437878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37888815"/>
        <c:crosses val="autoZero"/>
        <c:auto val="1"/>
        <c:lblAlgn val="ctr"/>
        <c:lblOffset val="100"/>
        <c:noMultiLvlLbl val="0"/>
      </c:catAx>
      <c:valAx>
        <c:axId val="1437888815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43787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[IMDB_Movie_Insights Analysis (1933 - 2020).xlsx]Pivot Tables!PivotTable2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Votes Per Decade Based on Age Restriction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322830292979547E-2"/>
          <c:y val="0.15319460067491564"/>
          <c:w val="0.87985270497904178"/>
          <c:h val="0.7550662417197849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'Pivot Tables'!$I$4:$I$5</c:f>
              <c:strCache>
                <c:ptCount val="1"/>
                <c:pt idx="0">
                  <c:v>PG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Tables'!$H$6:$H$11</c:f>
              <c:strCache>
                <c:ptCount val="6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</c:strCache>
            </c:strRef>
          </c:cat>
          <c:val>
            <c:numRef>
              <c:f>'Pivot Tables'!$I$6:$I$11</c:f>
              <c:numCache>
                <c:formatCode>0.00</c:formatCode>
                <c:ptCount val="6"/>
                <c:pt idx="0">
                  <c:v>128727</c:v>
                </c:pt>
                <c:pt idx="1">
                  <c:v>14090</c:v>
                </c:pt>
                <c:pt idx="2">
                  <c:v>42759</c:v>
                </c:pt>
                <c:pt idx="3">
                  <c:v>27601</c:v>
                </c:pt>
                <c:pt idx="4">
                  <c:v>19680</c:v>
                </c:pt>
                <c:pt idx="5">
                  <c:v>75983.902654867255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6-4ADA-98C2-83F87606C91D}"/>
            </c:ext>
          </c:extLst>
        </c:ser>
        <c:ser>
          <c:idx val="1"/>
          <c:order val="1"/>
          <c:tx>
            <c:strRef>
              <c:f>'Pivot Tables'!$J$4:$J$5</c:f>
              <c:strCache>
                <c:ptCount val="1"/>
                <c:pt idx="0">
                  <c:v>PG-13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Tables'!$H$6:$H$11</c:f>
              <c:strCache>
                <c:ptCount val="6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</c:strCache>
            </c:strRef>
          </c:cat>
          <c:val>
            <c:numRef>
              <c:f>'Pivot Tables'!$J$6:$J$11</c:f>
              <c:numCache>
                <c:formatCode>0.00</c:formatCode>
                <c:ptCount val="6"/>
                <c:pt idx="0">
                  <c:v>3960</c:v>
                </c:pt>
                <c:pt idx="1">
                  <c:v>40786.777777777781</c:v>
                </c:pt>
                <c:pt idx="2">
                  <c:v>31921.5</c:v>
                </c:pt>
                <c:pt idx="3">
                  <c:v>39487.0625</c:v>
                </c:pt>
                <c:pt idx="4">
                  <c:v>35682.166666666664</c:v>
                </c:pt>
                <c:pt idx="5">
                  <c:v>90122.146731571629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6-4ADA-98C2-83F87606C91D}"/>
            </c:ext>
          </c:extLst>
        </c:ser>
        <c:ser>
          <c:idx val="2"/>
          <c:order val="2"/>
          <c:tx>
            <c:strRef>
              <c:f>'Pivot Tables'!$K$4:$K$5</c:f>
              <c:strCache>
                <c:ptCount val="1"/>
                <c:pt idx="0">
                  <c:v>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Tables'!$H$6:$H$11</c:f>
              <c:strCache>
                <c:ptCount val="6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</c:strCache>
            </c:strRef>
          </c:cat>
          <c:val>
            <c:numRef>
              <c:f>'Pivot Tables'!$K$6:$K$11</c:f>
              <c:numCache>
                <c:formatCode>0.00</c:formatCode>
                <c:ptCount val="6"/>
                <c:pt idx="5">
                  <c:v>15653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D6-4ADA-98C2-83F87606C91D}"/>
            </c:ext>
          </c:extLst>
        </c:ser>
        <c:ser>
          <c:idx val="3"/>
          <c:order val="3"/>
          <c:tx>
            <c:strRef>
              <c:f>'Pivot Tables'!$L$4:$L$5</c:f>
              <c:strCache>
                <c:ptCount val="1"/>
                <c:pt idx="0">
                  <c:v>R18+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Tables'!$H$6:$H$11</c:f>
              <c:strCache>
                <c:ptCount val="6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</c:strCache>
            </c:strRef>
          </c:cat>
          <c:val>
            <c:numRef>
              <c:f>'Pivot Tables'!$L$6:$L$11</c:f>
              <c:numCache>
                <c:formatCode>0.00</c:formatCode>
                <c:ptCount val="6"/>
                <c:pt idx="0">
                  <c:v>10883</c:v>
                </c:pt>
                <c:pt idx="2">
                  <c:v>28611.5</c:v>
                </c:pt>
                <c:pt idx="3">
                  <c:v>20519.5</c:v>
                </c:pt>
                <c:pt idx="4">
                  <c:v>30373.357142857141</c:v>
                </c:pt>
                <c:pt idx="5">
                  <c:v>90997.924528301883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D6-4ADA-98C2-83F87606C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0108863"/>
        <c:axId val="1500101183"/>
        <c:axId val="0"/>
      </c:bar3DChart>
      <c:catAx>
        <c:axId val="150010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00101183"/>
        <c:crosses val="autoZero"/>
        <c:auto val="1"/>
        <c:lblAlgn val="ctr"/>
        <c:lblOffset val="100"/>
        <c:noMultiLvlLbl val="0"/>
      </c:catAx>
      <c:valAx>
        <c:axId val="15001011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0010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598249151782873"/>
          <c:y val="0.46086511089437082"/>
          <c:w val="7.539157162876764E-2"/>
          <c:h val="0.25281083276145944"/>
        </c:manualLayout>
      </c:layout>
      <c:overlay val="0"/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65000"/>
        <a:lumOff val="35000"/>
      </a:schemeClr>
    </a:solidFill>
    <a:ln>
      <a:noFill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485774</xdr:colOff>
      <xdr:row>23</xdr:row>
      <xdr:rowOff>38099</xdr:rowOff>
    </xdr:from>
    <xdr:to>
      <xdr:col>4</xdr:col>
      <xdr:colOff>57149</xdr:colOff>
      <xdr:row>44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4E5A7B-55D5-FD2B-206F-1FEE4EFBAD97}"/>
            </a:ext>
          </a:extLst>
        </xdr:cNvPr>
        <xdr:cNvSpPr txBox="1"/>
      </xdr:nvSpPr>
      <xdr:spPr>
        <a:xfrm>
          <a:off x="485774" y="4667249"/>
          <a:ext cx="4086225" cy="413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Note: If the correlation coefficient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result is closer to 1 there's a strong positive correlation; close to 0 means there's weak correlation (can not be relied upon).</a:t>
          </a:r>
        </a:p>
        <a:p>
          <a:r>
            <a:rPr lang="" sz="1200" b="1" u="sng">
              <a:latin typeface="Times New Roman" panose="02020603050405020304" pitchFamily="18" charset="0"/>
              <a:cs typeface="Times New Roman" panose="02020603050405020304" pitchFamily="18" charset="0"/>
            </a:rPr>
            <a:t>Gross Profit &amp; Rating → 0.19</a:t>
          </a:r>
          <a:endParaRPr lang="" sz="1200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Very </a:t>
          </a:r>
          <a:r>
            <a:rPr lang="" sz="1200" b="0">
              <a:latin typeface="Times New Roman" panose="02020603050405020304" pitchFamily="18" charset="0"/>
              <a:cs typeface="Times New Roman" panose="02020603050405020304" pitchFamily="18" charset="0"/>
            </a:rPr>
            <a:t>weak positive </a:t>
          </a:r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correlation.</a:t>
          </a: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A higher movie rating barely predicts higher gross profit.</a:t>
          </a: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Ratings alone are a poor indicator of box office success.</a:t>
          </a:r>
        </a:p>
        <a:p>
          <a:r>
            <a:rPr lang="" sz="1200" b="1" u="sng">
              <a:latin typeface="Times New Roman" panose="02020603050405020304" pitchFamily="18" charset="0"/>
              <a:cs typeface="Times New Roman" panose="02020603050405020304" pitchFamily="18" charset="0"/>
            </a:rPr>
            <a:t>Gross Profit &amp; Duration → 0.29</a:t>
          </a:r>
          <a:endParaRPr lang="" sz="1200" u="sng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Still </a:t>
          </a:r>
          <a:r>
            <a:rPr lang="" sz="1200" b="0">
              <a:latin typeface="Times New Roman" panose="02020603050405020304" pitchFamily="18" charset="0"/>
              <a:cs typeface="Times New Roman" panose="02020603050405020304" pitchFamily="18" charset="0"/>
            </a:rPr>
            <a:t>weak, but </a:t>
          </a:r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slightly stronger than rating.</a:t>
          </a: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Longer movies tend to gross a little more, but the relationship is not reliable.</a:t>
          </a:r>
        </a:p>
        <a:p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Could reflect that big-budget blockbusters (which gross more) tend to run longer.</a:t>
          </a:r>
        </a:p>
        <a:p>
          <a:endParaRPr lang="en-US" sz="12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Therefore, conclusion is that there's no correlation between gross profit and ratings as well as between gross profit and movie duration.</a:t>
          </a:r>
          <a:r>
            <a:rPr lang="" sz="1200">
              <a:latin typeface="Times New Roman" panose="02020603050405020304" pitchFamily="18" charset="0"/>
              <a:cs typeface="Times New Roman" panose="02020603050405020304" pitchFamily="18" charset="0"/>
            </a:rPr>
            <a:t>While weak positive correlations exist (0.19 and 0.29 respectively), they are too low to suggest any reliable predictive relationship.</a:t>
          </a:r>
          <a:endParaRPr lang="LID4096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52387</xdr:colOff>
      <xdr:row>2330</xdr:row>
      <xdr:rowOff>76200</xdr:rowOff>
    </xdr:from>
    <xdr:to>
      <xdr:col>10</xdr:col>
      <xdr:colOff>357187</xdr:colOff>
      <xdr:row>2344</xdr:row>
      <xdr:rowOff>152400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D0D86-A644-F6D1-0461-7B78EA586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5</xdr:row>
      <xdr:rowOff>180975</xdr:rowOff>
    </xdr:from>
    <xdr:to>
      <xdr:col>5</xdr:col>
      <xdr:colOff>19050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FEBA1-577E-4F76-8CF3-E28156EB5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609599</xdr:colOff>
      <xdr:row>5</xdr:row>
      <xdr:rowOff>190499</xdr:rowOff>
    </xdr:from>
    <xdr:to>
      <xdr:col>14</xdr:col>
      <xdr:colOff>219075</xdr:colOff>
      <xdr:row>21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3A77A-DC8E-413F-85C1-C5D033FBC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23</xdr:row>
      <xdr:rowOff>57151</xdr:rowOff>
    </xdr:from>
    <xdr:to>
      <xdr:col>13</xdr:col>
      <xdr:colOff>38100</xdr:colOff>
      <xdr:row>33</xdr:row>
      <xdr:rowOff>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987C21-568D-5F0B-F859-6908AE900AB0}"/>
            </a:ext>
          </a:extLst>
        </xdr:cNvPr>
        <xdr:cNvSpPr txBox="1"/>
      </xdr:nvSpPr>
      <xdr:spPr>
        <a:xfrm>
          <a:off x="5772150" y="4686301"/>
          <a:ext cx="4267200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Coefficient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of Determination R² of both charts are </a:t>
          </a:r>
          <a:r>
            <a:rPr lang="en-US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R² = 0.0368</a:t>
          </a:r>
          <a:endParaRPr lang="en-ZM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and </a:t>
          </a:r>
          <a:r>
            <a:rPr lang="en-US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R² = 0.0846.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Meaning: Only 3.68% of the variation in a movie's gross profit can be explained by it's IMDB rating. The remaining 96.32% of the variation is driven by other factors entirely. And only 8.46% of the variation in a movie's gross profit can be explained by  duration of the movies.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Conclusion: A movie's rating or duration does not / has very little impact on the gross profit of the movie.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ZM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12</xdr:row>
      <xdr:rowOff>114301</xdr:rowOff>
    </xdr:from>
    <xdr:to>
      <xdr:col>7</xdr:col>
      <xdr:colOff>685800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AEB08C-EA6F-4353-B2A1-16DF46C09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12</xdr:row>
      <xdr:rowOff>76200</xdr:rowOff>
    </xdr:from>
    <xdr:to>
      <xdr:col>15</xdr:col>
      <xdr:colOff>914400</xdr:colOff>
      <xdr:row>32</xdr:row>
      <xdr:rowOff>95250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DB8EE3F2-827F-4689-A62A-369EF3D0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l" refreshedDate="46187.179721180553" createdVersion="8" refreshedVersion="8" minRefreshableVersion="3" recordCount="1954" xr:uid="{62D1E05F-267A-4CF5-8635-9953E1E149AC}">
  <cacheSource type="worksheet">
    <worksheetSource name="Cleaned___Transformed_IMDB_Movies_dataset"/>
  </cacheSource>
  <cacheFields count="8">
    <cacheField name="Movie Name (Title)" numFmtId="0">
      <sharedItems/>
    </cacheField>
    <cacheField name="Year" numFmtId="0">
      <sharedItems containsSemiMixedTypes="0" containsString="0" containsNumber="1" containsInteger="1" minValue="1933" maxValue="2020"/>
    </cacheField>
    <cacheField name="Age Restriction" numFmtId="0">
      <sharedItems count="4">
        <s v="PG-13"/>
        <s v="PG"/>
        <s v="R18+"/>
        <s v="R"/>
      </sharedItems>
    </cacheField>
    <cacheField name="Duration(minutes)" numFmtId="0">
      <sharedItems containsSemiMixedTypes="0" containsString="0" containsNumber="1" containsInteger="1" minValue="22" maxValue="201"/>
    </cacheField>
    <cacheField name="Ratings" numFmtId="0">
      <sharedItems containsSemiMixedTypes="0" containsString="0" containsNumber="1" minValue="3.1" maxValue="8.6999999999999993"/>
    </cacheField>
    <cacheField name="Movies by Decade" numFmtId="0">
      <sharedItems count="10">
        <s v="1930s"/>
        <s v="1940s"/>
        <s v="1950s"/>
        <s v="1960s"/>
        <s v="1970s"/>
        <s v="1980s"/>
        <s v="1990s"/>
        <s v="2000s"/>
        <s v="2010s"/>
        <s v="2020s"/>
      </sharedItems>
    </cacheField>
    <cacheField name="Gross Profit($M)" numFmtId="2">
      <sharedItems containsSemiMixedTypes="0" containsString="0" containsNumber="1" minValue="0" maxValue="936.66"/>
    </cacheField>
    <cacheField name="Votes" numFmtId="0">
      <sharedItems containsString="0" containsBlank="1" containsNumber="1" containsInteger="1" minValue="39" maxValue="20115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4">
  <r>
    <s v="42Nd Street"/>
    <n v="1933"/>
    <x v="0"/>
    <n v="89"/>
    <n v="7.3"/>
    <x v="0"/>
    <n v="2.2999999999999998"/>
    <n v="12767"/>
  </r>
  <r>
    <s v="Keeper Of The Flame"/>
    <n v="1942"/>
    <x v="0"/>
    <n v="100"/>
    <n v="6.7"/>
    <x v="1"/>
    <n v="2.46"/>
    <n v="3135"/>
  </r>
  <r>
    <s v="Mildred Pierce"/>
    <n v="1945"/>
    <x v="0"/>
    <n v="111"/>
    <n v="7.9"/>
    <x v="1"/>
    <n v="2.46"/>
    <n v="27980"/>
  </r>
  <r>
    <s v="3:10 To Yuma"/>
    <n v="1957"/>
    <x v="0"/>
    <n v="92"/>
    <n v="7.6"/>
    <x v="2"/>
    <n v="2.46"/>
    <n v="21210"/>
  </r>
  <r>
    <s v="The Hidden Fortress"/>
    <n v="1958"/>
    <x v="0"/>
    <n v="139"/>
    <n v="8.1"/>
    <x v="2"/>
    <n v="2.46"/>
    <n v="41370"/>
  </r>
  <r>
    <s v="Ein Mann Geht Durch Die Wand"/>
    <n v="1959"/>
    <x v="0"/>
    <n v="99"/>
    <n v="6.9"/>
    <x v="2"/>
    <n v="2.46"/>
    <n v="323"/>
  </r>
  <r>
    <s v="Yojimbo"/>
    <n v="1961"/>
    <x v="1"/>
    <n v="110"/>
    <n v="8.1999999999999993"/>
    <x v="3"/>
    <n v="2.46"/>
    <n v="128727"/>
  </r>
  <r>
    <s v="King Kong Vs. Godzilla"/>
    <n v="1963"/>
    <x v="2"/>
    <n v="97"/>
    <n v="5.7"/>
    <x v="3"/>
    <n v="2.73"/>
    <n v="10883"/>
  </r>
  <r>
    <s v="Mothra Vs. Godzilla"/>
    <n v="1964"/>
    <x v="0"/>
    <n v="89"/>
    <n v="6.5"/>
    <x v="3"/>
    <n v="2.46"/>
    <n v="9653"/>
  </r>
  <r>
    <s v="Gamera: The Giant Monster"/>
    <n v="1965"/>
    <x v="0"/>
    <n v="78"/>
    <n v="5.2"/>
    <x v="3"/>
    <n v="2.46"/>
    <n v="3660"/>
  </r>
  <r>
    <s v="De Trei Ori Bucuresti"/>
    <n v="1967"/>
    <x v="0"/>
    <n v="96"/>
    <n v="7"/>
    <x v="3"/>
    <n v="2.46"/>
    <n v="50"/>
  </r>
  <r>
    <s v="Stereo"/>
    <n v="1969"/>
    <x v="0"/>
    <n v="65"/>
    <n v="5.0999999999999996"/>
    <x v="3"/>
    <n v="2.46"/>
    <n v="2477"/>
  </r>
  <r>
    <s v="Walkabout"/>
    <n v="1971"/>
    <x v="0"/>
    <n v="100"/>
    <n v="7.6"/>
    <x v="4"/>
    <n v="0.02"/>
    <n v="26870"/>
  </r>
  <r>
    <s v="Once Upon A Scoundrel"/>
    <n v="1973"/>
    <x v="0"/>
    <n v="99"/>
    <n v="5.7"/>
    <x v="4"/>
    <n v="2.46"/>
    <n v="110"/>
  </r>
  <r>
    <s v="Godzilla Vs. Megalon"/>
    <n v="1973"/>
    <x v="1"/>
    <n v="81"/>
    <n v="4.8"/>
    <x v="4"/>
    <n v="2.46"/>
    <n v="6537"/>
  </r>
  <r>
    <s v="Westworld"/>
    <n v="1973"/>
    <x v="0"/>
    <n v="88"/>
    <n v="6.9"/>
    <x v="4"/>
    <n v="16.059999999999999"/>
    <n v="61974"/>
  </r>
  <r>
    <s v="Phantom Of The Paradise"/>
    <n v="1974"/>
    <x v="1"/>
    <n v="91"/>
    <n v="7.3"/>
    <x v="4"/>
    <n v="0.16"/>
    <n v="21643"/>
  </r>
  <r>
    <s v="Picnic At Hanging Rock"/>
    <n v="1975"/>
    <x v="0"/>
    <n v="115"/>
    <n v="7.4"/>
    <x v="4"/>
    <n v="0.23"/>
    <n v="39970"/>
  </r>
  <r>
    <s v="The Missouri Breaks"/>
    <n v="1976"/>
    <x v="0"/>
    <n v="126"/>
    <n v="6.5"/>
    <x v="4"/>
    <n v="14"/>
    <n v="11726"/>
  </r>
  <r>
    <s v="Marathon Man"/>
    <n v="1976"/>
    <x v="0"/>
    <n v="125"/>
    <n v="7.4"/>
    <x v="4"/>
    <n v="21.71"/>
    <n v="68739"/>
  </r>
  <r>
    <s v="3 Women"/>
    <n v="1977"/>
    <x v="0"/>
    <n v="124"/>
    <n v="7.7"/>
    <x v="4"/>
    <n v="2.46"/>
    <n v="16879"/>
  </r>
  <r>
    <s v="The Warriors"/>
    <n v="1979"/>
    <x v="0"/>
    <n v="93"/>
    <n v="7.5"/>
    <x v="4"/>
    <n v="22.49"/>
    <n v="108327"/>
  </r>
  <r>
    <s v="Lupin Iii: The Castle Of Cagliostro"/>
    <n v="1979"/>
    <x v="0"/>
    <n v="100"/>
    <n v="7.6"/>
    <x v="4"/>
    <n v="2.46"/>
    <n v="32486"/>
  </r>
  <r>
    <s v="Dressed To Kill"/>
    <n v="1980"/>
    <x v="0"/>
    <n v="104"/>
    <n v="7.1"/>
    <x v="5"/>
    <n v="31.9"/>
    <n v="46498"/>
  </r>
  <r>
    <s v="The King And The Mockingbird"/>
    <n v="1980"/>
    <x v="0"/>
    <n v="83"/>
    <n v="7.7"/>
    <x v="5"/>
    <n v="0.03"/>
    <n v="5405"/>
  </r>
  <r>
    <s v="Possession"/>
    <n v="1981"/>
    <x v="0"/>
    <n v="124"/>
    <n v="7.3"/>
    <x v="5"/>
    <n v="1.1100000000000001"/>
    <n v="40160"/>
  </r>
  <r>
    <s v="Blow Out"/>
    <n v="1981"/>
    <x v="0"/>
    <n v="108"/>
    <n v="7.4"/>
    <x v="5"/>
    <n v="13.75"/>
    <n v="60364"/>
  </r>
  <r>
    <s v="Liquid Sky"/>
    <n v="1982"/>
    <x v="2"/>
    <n v="112"/>
    <n v="6"/>
    <x v="5"/>
    <n v="2.46"/>
    <n v="6748"/>
  </r>
  <r>
    <s v="Psycho Ii"/>
    <n v="1983"/>
    <x v="0"/>
    <n v="113"/>
    <n v="6.6"/>
    <x v="5"/>
    <n v="34.729999999999997"/>
    <n v="30267"/>
  </r>
  <r>
    <s v="The Star Chamber"/>
    <n v="1983"/>
    <x v="0"/>
    <n v="109"/>
    <n v="6.3"/>
    <x v="5"/>
    <n v="5.56"/>
    <n v="7565"/>
  </r>
  <r>
    <s v="The Pope Of Greenwich Village"/>
    <n v="1984"/>
    <x v="1"/>
    <n v="121"/>
    <n v="6.6"/>
    <x v="5"/>
    <n v="6.14"/>
    <n v="9598"/>
  </r>
  <r>
    <s v="Moscow On The Hudson"/>
    <n v="1984"/>
    <x v="0"/>
    <n v="115"/>
    <n v="6.5"/>
    <x v="5"/>
    <n v="25.1"/>
    <n v="12795"/>
  </r>
  <r>
    <s v="Tampopo"/>
    <n v="1985"/>
    <x v="0"/>
    <n v="114"/>
    <n v="7.9"/>
    <x v="5"/>
    <n v="0.22"/>
    <n v="21635"/>
  </r>
  <r>
    <s v="Enemy Mine"/>
    <n v="1985"/>
    <x v="2"/>
    <n v="108"/>
    <n v="6.8"/>
    <x v="5"/>
    <n v="4.2699999999999996"/>
    <n v="50475"/>
  </r>
  <r>
    <s v="A Nightmare On Elm Street Part 2: Freddy'S Revenge"/>
    <n v="1985"/>
    <x v="1"/>
    <n v="87"/>
    <n v="5.4"/>
    <x v="5"/>
    <n v="30"/>
    <n v="75920"/>
  </r>
  <r>
    <s v="Best Shot"/>
    <n v="1986"/>
    <x v="0"/>
    <n v="114"/>
    <n v="7.4"/>
    <x v="5"/>
    <n v="28.61"/>
    <n v="49992"/>
  </r>
  <r>
    <s v="Club Paradise"/>
    <n v="1986"/>
    <x v="0"/>
    <n v="96"/>
    <n v="5.0999999999999996"/>
    <x v="5"/>
    <n v="12.31"/>
    <n v="6734"/>
  </r>
  <r>
    <s v="The Best Of Times"/>
    <n v="1986"/>
    <x v="0"/>
    <n v="104"/>
    <n v="6"/>
    <x v="5"/>
    <n v="7.79"/>
    <n v="7963"/>
  </r>
  <r>
    <s v="Ishtar"/>
    <n v="1987"/>
    <x v="0"/>
    <n v="107"/>
    <n v="4.5999999999999996"/>
    <x v="5"/>
    <n v="14.38"/>
    <n v="11658"/>
  </r>
  <r>
    <s v="Wings Of Desire"/>
    <n v="1987"/>
    <x v="0"/>
    <n v="128"/>
    <n v="7.9"/>
    <x v="5"/>
    <n v="3.33"/>
    <n v="75050"/>
  </r>
  <r>
    <s v="Heathers"/>
    <n v="1988"/>
    <x v="0"/>
    <n v="103"/>
    <n v="7.2"/>
    <x v="5"/>
    <n v="1.1100000000000001"/>
    <n v="112914"/>
  </r>
  <r>
    <s v="Running On Empty"/>
    <n v="1988"/>
    <x v="0"/>
    <n v="116"/>
    <n v="7.6"/>
    <x v="5"/>
    <n v="2.84"/>
    <n v="17545"/>
  </r>
  <r>
    <s v="On The Silver Globe"/>
    <n v="1988"/>
    <x v="0"/>
    <n v="166"/>
    <n v="7.2"/>
    <x v="5"/>
    <n v="2.46"/>
    <n v="4199"/>
  </r>
  <r>
    <s v="Vincent &amp; Theo"/>
    <n v="1990"/>
    <x v="0"/>
    <n v="140"/>
    <n v="6.9"/>
    <x v="6"/>
    <n v="2.23"/>
    <n v="4133"/>
  </r>
  <r>
    <s v="Night On Earth"/>
    <n v="1991"/>
    <x v="0"/>
    <n v="129"/>
    <n v="7.7"/>
    <x v="6"/>
    <n v="2.02"/>
    <n v="64543"/>
  </r>
  <r>
    <s v="A Dangerous Man"/>
    <n v="1992"/>
    <x v="0"/>
    <n v="107"/>
    <n v="6.8"/>
    <x v="6"/>
    <n v="2.46"/>
    <n v="698"/>
  </r>
  <r>
    <s v="Cronos"/>
    <n v="1992"/>
    <x v="0"/>
    <n v="94"/>
    <n v="6.7"/>
    <x v="6"/>
    <n v="0.62"/>
    <n v="32559"/>
  </r>
  <r>
    <s v="Husbands And Wives"/>
    <n v="1992"/>
    <x v="0"/>
    <n v="108"/>
    <n v="7.5"/>
    <x v="6"/>
    <n v="10.56"/>
    <n v="30652"/>
  </r>
  <r>
    <s v="Red Rock West"/>
    <n v="1993"/>
    <x v="0"/>
    <n v="98"/>
    <n v="7"/>
    <x v="6"/>
    <n v="2.5"/>
    <n v="24358"/>
  </r>
  <r>
    <s v="Batman: Mask Of The Phantasm"/>
    <n v="1993"/>
    <x v="0"/>
    <n v="76"/>
    <n v="7.8"/>
    <x v="6"/>
    <n v="5.62"/>
    <n v="55254"/>
  </r>
  <r>
    <s v="Needful Things"/>
    <n v="1993"/>
    <x v="0"/>
    <n v="121"/>
    <n v="6.2"/>
    <x v="6"/>
    <n v="15.19"/>
    <n v="26946"/>
  </r>
  <r>
    <s v="Fire In The Sky"/>
    <n v="1993"/>
    <x v="1"/>
    <n v="109"/>
    <n v="6.5"/>
    <x v="6"/>
    <n v="20.100000000000001"/>
    <n v="27601"/>
  </r>
  <r>
    <s v="Sonja Henie: Queen Of The Ice"/>
    <n v="1995"/>
    <x v="0"/>
    <n v="53"/>
    <n v="7.3"/>
    <x v="6"/>
    <n v="2.46"/>
    <n v="39"/>
  </r>
  <r>
    <s v="Clockers"/>
    <n v="1995"/>
    <x v="2"/>
    <n v="128"/>
    <n v="6.9"/>
    <x v="6"/>
    <n v="13.04"/>
    <n v="23199"/>
  </r>
  <r>
    <s v="Ghost In The Shell"/>
    <n v="1995"/>
    <x v="0"/>
    <n v="83"/>
    <n v="7.9"/>
    <x v="6"/>
    <n v="0.52"/>
    <n v="152571"/>
  </r>
  <r>
    <s v="Irma Vep"/>
    <n v="1996"/>
    <x v="0"/>
    <n v="99"/>
    <n v="7"/>
    <x v="6"/>
    <n v="0.19"/>
    <n v="9344"/>
  </r>
  <r>
    <s v="Bottle Rocket"/>
    <n v="1996"/>
    <x v="0"/>
    <n v="91"/>
    <n v="6.9"/>
    <x v="6"/>
    <n v="0.56000000000000005"/>
    <n v="82258"/>
  </r>
  <r>
    <s v="Home Alone 3"/>
    <n v="1997"/>
    <x v="0"/>
    <n v="102"/>
    <n v="4.5999999999999996"/>
    <x v="6"/>
    <n v="2.46"/>
    <m/>
  </r>
  <r>
    <s v="The Faculty"/>
    <n v="1998"/>
    <x v="0"/>
    <n v="104"/>
    <n v="6.6"/>
    <x v="6"/>
    <n v="40.06"/>
    <n v="132575"/>
  </r>
  <r>
    <s v="Set Me Free"/>
    <n v="1999"/>
    <x v="0"/>
    <n v="94"/>
    <n v="6.9"/>
    <x v="6"/>
    <n v="7.0000000000000007E-2"/>
    <n v="1060"/>
  </r>
  <r>
    <s v="Miss Julie"/>
    <n v="1999"/>
    <x v="0"/>
    <n v="103"/>
    <n v="6.2"/>
    <x v="6"/>
    <n v="0.01"/>
    <n v="1612"/>
  </r>
  <r>
    <s v="Music Of The Heart"/>
    <n v="1999"/>
    <x v="0"/>
    <n v="124"/>
    <n v="6.8"/>
    <x v="6"/>
    <n v="14.86"/>
    <n v="13191"/>
  </r>
  <r>
    <s v="Jakob The Liar"/>
    <n v="1999"/>
    <x v="2"/>
    <n v="120"/>
    <n v="6.5"/>
    <x v="6"/>
    <n v="4.96"/>
    <n v="17840"/>
  </r>
  <r>
    <s v="Harry, He'S Here To Help"/>
    <n v="2000"/>
    <x v="1"/>
    <n v="117"/>
    <n v="7.1"/>
    <x v="7"/>
    <n v="3.82"/>
    <n v="11819"/>
  </r>
  <r>
    <s v="The Dish"/>
    <n v="2000"/>
    <x v="0"/>
    <n v="101"/>
    <n v="7.2"/>
    <x v="7"/>
    <n v="2.25"/>
    <n v="16902"/>
  </r>
  <r>
    <s v="Dancing At The Blue Iguana"/>
    <n v="2000"/>
    <x v="0"/>
    <n v="123"/>
    <n v="5.7"/>
    <x v="7"/>
    <n v="0.03"/>
    <n v="4089"/>
  </r>
  <r>
    <s v="El Bola"/>
    <n v="2000"/>
    <x v="0"/>
    <n v="88"/>
    <n v="7.3"/>
    <x v="7"/>
    <n v="2.46"/>
    <n v="6832"/>
  </r>
  <r>
    <s v="Passion Of Mind"/>
    <n v="2000"/>
    <x v="0"/>
    <n v="105"/>
    <n v="5.5"/>
    <x v="7"/>
    <n v="0.77"/>
    <n v="3544"/>
  </r>
  <r>
    <s v="In July"/>
    <n v="2000"/>
    <x v="0"/>
    <n v="99"/>
    <n v="7.6"/>
    <x v="7"/>
    <n v="2.46"/>
    <n v="22663"/>
  </r>
  <r>
    <s v="Beyond Suspicion"/>
    <n v="2000"/>
    <x v="0"/>
    <n v="109"/>
    <n v="6.3"/>
    <x v="7"/>
    <n v="2.46"/>
    <n v="1714"/>
  </r>
  <r>
    <s v="Chaos"/>
    <n v="2001"/>
    <x v="0"/>
    <n v="109"/>
    <n v="7"/>
    <x v="7"/>
    <n v="0.21"/>
    <n v="2461"/>
  </r>
  <r>
    <s v="Tape"/>
    <n v="2001"/>
    <x v="2"/>
    <n v="86"/>
    <n v="7.2"/>
    <x v="7"/>
    <n v="0.49"/>
    <n v="20894"/>
  </r>
  <r>
    <s v="Joe Dirt"/>
    <n v="2001"/>
    <x v="0"/>
    <n v="91"/>
    <n v="6"/>
    <x v="7"/>
    <n v="27.09"/>
    <n v="60008"/>
  </r>
  <r>
    <s v="Ichi The Killer"/>
    <n v="2001"/>
    <x v="1"/>
    <n v="120"/>
    <n v="7"/>
    <x v="7"/>
    <n v="0.02"/>
    <n v="59079"/>
  </r>
  <r>
    <s v="All About Lily Chou-Chou"/>
    <n v="2001"/>
    <x v="1"/>
    <n v="146"/>
    <n v="7.5"/>
    <x v="7"/>
    <n v="0.02"/>
    <n v="10569"/>
  </r>
  <r>
    <s v="Chelsea Walls"/>
    <n v="2001"/>
    <x v="0"/>
    <n v="109"/>
    <n v="4.8"/>
    <x v="7"/>
    <n v="0.06"/>
    <n v="2206"/>
  </r>
  <r>
    <s v="Josie And The Pussycats"/>
    <n v="2001"/>
    <x v="0"/>
    <n v="98"/>
    <n v="5.6"/>
    <x v="7"/>
    <n v="14.25"/>
    <n v="24389"/>
  </r>
  <r>
    <s v="Circuit"/>
    <n v="2001"/>
    <x v="0"/>
    <n v="130"/>
    <n v="5.6"/>
    <x v="7"/>
    <n v="0.24"/>
    <n v="1169"/>
  </r>
  <r>
    <s v="Time Out"/>
    <n v="2001"/>
    <x v="2"/>
    <n v="134"/>
    <n v="7.3"/>
    <x v="7"/>
    <n v="0.45"/>
    <n v="4934"/>
  </r>
  <r>
    <s v="Son Of The Bride"/>
    <n v="2001"/>
    <x v="2"/>
    <n v="123"/>
    <n v="7.8"/>
    <x v="7"/>
    <n v="0.62"/>
    <n v="16271"/>
  </r>
  <r>
    <s v="Millennium Actress"/>
    <n v="2001"/>
    <x v="0"/>
    <n v="87"/>
    <n v="7.8"/>
    <x v="7"/>
    <n v="0.19"/>
    <n v="30865"/>
  </r>
  <r>
    <s v="Gerry"/>
    <n v="2002"/>
    <x v="0"/>
    <n v="103"/>
    <n v="6"/>
    <x v="7"/>
    <n v="0.24"/>
    <n v="19499"/>
  </r>
  <r>
    <s v="Blue Gate Crossing"/>
    <n v="2002"/>
    <x v="0"/>
    <n v="85"/>
    <n v="7.4"/>
    <x v="7"/>
    <n v="2.46"/>
    <n v="4271"/>
  </r>
  <r>
    <s v="The Guru"/>
    <n v="2002"/>
    <x v="0"/>
    <n v="94"/>
    <n v="5.4"/>
    <x v="7"/>
    <n v="3.03"/>
    <n v="15439"/>
  </r>
  <r>
    <s v="Better Luck Tomorrow"/>
    <n v="2002"/>
    <x v="1"/>
    <n v="101"/>
    <n v="7"/>
    <x v="7"/>
    <n v="3.8"/>
    <n v="10373"/>
  </r>
  <r>
    <s v="Love Liza"/>
    <n v="2002"/>
    <x v="2"/>
    <n v="90"/>
    <n v="6.9"/>
    <x v="7"/>
    <n v="0.21"/>
    <n v="8442"/>
  </r>
  <r>
    <s v="Tuck Everlasting"/>
    <n v="2002"/>
    <x v="0"/>
    <n v="90"/>
    <n v="6.6"/>
    <x v="7"/>
    <n v="19.16"/>
    <n v="25023"/>
  </r>
  <r>
    <s v="Wilbur Wants To Kill Himself"/>
    <n v="2002"/>
    <x v="0"/>
    <n v="111"/>
    <n v="6.8"/>
    <x v="7"/>
    <n v="0.23"/>
    <n v="8017"/>
  </r>
  <r>
    <s v="Yves Saint Laurent: 5 Avenue Marceau 75116 Paris"/>
    <n v="2002"/>
    <x v="0"/>
    <n v="85"/>
    <n v="5.8"/>
    <x v="7"/>
    <n v="2.46"/>
    <n v="77"/>
  </r>
  <r>
    <s v="Lost In La Mancha"/>
    <n v="2002"/>
    <x v="0"/>
    <n v="93"/>
    <n v="7.3"/>
    <x v="7"/>
    <n v="0.73"/>
    <n v="11926"/>
  </r>
  <r>
    <s v="The Rules Of Attraction"/>
    <n v="2002"/>
    <x v="0"/>
    <n v="110"/>
    <n v="6.6"/>
    <x v="7"/>
    <n v="6.53"/>
    <n v="52870"/>
  </r>
  <r>
    <s v="Blissfully Yours"/>
    <n v="2002"/>
    <x v="0"/>
    <n v="125"/>
    <n v="6.9"/>
    <x v="7"/>
    <n v="2.46"/>
    <n v="2654"/>
  </r>
  <r>
    <s v="Death To Smoochy"/>
    <n v="2002"/>
    <x v="0"/>
    <n v="109"/>
    <n v="6.3"/>
    <x v="7"/>
    <n v="8.36"/>
    <n v="42091"/>
  </r>
  <r>
    <s v="It'S All About Love"/>
    <n v="2003"/>
    <x v="0"/>
    <n v="104"/>
    <n v="5.3"/>
    <x v="7"/>
    <n v="0.01"/>
    <n v="9765"/>
  </r>
  <r>
    <s v="Oldboy"/>
    <n v="2003"/>
    <x v="0"/>
    <n v="120"/>
    <n v="8.4"/>
    <x v="7"/>
    <n v="0.71"/>
    <n v="616490"/>
  </r>
  <r>
    <s v="Reconstruction"/>
    <n v="2003"/>
    <x v="0"/>
    <n v="92"/>
    <n v="7.3"/>
    <x v="7"/>
    <n v="7.0000000000000007E-2"/>
    <n v="7570"/>
  </r>
  <r>
    <s v="The Singing Detective"/>
    <n v="2003"/>
    <x v="0"/>
    <n v="109"/>
    <n v="5.4"/>
    <x v="7"/>
    <n v="0.34"/>
    <n v="8869"/>
  </r>
  <r>
    <s v="Kal Ho Naa Ho"/>
    <n v="2003"/>
    <x v="0"/>
    <n v="186"/>
    <n v="7.9"/>
    <x v="7"/>
    <n v="1.79"/>
    <n v="73502"/>
  </r>
  <r>
    <s v="Young Adam"/>
    <n v="2003"/>
    <x v="1"/>
    <n v="98"/>
    <n v="6.4"/>
    <x v="7"/>
    <n v="0.77"/>
    <n v="14509"/>
  </r>
  <r>
    <s v="Uptown Girls"/>
    <n v="2003"/>
    <x v="0"/>
    <n v="92"/>
    <n v="6.2"/>
    <x v="7"/>
    <n v="36.92"/>
    <n v="41751"/>
  </r>
  <r>
    <s v="The Raspberry Reich"/>
    <n v="2004"/>
    <x v="2"/>
    <n v="90"/>
    <n v="5.0999999999999996"/>
    <x v="7"/>
    <n v="2.46"/>
    <n v="1736"/>
  </r>
  <r>
    <s v="Mean Creek"/>
    <n v="2004"/>
    <x v="0"/>
    <n v="90"/>
    <n v="7.1"/>
    <x v="7"/>
    <n v="0.6"/>
    <n v="33096"/>
  </r>
  <r>
    <s v="Melinda And Melinda"/>
    <n v="2004"/>
    <x v="0"/>
    <n v="99"/>
    <n v="6.4"/>
    <x v="7"/>
    <n v="3.83"/>
    <n v="32979"/>
  </r>
  <r>
    <s v="Ghost In The Shell 2: Innocence"/>
    <n v="2004"/>
    <x v="0"/>
    <n v="100"/>
    <n v="7.4"/>
    <x v="7"/>
    <n v="1.04"/>
    <n v="39816"/>
  </r>
  <r>
    <s v="The Taste Of Tea"/>
    <n v="2004"/>
    <x v="0"/>
    <n v="143"/>
    <n v="7.6"/>
    <x v="7"/>
    <n v="2.46"/>
    <n v="7046"/>
  </r>
  <r>
    <s v="Nobody Knows"/>
    <n v="2004"/>
    <x v="0"/>
    <n v="141"/>
    <n v="8"/>
    <x v="7"/>
    <n v="0.68"/>
    <n v="30306"/>
  </r>
  <r>
    <s v="The Aryan Couple"/>
    <n v="2004"/>
    <x v="0"/>
    <n v="120"/>
    <n v="6.4"/>
    <x v="7"/>
    <n v="2.46"/>
    <n v="1251"/>
  </r>
  <r>
    <s v="Pusher Ii"/>
    <n v="2004"/>
    <x v="0"/>
    <n v="100"/>
    <n v="7.3"/>
    <x v="7"/>
    <n v="2.46"/>
    <n v="24248"/>
  </r>
  <r>
    <s v="The Chumscrubber"/>
    <n v="2005"/>
    <x v="0"/>
    <n v="108"/>
    <n v="6.9"/>
    <x v="7"/>
    <n v="0.05"/>
    <n v="18998"/>
  </r>
  <r>
    <s v="Lords Of Dogtown"/>
    <n v="2005"/>
    <x v="0"/>
    <n v="107"/>
    <n v="7.1"/>
    <x v="7"/>
    <n v="11.01"/>
    <n v="57321"/>
  </r>
  <r>
    <s v="Down In The Valley"/>
    <n v="2005"/>
    <x v="2"/>
    <n v="108"/>
    <n v="6.4"/>
    <x v="7"/>
    <n v="0.56999999999999995"/>
    <n v="18833"/>
  </r>
  <r>
    <s v="Sorry, Haters"/>
    <n v="2005"/>
    <x v="0"/>
    <n v="83"/>
    <n v="6.2"/>
    <x v="7"/>
    <n v="0.01"/>
    <n v="1528"/>
  </r>
  <r>
    <s v="Jarhead"/>
    <n v="2005"/>
    <x v="0"/>
    <n v="125"/>
    <n v="7"/>
    <x v="7"/>
    <n v="62.66"/>
    <n v="202178"/>
  </r>
  <r>
    <s v="The Great Raid"/>
    <n v="2005"/>
    <x v="0"/>
    <n v="132"/>
    <n v="6.6"/>
    <x v="7"/>
    <n v="10.17"/>
    <n v="23792"/>
  </r>
  <r>
    <s v="End Of The Spear"/>
    <n v="2005"/>
    <x v="0"/>
    <n v="108"/>
    <n v="6.7"/>
    <x v="7"/>
    <n v="11.97"/>
    <n v="5431"/>
  </r>
  <r>
    <s v="Doom"/>
    <n v="2005"/>
    <x v="0"/>
    <n v="105"/>
    <n v="5.2"/>
    <x v="7"/>
    <n v="28.21"/>
    <n v="117525"/>
  </r>
  <r>
    <s v="The Big White"/>
    <n v="2005"/>
    <x v="0"/>
    <n v="100"/>
    <n v="6.3"/>
    <x v="7"/>
    <n v="2.46"/>
    <n v="14991"/>
  </r>
  <r>
    <s v="Stoned"/>
    <n v="2005"/>
    <x v="0"/>
    <n v="102"/>
    <n v="5.7"/>
    <x v="7"/>
    <n v="2.46"/>
    <n v="4132"/>
  </r>
  <r>
    <s v="The Host"/>
    <n v="2006"/>
    <x v="2"/>
    <n v="120"/>
    <n v="7.1"/>
    <x v="7"/>
    <n v="2.2000000000000002"/>
    <n v="129964"/>
  </r>
  <r>
    <s v="In Memory Of Me"/>
    <n v="2006"/>
    <x v="1"/>
    <n v="22"/>
    <n v="8.1999999999999993"/>
    <x v="7"/>
    <n v="2.46"/>
    <n v="71"/>
  </r>
  <r>
    <s v="Mini'S First Time"/>
    <n v="2006"/>
    <x v="0"/>
    <n v="91"/>
    <n v="5.8"/>
    <x v="7"/>
    <n v="0.05"/>
    <n v="8570"/>
  </r>
  <r>
    <s v="The Elephant King"/>
    <n v="2006"/>
    <x v="0"/>
    <n v="92"/>
    <n v="6.2"/>
    <x v="7"/>
    <n v="0.02"/>
    <n v="550"/>
  </r>
  <r>
    <s v="Psychopathia Sexualis"/>
    <n v="2006"/>
    <x v="0"/>
    <n v="102"/>
    <n v="3.7"/>
    <x v="7"/>
    <n v="0"/>
    <n v="537"/>
  </r>
  <r>
    <s v="Kettle Of Fish"/>
    <n v="2006"/>
    <x v="0"/>
    <n v="97"/>
    <n v="5.2"/>
    <x v="7"/>
    <n v="2.46"/>
    <n v="723"/>
  </r>
  <r>
    <s v="The Ultimate Gift"/>
    <n v="2006"/>
    <x v="0"/>
    <n v="118"/>
    <n v="7.3"/>
    <x v="7"/>
    <n v="3.44"/>
    <n v="20031"/>
  </r>
  <r>
    <s v="London To Brighton"/>
    <n v="2006"/>
    <x v="0"/>
    <n v="85"/>
    <n v="6.9"/>
    <x v="7"/>
    <n v="2.46"/>
    <n v="8685"/>
  </r>
  <r>
    <s v="Barnyard"/>
    <n v="2006"/>
    <x v="0"/>
    <n v="90"/>
    <n v="5.6"/>
    <x v="7"/>
    <n v="72.78"/>
    <n v="33598"/>
  </r>
  <r>
    <s v="Flicka"/>
    <n v="2006"/>
    <x v="0"/>
    <n v="95"/>
    <n v="6"/>
    <x v="7"/>
    <n v="21"/>
    <n v="8385"/>
  </r>
  <r>
    <s v="The Road To Guantanamo"/>
    <n v="2006"/>
    <x v="0"/>
    <n v="95"/>
    <n v="7.4"/>
    <x v="7"/>
    <n v="0.32"/>
    <n v="11440"/>
  </r>
  <r>
    <s v="Over The Hedge"/>
    <n v="2006"/>
    <x v="2"/>
    <n v="83"/>
    <n v="6.7"/>
    <x v="7"/>
    <n v="155.02000000000001"/>
    <n v="186231"/>
  </r>
  <r>
    <s v="One Two Another"/>
    <n v="2006"/>
    <x v="0"/>
    <n v="95"/>
    <n v="5.8"/>
    <x v="7"/>
    <n v="0.02"/>
    <n v="1377"/>
  </r>
  <r>
    <s v="The Namesake"/>
    <n v="2006"/>
    <x v="0"/>
    <n v="122"/>
    <n v="7.5"/>
    <x v="7"/>
    <n v="8.66"/>
    <n v="21478"/>
  </r>
  <r>
    <s v="Reprise"/>
    <n v="2006"/>
    <x v="0"/>
    <n v="105"/>
    <n v="7.3"/>
    <x v="7"/>
    <n v="0.55000000000000004"/>
    <n v="14848"/>
  </r>
  <r>
    <s v="Starter For 10"/>
    <n v="2006"/>
    <x v="0"/>
    <n v="92"/>
    <n v="6.7"/>
    <x v="7"/>
    <n v="0.21"/>
    <n v="24749"/>
  </r>
  <r>
    <s v="The Girl Who Leapt Through Time"/>
    <n v="2006"/>
    <x v="0"/>
    <n v="98"/>
    <n v="7.7"/>
    <x v="7"/>
    <n v="2.46"/>
    <n v="69606"/>
  </r>
  <r>
    <s v="Resurrecting The Champ"/>
    <n v="2007"/>
    <x v="0"/>
    <n v="112"/>
    <n v="6.7"/>
    <x v="7"/>
    <n v="3.17"/>
    <n v="21178"/>
  </r>
  <r>
    <s v="Music Within"/>
    <n v="2007"/>
    <x v="1"/>
    <n v="94"/>
    <n v="7.2"/>
    <x v="7"/>
    <n v="0.15"/>
    <n v="5960"/>
  </r>
  <r>
    <s v="Elite Squad"/>
    <n v="2007"/>
    <x v="1"/>
    <n v="115"/>
    <n v="8"/>
    <x v="7"/>
    <n v="0.01"/>
    <n v="108337"/>
  </r>
  <r>
    <s v="The Beautiful Ordinary"/>
    <n v="2007"/>
    <x v="0"/>
    <n v="101"/>
    <n v="5.7"/>
    <x v="7"/>
    <n v="2.46"/>
    <n v="3816"/>
  </r>
  <r>
    <s v="Alvin And The Chipmunks"/>
    <n v="2007"/>
    <x v="0"/>
    <n v="92"/>
    <n v="5.2"/>
    <x v="7"/>
    <n v="217.33"/>
    <n v="92449"/>
  </r>
  <r>
    <s v="Stuck"/>
    <n v="2007"/>
    <x v="0"/>
    <n v="85"/>
    <n v="6.5"/>
    <x v="7"/>
    <n v="7.0000000000000007E-2"/>
    <n v="10175"/>
  </r>
  <r>
    <s v="Billy The Kid"/>
    <n v="2007"/>
    <x v="0"/>
    <n v="85"/>
    <n v="7.3"/>
    <x v="7"/>
    <n v="2.46"/>
    <n v="594"/>
  </r>
  <r>
    <s v="Fugitive Pieces"/>
    <n v="2007"/>
    <x v="0"/>
    <n v="104"/>
    <n v="6.9"/>
    <x v="7"/>
    <n v="0.63"/>
    <n v="2671"/>
  </r>
  <r>
    <s v="In Search Of A Midnight Kiss"/>
    <n v="2007"/>
    <x v="0"/>
    <n v="90"/>
    <n v="7.2"/>
    <x v="7"/>
    <n v="0.17"/>
    <n v="8342"/>
  </r>
  <r>
    <s v="Shotgun Stories"/>
    <n v="2007"/>
    <x v="2"/>
    <n v="92"/>
    <n v="7.1"/>
    <x v="7"/>
    <n v="0.05"/>
    <n v="11089"/>
  </r>
  <r>
    <s v="The Last Mistress"/>
    <n v="2007"/>
    <x v="0"/>
    <n v="115"/>
    <n v="6.2"/>
    <x v="7"/>
    <n v="0.79"/>
    <n v="3717"/>
  </r>
  <r>
    <s v="City Of Men"/>
    <n v="2007"/>
    <x v="0"/>
    <n v="106"/>
    <n v="7.2"/>
    <x v="7"/>
    <n v="0.31"/>
    <n v="16141"/>
  </r>
  <r>
    <s v="Blood &amp; Chocolate"/>
    <n v="2007"/>
    <x v="1"/>
    <n v="98"/>
    <n v="5.3"/>
    <x v="7"/>
    <n v="3.53"/>
    <n v="18162"/>
  </r>
  <r>
    <s v="Chris &amp; Don: A Love Story"/>
    <n v="2007"/>
    <x v="0"/>
    <n v="90"/>
    <n v="7.8"/>
    <x v="7"/>
    <n v="0.21"/>
    <n v="973"/>
  </r>
  <r>
    <s v="The Mist"/>
    <n v="2007"/>
    <x v="0"/>
    <n v="126"/>
    <n v="7.1"/>
    <x v="7"/>
    <n v="25.59"/>
    <n v="331703"/>
  </r>
  <r>
    <s v="The Last Enemy"/>
    <n v="2008"/>
    <x v="1"/>
    <n v="60"/>
    <n v="7"/>
    <x v="7"/>
    <n v="2.46"/>
    <n v="2642"/>
  </r>
  <r>
    <s v="Clubbed"/>
    <n v="2008"/>
    <x v="1"/>
    <n v="95"/>
    <n v="6.7"/>
    <x v="7"/>
    <n v="2.46"/>
    <n v="3728"/>
  </r>
  <r>
    <s v="Passengers"/>
    <n v="2008"/>
    <x v="0"/>
    <n v="93"/>
    <n v="5.8"/>
    <x v="7"/>
    <n v="0.27"/>
    <n v="38738"/>
  </r>
  <r>
    <s v="Examined Life"/>
    <n v="2008"/>
    <x v="1"/>
    <n v="87"/>
    <n v="7"/>
    <x v="7"/>
    <n v="0.12"/>
    <n v="1813"/>
  </r>
  <r>
    <s v="Before Tomorrow"/>
    <n v="2008"/>
    <x v="2"/>
    <n v="93"/>
    <n v="6.8"/>
    <x v="7"/>
    <n v="2.46"/>
    <n v="200"/>
  </r>
  <r>
    <s v="Teza"/>
    <n v="2008"/>
    <x v="1"/>
    <n v="140"/>
    <n v="7.1"/>
    <x v="7"/>
    <n v="2.46"/>
    <n v="608"/>
  </r>
  <r>
    <s v="North Face"/>
    <n v="2008"/>
    <x v="0"/>
    <n v="126"/>
    <n v="7.4"/>
    <x v="7"/>
    <n v="0.71"/>
    <n v="16243"/>
  </r>
  <r>
    <s v="Lake Tahoe"/>
    <n v="2008"/>
    <x v="0"/>
    <n v="89"/>
    <n v="6.6"/>
    <x v="7"/>
    <n v="0.01"/>
    <n v="1751"/>
  </r>
  <r>
    <s v="Dear Zachary: A Letter To A Son About His Father"/>
    <n v="2008"/>
    <x v="1"/>
    <n v="95"/>
    <n v="8.5"/>
    <x v="7"/>
    <n v="0.02"/>
    <n v="39598"/>
  </r>
  <r>
    <s v="Hellboy Ii: The Golden Army"/>
    <n v="2008"/>
    <x v="0"/>
    <n v="120"/>
    <n v="7"/>
    <x v="7"/>
    <n v="75.75"/>
    <n v="282314"/>
  </r>
  <r>
    <s v="Downloading Nancy"/>
    <n v="2008"/>
    <x v="0"/>
    <n v="102"/>
    <n v="5.7"/>
    <x v="7"/>
    <n v="0.02"/>
    <n v="3042"/>
  </r>
  <r>
    <s v="The Tale Of Despereaux"/>
    <n v="2008"/>
    <x v="0"/>
    <n v="93"/>
    <n v="6.1"/>
    <x v="7"/>
    <n v="50.88"/>
    <n v="39503"/>
  </r>
  <r>
    <s v="The Wrecking Crew!"/>
    <n v="2008"/>
    <x v="0"/>
    <n v="101"/>
    <n v="7.7"/>
    <x v="7"/>
    <n v="0.8"/>
    <n v="3531"/>
  </r>
  <r>
    <s v="Red"/>
    <n v="2008"/>
    <x v="2"/>
    <n v="93"/>
    <n v="6.9"/>
    <x v="7"/>
    <n v="0"/>
    <n v="12486"/>
  </r>
  <r>
    <s v="Lourdes"/>
    <n v="2009"/>
    <x v="0"/>
    <n v="96"/>
    <n v="6.9"/>
    <x v="7"/>
    <n v="0.01"/>
    <n v="3660"/>
  </r>
  <r>
    <s v="The Eclipse"/>
    <n v="2009"/>
    <x v="0"/>
    <n v="88"/>
    <n v="6"/>
    <x v="7"/>
    <n v="0.13"/>
    <n v="3083"/>
  </r>
  <r>
    <s v="The September Issue"/>
    <n v="2009"/>
    <x v="1"/>
    <n v="90"/>
    <n v="7"/>
    <x v="7"/>
    <n v="3.82"/>
    <n v="7932"/>
  </r>
  <r>
    <s v="Away We Go"/>
    <n v="2009"/>
    <x v="0"/>
    <n v="98"/>
    <n v="7"/>
    <x v="7"/>
    <n v="9.4499999999999993"/>
    <n v="54760"/>
  </r>
  <r>
    <s v="He'S Just Not That Into You"/>
    <n v="2009"/>
    <x v="0"/>
    <n v="129"/>
    <n v="6.4"/>
    <x v="7"/>
    <n v="93.95"/>
    <n v="180043"/>
  </r>
  <r>
    <s v="Mercy"/>
    <n v="2009"/>
    <x v="0"/>
    <n v="87"/>
    <n v="5.9"/>
    <x v="7"/>
    <n v="0.01"/>
    <n v="1343"/>
  </r>
  <r>
    <s v="Gentlemen Broncos"/>
    <n v="2009"/>
    <x v="2"/>
    <n v="89"/>
    <n v="6.1"/>
    <x v="7"/>
    <n v="0.11"/>
    <n v="12143"/>
  </r>
  <r>
    <s v="Alvin And The Chipmunks: The Squeakquel"/>
    <n v="2009"/>
    <x v="0"/>
    <n v="88"/>
    <n v="4.5"/>
    <x v="7"/>
    <n v="219.61"/>
    <n v="53055"/>
  </r>
  <r>
    <s v="The Winning Season"/>
    <n v="2009"/>
    <x v="0"/>
    <n v="119"/>
    <n v="6.6"/>
    <x v="7"/>
    <n v="2.46"/>
    <n v="7019"/>
  </r>
  <r>
    <s v="The Time That Remains"/>
    <n v="2009"/>
    <x v="0"/>
    <n v="109"/>
    <n v="7"/>
    <x v="7"/>
    <n v="0.02"/>
    <n v="2652"/>
  </r>
  <r>
    <s v="Letters To Father Jacob"/>
    <n v="2009"/>
    <x v="0"/>
    <n v="74"/>
    <n v="7.3"/>
    <x v="7"/>
    <n v="2.46"/>
    <n v="2455"/>
  </r>
  <r>
    <s v="Formosa Betrayed"/>
    <n v="2009"/>
    <x v="2"/>
    <n v="103"/>
    <n v="6.1"/>
    <x v="7"/>
    <n v="0.23"/>
    <n v="1496"/>
  </r>
  <r>
    <s v="About Elly"/>
    <n v="2009"/>
    <x v="0"/>
    <n v="119"/>
    <n v="7.9"/>
    <x v="7"/>
    <n v="0.11"/>
    <n v="56198"/>
  </r>
  <r>
    <s v="Garbo: El Espã­A"/>
    <n v="2009"/>
    <x v="0"/>
    <n v="88"/>
    <n v="7.2"/>
    <x v="7"/>
    <n v="0.03"/>
    <n v="643"/>
  </r>
  <r>
    <s v="When You'Re Strange"/>
    <n v="2009"/>
    <x v="0"/>
    <n v="86"/>
    <n v="7.6"/>
    <x v="7"/>
    <n v="0.24"/>
    <n v="10165"/>
  </r>
  <r>
    <s v="One Hundred Mornings"/>
    <n v="2009"/>
    <x v="2"/>
    <n v="85"/>
    <n v="5.8"/>
    <x v="7"/>
    <n v="2.46"/>
    <n v="508"/>
  </r>
  <r>
    <s v="Mademoiselle Chambon"/>
    <n v="2009"/>
    <x v="0"/>
    <n v="101"/>
    <n v="6.9"/>
    <x v="7"/>
    <n v="0.53"/>
    <n v="3018"/>
  </r>
  <r>
    <s v="Picture Me: A Model'S Diary"/>
    <n v="2009"/>
    <x v="0"/>
    <n v="82"/>
    <n v="6.2"/>
    <x v="7"/>
    <n v="0.01"/>
    <n v="549"/>
  </r>
  <r>
    <s v="Snabba Cash"/>
    <n v="2010"/>
    <x v="0"/>
    <n v="124"/>
    <n v="6.7"/>
    <x v="8"/>
    <n v="0.19"/>
    <n v="19462"/>
  </r>
  <r>
    <s v="Happy Few"/>
    <n v="2010"/>
    <x v="0"/>
    <n v="103"/>
    <n v="5.6"/>
    <x v="8"/>
    <n v="2.46"/>
    <n v="1975"/>
  </r>
  <r>
    <s v="Elite Squad 2: The Enemy Within"/>
    <n v="2010"/>
    <x v="1"/>
    <n v="115"/>
    <n v="8"/>
    <x v="8"/>
    <n v="0.1"/>
    <n v="85683"/>
  </r>
  <r>
    <s v="Oranges And Sunshine"/>
    <n v="2010"/>
    <x v="0"/>
    <n v="105"/>
    <n v="7.1"/>
    <x v="8"/>
    <n v="2.46"/>
    <n v="5835"/>
  </r>
  <r>
    <s v="The Assault"/>
    <n v="2010"/>
    <x v="0"/>
    <n v="91"/>
    <n v="6.1"/>
    <x v="8"/>
    <n v="2.46"/>
    <n v="4065"/>
  </r>
  <r>
    <s v="Burke And Hare"/>
    <n v="2010"/>
    <x v="0"/>
    <n v="91"/>
    <n v="6.1"/>
    <x v="8"/>
    <n v="0"/>
    <n v="21142"/>
  </r>
  <r>
    <s v="Tiny Furniture"/>
    <n v="2010"/>
    <x v="0"/>
    <n v="98"/>
    <n v="6.2"/>
    <x v="8"/>
    <n v="0.39"/>
    <n v="14756"/>
  </r>
  <r>
    <s v="Beautiful Boy"/>
    <n v="2010"/>
    <x v="0"/>
    <n v="100"/>
    <n v="6.6"/>
    <x v="8"/>
    <n v="0.08"/>
    <n v="6883"/>
  </r>
  <r>
    <s v="The Strange Case Of Angelica"/>
    <n v="2010"/>
    <x v="2"/>
    <n v="97"/>
    <n v="6.3"/>
    <x v="8"/>
    <n v="0.05"/>
    <n v="2099"/>
  </r>
  <r>
    <s v="The First Grader"/>
    <n v="2010"/>
    <x v="0"/>
    <n v="103"/>
    <n v="7.4"/>
    <x v="8"/>
    <n v="0.33"/>
    <n v="4859"/>
  </r>
  <r>
    <s v="Boy"/>
    <n v="2010"/>
    <x v="0"/>
    <n v="87"/>
    <n v="7.5"/>
    <x v="8"/>
    <n v="0.26"/>
    <n v="28688"/>
  </r>
  <r>
    <s v="The Tree"/>
    <n v="2010"/>
    <x v="0"/>
    <n v="100"/>
    <n v="6.5"/>
    <x v="8"/>
    <n v="7.0000000000000007E-2"/>
    <n v="4665"/>
  </r>
  <r>
    <s v="Jean-Michel Basquiat: The Radiant Child"/>
    <n v="2010"/>
    <x v="1"/>
    <n v="88"/>
    <n v="7.7"/>
    <x v="8"/>
    <n v="0.26"/>
    <n v="2449"/>
  </r>
  <r>
    <s v="Aurora"/>
    <n v="2010"/>
    <x v="1"/>
    <n v="181"/>
    <n v="6.5"/>
    <x v="8"/>
    <n v="2.46"/>
    <n v="2047"/>
  </r>
  <r>
    <s v="The Silence"/>
    <n v="2010"/>
    <x v="2"/>
    <n v="118"/>
    <n v="7"/>
    <x v="8"/>
    <n v="0.1"/>
    <n v="7905"/>
  </r>
  <r>
    <s v="Radio Free Albemuth"/>
    <n v="2010"/>
    <x v="2"/>
    <n v="111"/>
    <n v="5.6"/>
    <x v="8"/>
    <n v="0.01"/>
    <n v="1869"/>
  </r>
  <r>
    <s v="Exit Through The Gift Shop"/>
    <n v="2010"/>
    <x v="0"/>
    <n v="87"/>
    <n v="7.9"/>
    <x v="8"/>
    <n v="3.29"/>
    <n v="68143"/>
  </r>
  <r>
    <s v="The Women On The 6Th Floor"/>
    <n v="2010"/>
    <x v="0"/>
    <n v="102"/>
    <n v="7.1"/>
    <x v="8"/>
    <n v="0.72"/>
    <n v="10623"/>
  </r>
  <r>
    <s v="Klown"/>
    <n v="2010"/>
    <x v="1"/>
    <n v="93"/>
    <n v="7.1"/>
    <x v="8"/>
    <n v="7.0000000000000007E-2"/>
    <n v="11491"/>
  </r>
  <r>
    <s v="Virginia"/>
    <n v="2010"/>
    <x v="0"/>
    <n v="111"/>
    <n v="5.4"/>
    <x v="8"/>
    <n v="0.01"/>
    <n v="2337"/>
  </r>
  <r>
    <s v="His Way"/>
    <n v="2011"/>
    <x v="0"/>
    <n v="87"/>
    <n v="6.8"/>
    <x v="8"/>
    <n v="2.46"/>
    <n v="432"/>
  </r>
  <r>
    <s v="Turn Me On, Dammit!"/>
    <n v="2011"/>
    <x v="0"/>
    <n v="76"/>
    <n v="6.3"/>
    <x v="8"/>
    <n v="0.12"/>
    <n v="9628"/>
  </r>
  <r>
    <s v="Outside Satan"/>
    <n v="2011"/>
    <x v="0"/>
    <n v="110"/>
    <n v="6.4"/>
    <x v="8"/>
    <n v="2.46"/>
    <n v="2066"/>
  </r>
  <r>
    <s v="Breathing"/>
    <n v="2011"/>
    <x v="0"/>
    <n v="94"/>
    <n v="7"/>
    <x v="8"/>
    <n v="0"/>
    <n v="2990"/>
  </r>
  <r>
    <s v="Jiro Dreams Of Sushi"/>
    <n v="2011"/>
    <x v="0"/>
    <n v="81"/>
    <n v="7.8"/>
    <x v="8"/>
    <n v="2.5499999999999998"/>
    <n v="37465"/>
  </r>
  <r>
    <s v="Diana Vreeland: The Eye Has To Travel"/>
    <n v="2011"/>
    <x v="0"/>
    <n v="86"/>
    <n v="7.5"/>
    <x v="8"/>
    <n v="1"/>
    <n v="1667"/>
  </r>
  <r>
    <s v="Samsara"/>
    <n v="2011"/>
    <x v="0"/>
    <n v="102"/>
    <n v="8.4"/>
    <x v="8"/>
    <n v="2.67"/>
    <n v="37469"/>
  </r>
  <r>
    <s v="The Perfect Family"/>
    <n v="2011"/>
    <x v="2"/>
    <n v="84"/>
    <n v="5.6"/>
    <x v="8"/>
    <n v="0.11"/>
    <n v="1587"/>
  </r>
  <r>
    <s v="Undefeated"/>
    <n v="2011"/>
    <x v="0"/>
    <n v="113"/>
    <n v="7.7"/>
    <x v="8"/>
    <n v="0.56000000000000005"/>
    <n v="7279"/>
  </r>
  <r>
    <s v="Your Sister'S Sister"/>
    <n v="2011"/>
    <x v="0"/>
    <n v="90"/>
    <n v="6.7"/>
    <x v="8"/>
    <n v="1.57"/>
    <n v="28166"/>
  </r>
  <r>
    <s v="Trishna"/>
    <n v="2011"/>
    <x v="0"/>
    <n v="117"/>
    <n v="6"/>
    <x v="8"/>
    <n v="0.23"/>
    <n v="3278"/>
  </r>
  <r>
    <s v="Heleno"/>
    <n v="2011"/>
    <x v="0"/>
    <n v="116"/>
    <n v="6.8"/>
    <x v="8"/>
    <n v="2.46"/>
    <n v="1477"/>
  </r>
  <r>
    <s v="The Kid With A Bike"/>
    <n v="2011"/>
    <x v="0"/>
    <n v="87"/>
    <n v="7.4"/>
    <x v="8"/>
    <n v="1.38"/>
    <n v="28418"/>
  </r>
  <r>
    <s v="Barrymore"/>
    <n v="2011"/>
    <x v="0"/>
    <n v="83"/>
    <n v="7.2"/>
    <x v="8"/>
    <n v="2.46"/>
    <n v="402"/>
  </r>
  <r>
    <s v="Down The Shore"/>
    <n v="2011"/>
    <x v="0"/>
    <n v="93"/>
    <n v="5.9"/>
    <x v="8"/>
    <n v="0"/>
    <n v="1439"/>
  </r>
  <r>
    <s v="Violet &amp; Daisy"/>
    <n v="2011"/>
    <x v="0"/>
    <n v="88"/>
    <n v="6"/>
    <x v="8"/>
    <n v="0.02"/>
    <n v="13129"/>
  </r>
  <r>
    <s v="Bringing Up Bobby"/>
    <n v="2011"/>
    <x v="0"/>
    <n v="93"/>
    <n v="5.0999999999999996"/>
    <x v="8"/>
    <n v="0"/>
    <n v="2022"/>
  </r>
  <r>
    <s v="Keyhole"/>
    <n v="2011"/>
    <x v="2"/>
    <n v="94"/>
    <n v="5.4"/>
    <x v="8"/>
    <n v="0.02"/>
    <n v="1578"/>
  </r>
  <r>
    <s v="Late Bloomers"/>
    <n v="2011"/>
    <x v="0"/>
    <n v="95"/>
    <n v="5.7"/>
    <x v="8"/>
    <n v="2.46"/>
    <n v="1043"/>
  </r>
  <r>
    <s v="Terri"/>
    <n v="2011"/>
    <x v="0"/>
    <n v="105"/>
    <n v="6.5"/>
    <x v="8"/>
    <n v="0.65"/>
    <n v="10222"/>
  </r>
  <r>
    <s v="Silent House"/>
    <n v="2011"/>
    <x v="0"/>
    <n v="86"/>
    <n v="5.2"/>
    <x v="8"/>
    <n v="12.56"/>
    <n v="24082"/>
  </r>
  <r>
    <s v="Tt3D: Closer To The Edge"/>
    <n v="2011"/>
    <x v="0"/>
    <n v="104"/>
    <n v="7.9"/>
    <x v="8"/>
    <n v="2.46"/>
    <n v="6601"/>
  </r>
  <r>
    <s v="Twixt"/>
    <n v="2011"/>
    <x v="0"/>
    <n v="88"/>
    <n v="4.7"/>
    <x v="8"/>
    <n v="2.46"/>
    <n v="11516"/>
  </r>
  <r>
    <s v="Snowtown"/>
    <n v="2011"/>
    <x v="0"/>
    <n v="119"/>
    <n v="6.6"/>
    <x v="8"/>
    <n v="0.01"/>
    <n v="20205"/>
  </r>
  <r>
    <s v="Lucky"/>
    <n v="2011"/>
    <x v="0"/>
    <n v="103"/>
    <n v="5.3"/>
    <x v="8"/>
    <n v="2.46"/>
    <n v="3711"/>
  </r>
  <r>
    <s v="Now &amp; Later"/>
    <n v="2011"/>
    <x v="0"/>
    <n v="99"/>
    <n v="5.0999999999999996"/>
    <x v="8"/>
    <n v="0"/>
    <n v="2115"/>
  </r>
  <r>
    <s v="Citizen Gangster"/>
    <n v="2011"/>
    <x v="0"/>
    <n v="105"/>
    <n v="6.1"/>
    <x v="8"/>
    <n v="2.46"/>
    <n v="4548"/>
  </r>
  <r>
    <s v="The Day"/>
    <n v="2011"/>
    <x v="0"/>
    <n v="87"/>
    <n v="5.2"/>
    <x v="8"/>
    <n v="0.02"/>
    <n v="13179"/>
  </r>
  <r>
    <s v="A Warrior'S Heart"/>
    <n v="2011"/>
    <x v="1"/>
    <n v="86"/>
    <n v="5.2"/>
    <x v="8"/>
    <n v="2.46"/>
    <n v="2484"/>
  </r>
  <r>
    <s v="My Way"/>
    <n v="2011"/>
    <x v="0"/>
    <n v="137"/>
    <n v="7.6"/>
    <x v="8"/>
    <n v="7.0000000000000007E-2"/>
    <n v="12394"/>
  </r>
  <r>
    <s v="Sanctum"/>
    <n v="2011"/>
    <x v="0"/>
    <n v="108"/>
    <n v="5.9"/>
    <x v="8"/>
    <n v="23.07"/>
    <n v="56863"/>
  </r>
  <r>
    <s v="Bucky Larson: Born To Be A Star"/>
    <n v="2011"/>
    <x v="0"/>
    <n v="97"/>
    <n v="3.3"/>
    <x v="8"/>
    <n v="2.33"/>
    <n v="12673"/>
  </r>
  <r>
    <s v="Seven Days In Utopia"/>
    <n v="2011"/>
    <x v="1"/>
    <n v="100"/>
    <n v="6.1"/>
    <x v="8"/>
    <n v="18"/>
    <n v="4020"/>
  </r>
  <r>
    <s v="The Oregonian"/>
    <n v="2011"/>
    <x v="0"/>
    <n v="81"/>
    <n v="4.0999999999999996"/>
    <x v="8"/>
    <n v="2.46"/>
    <n v="767"/>
  </r>
  <r>
    <s v="Snow Flower And The Secret Fan"/>
    <n v="2011"/>
    <x v="0"/>
    <n v="104"/>
    <n v="6.1"/>
    <x v="8"/>
    <n v="1.35"/>
    <n v="3961"/>
  </r>
  <r>
    <s v="Terraferma"/>
    <n v="2011"/>
    <x v="1"/>
    <n v="88"/>
    <n v="6.7"/>
    <x v="8"/>
    <n v="2.46"/>
    <n v="3185"/>
  </r>
  <r>
    <s v="Whores' Glory"/>
    <n v="2011"/>
    <x v="0"/>
    <n v="110"/>
    <n v="7.2"/>
    <x v="8"/>
    <n v="0.03"/>
    <n v="5046"/>
  </r>
  <r>
    <s v="The Raid"/>
    <n v="2011"/>
    <x v="0"/>
    <n v="101"/>
    <n v="7.6"/>
    <x v="8"/>
    <n v="4.1100000000000003"/>
    <n v="213741"/>
  </r>
  <r>
    <s v="Beneath The Darkness"/>
    <n v="2011"/>
    <x v="0"/>
    <n v="96"/>
    <n v="4.5"/>
    <x v="8"/>
    <n v="2.46"/>
    <n v="6272"/>
  </r>
  <r>
    <s v="Wuthering Heights"/>
    <n v="2011"/>
    <x v="0"/>
    <n v="129"/>
    <n v="6"/>
    <x v="8"/>
    <n v="0.1"/>
    <n v="10857"/>
  </r>
  <r>
    <s v="Albatross"/>
    <n v="2011"/>
    <x v="2"/>
    <n v="90"/>
    <n v="6.3"/>
    <x v="8"/>
    <n v="2.46"/>
    <n v="5564"/>
  </r>
  <r>
    <s v="The Artist"/>
    <n v="2011"/>
    <x v="0"/>
    <n v="100"/>
    <n v="7.9"/>
    <x v="8"/>
    <n v="44.67"/>
    <n v="246713"/>
  </r>
  <r>
    <s v="The Last Ride"/>
    <n v="2011"/>
    <x v="0"/>
    <n v="102"/>
    <n v="5.8"/>
    <x v="8"/>
    <n v="2.46"/>
    <n v="870"/>
  </r>
  <r>
    <s v="Americano"/>
    <n v="2011"/>
    <x v="1"/>
    <n v="105"/>
    <n v="5.2"/>
    <x v="8"/>
    <n v="2.46"/>
    <n v="1088"/>
  </r>
  <r>
    <s v="In The Land Of Blood And Honey"/>
    <n v="2011"/>
    <x v="0"/>
    <n v="127"/>
    <n v="4.7"/>
    <x v="8"/>
    <n v="0.3"/>
    <n v="34547"/>
  </r>
  <r>
    <s v="Extraction"/>
    <n v="2012"/>
    <x v="0"/>
    <n v="89"/>
    <n v="6.4"/>
    <x v="8"/>
    <n v="2.46"/>
    <n v="12438"/>
  </r>
  <r>
    <s v="Tomorrow You'Re Gone"/>
    <n v="2012"/>
    <x v="0"/>
    <n v="93"/>
    <n v="3.6"/>
    <x v="8"/>
    <n v="2.46"/>
    <n v="1810"/>
  </r>
  <r>
    <s v="Deranged"/>
    <n v="2012"/>
    <x v="0"/>
    <n v="109"/>
    <n v="6.3"/>
    <x v="8"/>
    <n v="2.46"/>
    <n v="3092"/>
  </r>
  <r>
    <s v="The Poison Tree"/>
    <n v="2012"/>
    <x v="0"/>
    <n v="120"/>
    <n v="5.8"/>
    <x v="8"/>
    <n v="2.46"/>
    <n v="3180"/>
  </r>
  <r>
    <s v="The Impossible"/>
    <n v="2012"/>
    <x v="1"/>
    <n v="114"/>
    <n v="7.5"/>
    <x v="8"/>
    <n v="19.02"/>
    <n v="236398"/>
  </r>
  <r>
    <s v="Dredd"/>
    <n v="2012"/>
    <x v="2"/>
    <n v="95"/>
    <n v="7.1"/>
    <x v="8"/>
    <n v="13.41"/>
    <n v="288944"/>
  </r>
  <r>
    <s v="Upside Down"/>
    <n v="2012"/>
    <x v="1"/>
    <n v="109"/>
    <n v="6.3"/>
    <x v="8"/>
    <n v="0.1"/>
    <n v="73409"/>
  </r>
  <r>
    <s v="13 Steps Down"/>
    <n v="2012"/>
    <x v="0"/>
    <n v="45"/>
    <n v="5.9"/>
    <x v="8"/>
    <n v="2.46"/>
    <n v="2598"/>
  </r>
  <r>
    <s v="The Perks Of Being A Wallflower"/>
    <n v="2012"/>
    <x v="1"/>
    <n v="103"/>
    <n v="7.9"/>
    <x v="8"/>
    <n v="17.739999999999998"/>
    <n v="537506"/>
  </r>
  <r>
    <s v="Beasts Of The Southern Wild"/>
    <n v="2012"/>
    <x v="1"/>
    <n v="93"/>
    <n v="7.2"/>
    <x v="8"/>
    <n v="12.8"/>
    <n v="84551"/>
  </r>
  <r>
    <s v="The Collection"/>
    <n v="2012"/>
    <x v="2"/>
    <n v="82"/>
    <n v="6.1"/>
    <x v="8"/>
    <n v="12.84"/>
    <n v="53124"/>
  </r>
  <r>
    <s v="The Baytown Outlaws"/>
    <n v="2012"/>
    <x v="0"/>
    <n v="98"/>
    <n v="6.3"/>
    <x v="8"/>
    <n v="2.46"/>
    <n v="15684"/>
  </r>
  <r>
    <s v="Ill Manors"/>
    <n v="2012"/>
    <x v="0"/>
    <n v="121"/>
    <n v="7.1"/>
    <x v="8"/>
    <n v="2.46"/>
    <n v="11158"/>
  </r>
  <r>
    <s v="Kon-Tiki"/>
    <n v="2012"/>
    <x v="0"/>
    <n v="118"/>
    <n v="7.1"/>
    <x v="8"/>
    <n v="1.52"/>
    <n v="51259"/>
  </r>
  <r>
    <s v="My Way"/>
    <n v="2012"/>
    <x v="1"/>
    <n v="148"/>
    <n v="6.9"/>
    <x v="8"/>
    <n v="2.46"/>
    <n v="3126"/>
  </r>
  <r>
    <s v="Resident Evil: Retribution"/>
    <n v="2012"/>
    <x v="0"/>
    <n v="95"/>
    <n v="5.3"/>
    <x v="8"/>
    <n v="42.35"/>
    <n v="148014"/>
  </r>
  <r>
    <s v="Pitch Perfect"/>
    <n v="2012"/>
    <x v="0"/>
    <n v="112"/>
    <n v="7.1"/>
    <x v="8"/>
    <n v="65"/>
    <n v="324379"/>
  </r>
  <r>
    <s v="Skyfall"/>
    <n v="2012"/>
    <x v="0"/>
    <n v="143"/>
    <n v="7.8"/>
    <x v="8"/>
    <n v="304.36"/>
    <n v="720258"/>
  </r>
  <r>
    <s v="Hitchcock"/>
    <n v="2012"/>
    <x v="1"/>
    <n v="98"/>
    <n v="6.8"/>
    <x v="8"/>
    <n v="6.01"/>
    <n v="78443"/>
  </r>
  <r>
    <s v="Flight"/>
    <n v="2012"/>
    <x v="0"/>
    <n v="138"/>
    <n v="7.3"/>
    <x v="8"/>
    <n v="93.77"/>
    <n v="370150"/>
  </r>
  <r>
    <s v="Lincoln"/>
    <n v="2012"/>
    <x v="0"/>
    <n v="150"/>
    <n v="7.3"/>
    <x v="8"/>
    <n v="182.21"/>
    <n v="269024"/>
  </r>
  <r>
    <s v="The Imposter"/>
    <n v="2012"/>
    <x v="1"/>
    <n v="99"/>
    <n v="7.5"/>
    <x v="8"/>
    <n v="0.89"/>
    <n v="49781"/>
  </r>
  <r>
    <s v="Zero Dark Thirty"/>
    <n v="2012"/>
    <x v="0"/>
    <n v="157"/>
    <n v="7.4"/>
    <x v="8"/>
    <n v="95.72"/>
    <n v="313985"/>
  </r>
  <r>
    <s v="The Hobbit: An Unexpected Journey"/>
    <n v="2012"/>
    <x v="0"/>
    <n v="169"/>
    <n v="7.8"/>
    <x v="8"/>
    <n v="303"/>
    <n v="857092"/>
  </r>
  <r>
    <s v="Farewell, My Queen"/>
    <n v="2012"/>
    <x v="0"/>
    <n v="100"/>
    <n v="6.2"/>
    <x v="8"/>
    <n v="7.0000000000000007E-2"/>
    <n v="9004"/>
  </r>
  <r>
    <s v="Anna Karenina"/>
    <n v="2012"/>
    <x v="0"/>
    <n v="129"/>
    <n v="6.6"/>
    <x v="8"/>
    <n v="12.82"/>
    <n v="104878"/>
  </r>
  <r>
    <s v="Madagascar 3: Europe'S Most Wanted"/>
    <n v="2012"/>
    <x v="0"/>
    <n v="95"/>
    <n v="6.8"/>
    <x v="8"/>
    <n v="216.39"/>
    <n v="193471"/>
  </r>
  <r>
    <s v="Jack &amp; Diane"/>
    <n v="2012"/>
    <x v="0"/>
    <n v="105"/>
    <n v="4.5"/>
    <x v="8"/>
    <n v="0"/>
    <n v="3145"/>
  </r>
  <r>
    <s v="Silver Linings Playbook"/>
    <n v="2012"/>
    <x v="0"/>
    <n v="122"/>
    <n v="7.7"/>
    <x v="8"/>
    <n v="132.09"/>
    <n v="731882"/>
  </r>
  <r>
    <s v="Won'T Back Down"/>
    <n v="2012"/>
    <x v="0"/>
    <n v="121"/>
    <n v="6.4"/>
    <x v="8"/>
    <n v="5.31"/>
    <n v="6818"/>
  </r>
  <r>
    <s v="Grabbers"/>
    <n v="2012"/>
    <x v="0"/>
    <n v="94"/>
    <n v="6.3"/>
    <x v="8"/>
    <n v="2.46"/>
    <n v="19211"/>
  </r>
  <r>
    <s v="Branded"/>
    <n v="2012"/>
    <x v="1"/>
    <n v="112"/>
    <n v="4.5999999999999996"/>
    <x v="8"/>
    <n v="0.35"/>
    <n v="9279"/>
  </r>
  <r>
    <s v="Ex-Girlfriends"/>
    <n v="2012"/>
    <x v="0"/>
    <n v="72"/>
    <n v="4.7"/>
    <x v="8"/>
    <n v="2.46"/>
    <n v="320"/>
  </r>
  <r>
    <s v="Hotel Transylvania"/>
    <n v="2012"/>
    <x v="0"/>
    <n v="91"/>
    <n v="7"/>
    <x v="8"/>
    <n v="148.31"/>
    <n v="274157"/>
  </r>
  <r>
    <s v="A Late Quartet"/>
    <n v="2012"/>
    <x v="1"/>
    <n v="105"/>
    <n v="7.1"/>
    <x v="8"/>
    <n v="1.56"/>
    <n v="15147"/>
  </r>
  <r>
    <s v="The Paperboy"/>
    <n v="2012"/>
    <x v="0"/>
    <n v="107"/>
    <n v="5.7"/>
    <x v="8"/>
    <n v="0.69"/>
    <n v="39073"/>
  </r>
  <r>
    <s v="West Of Memphis"/>
    <n v="2012"/>
    <x v="0"/>
    <n v="147"/>
    <n v="7.9"/>
    <x v="8"/>
    <n v="0.31"/>
    <n v="10768"/>
  </r>
  <r>
    <s v="Premium Rush"/>
    <n v="2012"/>
    <x v="0"/>
    <n v="91"/>
    <n v="6.5"/>
    <x v="8"/>
    <n v="20.28"/>
    <n v="117391"/>
  </r>
  <r>
    <s v="Killing Them Softly"/>
    <n v="2012"/>
    <x v="0"/>
    <n v="97"/>
    <n v="6.2"/>
    <x v="8"/>
    <n v="15.03"/>
    <n v="150384"/>
  </r>
  <r>
    <s v="Frankenweenie"/>
    <n v="2012"/>
    <x v="0"/>
    <n v="87"/>
    <n v="6.9"/>
    <x v="8"/>
    <n v="35.29"/>
    <n v="115268"/>
  </r>
  <r>
    <s v="The Sessions"/>
    <n v="2012"/>
    <x v="0"/>
    <n v="95"/>
    <n v="7.2"/>
    <x v="8"/>
    <n v="6"/>
    <n v="43703"/>
  </r>
  <r>
    <s v="Sister"/>
    <n v="2012"/>
    <x v="0"/>
    <n v="97"/>
    <n v="7"/>
    <x v="8"/>
    <n v="2.46"/>
    <n v="7126"/>
  </r>
  <r>
    <s v="2 Days In New York"/>
    <n v="2012"/>
    <x v="0"/>
    <n v="96"/>
    <n v="6"/>
    <x v="8"/>
    <n v="0.63"/>
    <n v="14924"/>
  </r>
  <r>
    <s v="No"/>
    <n v="2012"/>
    <x v="0"/>
    <n v="118"/>
    <n v="7.4"/>
    <x v="8"/>
    <n v="2.34"/>
    <n v="25941"/>
  </r>
  <r>
    <s v="Stand Up Guys"/>
    <n v="2012"/>
    <x v="0"/>
    <n v="95"/>
    <n v="6.4"/>
    <x v="8"/>
    <n v="3.3"/>
    <n v="57266"/>
  </r>
  <r>
    <s v="Robot &amp; Frank"/>
    <n v="2012"/>
    <x v="0"/>
    <n v="89"/>
    <n v="7"/>
    <x v="8"/>
    <n v="3.33"/>
    <n v="65400"/>
  </r>
  <r>
    <s v="The Giant Mechanical Man"/>
    <n v="2012"/>
    <x v="2"/>
    <n v="95"/>
    <n v="6.7"/>
    <x v="8"/>
    <n v="0.01"/>
    <n v="10439"/>
  </r>
  <r>
    <s v="The Pirates! In An Adventure With Scientists!"/>
    <n v="2012"/>
    <x v="0"/>
    <n v="88"/>
    <n v="6.7"/>
    <x v="8"/>
    <n v="31.05"/>
    <n v="50719"/>
  </r>
  <r>
    <s v="Allegiance"/>
    <n v="2012"/>
    <x v="0"/>
    <n v="90"/>
    <n v="4.8"/>
    <x v="8"/>
    <n v="2.46"/>
    <n v="634"/>
  </r>
  <r>
    <s v="Hyde Park On Hudson"/>
    <n v="2012"/>
    <x v="0"/>
    <n v="94"/>
    <n v="5.9"/>
    <x v="8"/>
    <n v="6.37"/>
    <n v="12245"/>
  </r>
  <r>
    <s v="The Sweeney"/>
    <n v="2012"/>
    <x v="1"/>
    <n v="112"/>
    <n v="6.1"/>
    <x v="8"/>
    <n v="0.03"/>
    <n v="20248"/>
  </r>
  <r>
    <s v="Life Of Pi"/>
    <n v="2012"/>
    <x v="0"/>
    <n v="127"/>
    <n v="7.9"/>
    <x v="8"/>
    <n v="124.99"/>
    <n v="655630"/>
  </r>
  <r>
    <s v="The Master"/>
    <n v="2012"/>
    <x v="0"/>
    <n v="138"/>
    <n v="7.1"/>
    <x v="8"/>
    <n v="16.38"/>
    <n v="183093"/>
  </r>
  <r>
    <s v="The Angels' Share"/>
    <n v="2012"/>
    <x v="1"/>
    <n v="101"/>
    <n v="7"/>
    <x v="8"/>
    <n v="0.3"/>
    <n v="26538"/>
  </r>
  <r>
    <s v="Hit And Run"/>
    <n v="2012"/>
    <x v="0"/>
    <n v="100"/>
    <n v="6.1"/>
    <x v="8"/>
    <n v="13.75"/>
    <n v="37202"/>
  </r>
  <r>
    <s v="Nobody Walks"/>
    <n v="2012"/>
    <x v="0"/>
    <n v="83"/>
    <n v="5.3"/>
    <x v="8"/>
    <n v="0.02"/>
    <n v="5177"/>
  </r>
  <r>
    <s v="Holy Motors"/>
    <n v="2012"/>
    <x v="2"/>
    <n v="115"/>
    <n v="7"/>
    <x v="8"/>
    <n v="2.46"/>
    <n v="48285"/>
  </r>
  <r>
    <s v="Celeste &amp; Jesse Forever"/>
    <n v="2012"/>
    <x v="2"/>
    <n v="92"/>
    <n v="6.6"/>
    <x v="8"/>
    <n v="3.09"/>
    <n v="33357"/>
  </r>
  <r>
    <s v="Shadow Dancer"/>
    <n v="2012"/>
    <x v="0"/>
    <n v="101"/>
    <n v="6.2"/>
    <x v="8"/>
    <n v="0.1"/>
    <n v="12939"/>
  </r>
  <r>
    <s v="Love Is All You Need"/>
    <n v="2012"/>
    <x v="0"/>
    <n v="116"/>
    <n v="6.5"/>
    <x v="8"/>
    <n v="1.63"/>
    <n v="14678"/>
  </r>
  <r>
    <s v="The Twilight Saga: Breaking Dawn - Part 2"/>
    <n v="2012"/>
    <x v="0"/>
    <n v="115"/>
    <n v="5.5"/>
    <x v="8"/>
    <n v="292.3"/>
    <n v="258802"/>
  </r>
  <r>
    <s v="Wreck-It Ralph"/>
    <n v="2012"/>
    <x v="0"/>
    <n v="101"/>
    <n v="7.7"/>
    <x v="8"/>
    <n v="189.42"/>
    <n v="447938"/>
  </r>
  <r>
    <s v="House At The End Of The Street"/>
    <n v="2012"/>
    <x v="0"/>
    <n v="101"/>
    <n v="5.5"/>
    <x v="8"/>
    <n v="31.61"/>
    <n v="80269"/>
  </r>
  <r>
    <s v="The Watch"/>
    <n v="2012"/>
    <x v="0"/>
    <n v="102"/>
    <n v="5.7"/>
    <x v="8"/>
    <n v="35.35"/>
    <n v="131772"/>
  </r>
  <r>
    <s v="What To Expect When You'Re Expecting"/>
    <n v="2012"/>
    <x v="2"/>
    <n v="110"/>
    <n v="5.7"/>
    <x v="8"/>
    <n v="41.15"/>
    <n v="75050"/>
  </r>
  <r>
    <s v="28 Hotel Rooms"/>
    <n v="2012"/>
    <x v="0"/>
    <n v="82"/>
    <n v="5.7"/>
    <x v="8"/>
    <n v="0.02"/>
    <n v="3537"/>
  </r>
  <r>
    <s v="Easy Money Ii: Hard To Kill"/>
    <n v="2012"/>
    <x v="0"/>
    <n v="99"/>
    <n v="6.2"/>
    <x v="8"/>
    <n v="2.46"/>
    <n v="8672"/>
  </r>
  <r>
    <s v="John Dies At The End"/>
    <n v="2012"/>
    <x v="0"/>
    <n v="99"/>
    <n v="6.3"/>
    <x v="8"/>
    <n v="0.14000000000000001"/>
    <n v="39863"/>
  </r>
  <r>
    <s v="Reality"/>
    <n v="2012"/>
    <x v="0"/>
    <n v="116"/>
    <n v="6.8"/>
    <x v="8"/>
    <n v="0.06"/>
    <n v="5679"/>
  </r>
  <r>
    <s v="Lore"/>
    <n v="2012"/>
    <x v="0"/>
    <n v="109"/>
    <n v="7.1"/>
    <x v="8"/>
    <n v="0.97"/>
    <n v="15764"/>
  </r>
  <r>
    <s v="Lola Versus"/>
    <n v="2012"/>
    <x v="0"/>
    <n v="87"/>
    <n v="5.5"/>
    <x v="8"/>
    <n v="0.25"/>
    <n v="8927"/>
  </r>
  <r>
    <s v="Everyday"/>
    <n v="2012"/>
    <x v="0"/>
    <n v="106"/>
    <n v="6.1"/>
    <x v="8"/>
    <n v="2.46"/>
    <n v="833"/>
  </r>
  <r>
    <s v="Chasing Mavericks"/>
    <n v="2012"/>
    <x v="0"/>
    <n v="116"/>
    <n v="7.1"/>
    <x v="8"/>
    <n v="6"/>
    <n v="34134"/>
  </r>
  <r>
    <s v="Fairhaven"/>
    <n v="2012"/>
    <x v="0"/>
    <n v="81"/>
    <n v="5.0999999999999996"/>
    <x v="8"/>
    <n v="2.46"/>
    <n v="608"/>
  </r>
  <r>
    <s v="Mosquita Y Mari"/>
    <n v="2012"/>
    <x v="0"/>
    <n v="85"/>
    <n v="6.3"/>
    <x v="8"/>
    <n v="2.46"/>
    <n v="965"/>
  </r>
  <r>
    <s v="Alex Cross"/>
    <n v="2012"/>
    <x v="0"/>
    <n v="101"/>
    <n v="5.2"/>
    <x v="8"/>
    <n v="25.89"/>
    <n v="35084"/>
  </r>
  <r>
    <s v="Rise Of The Guardians"/>
    <n v="2012"/>
    <x v="0"/>
    <n v="97"/>
    <n v="7.2"/>
    <x v="8"/>
    <n v="103.41"/>
    <n v="188234"/>
  </r>
  <r>
    <s v="Cherry"/>
    <n v="2012"/>
    <x v="0"/>
    <n v="98"/>
    <n v="4.8"/>
    <x v="8"/>
    <n v="0"/>
    <n v="10840"/>
  </r>
  <r>
    <s v="Searching For Sugar Man"/>
    <n v="2012"/>
    <x v="0"/>
    <n v="86"/>
    <n v="8.1999999999999993"/>
    <x v="8"/>
    <n v="3.97"/>
    <n v="71810"/>
  </r>
  <r>
    <s v="Amour"/>
    <n v="2012"/>
    <x v="2"/>
    <n v="127"/>
    <n v="7.9"/>
    <x v="8"/>
    <n v="6.74"/>
    <n v="104312"/>
  </r>
  <r>
    <s v="Brave"/>
    <n v="2012"/>
    <x v="0"/>
    <n v="93"/>
    <n v="7.1"/>
    <x v="8"/>
    <n v="237.28"/>
    <n v="432691"/>
  </r>
  <r>
    <s v="A Glimpse Inside The Mind Of Charles Swan Iii"/>
    <n v="2012"/>
    <x v="0"/>
    <n v="86"/>
    <n v="4.5999999999999996"/>
    <x v="8"/>
    <n v="2.46"/>
    <n v="5625"/>
  </r>
  <r>
    <s v="Here Comes The Boom"/>
    <n v="2012"/>
    <x v="1"/>
    <n v="105"/>
    <n v="6.4"/>
    <x v="8"/>
    <n v="45.29"/>
    <n v="94559"/>
  </r>
  <r>
    <s v="Jack Reacher"/>
    <n v="2012"/>
    <x v="0"/>
    <n v="130"/>
    <n v="7"/>
    <x v="8"/>
    <n v="80.069999999999993"/>
    <n v="357638"/>
  </r>
  <r>
    <s v="Room 237"/>
    <n v="2012"/>
    <x v="0"/>
    <n v="102"/>
    <n v="6.2"/>
    <x v="8"/>
    <n v="0.26"/>
    <n v="22871"/>
  </r>
  <r>
    <s v="Inescapable"/>
    <n v="2012"/>
    <x v="0"/>
    <n v="93"/>
    <n v="5.2"/>
    <x v="8"/>
    <n v="0"/>
    <n v="2778"/>
  </r>
  <r>
    <s v="The Company You Keep"/>
    <n v="2012"/>
    <x v="0"/>
    <n v="125"/>
    <n v="6.4"/>
    <x v="8"/>
    <n v="5.13"/>
    <n v="34650"/>
  </r>
  <r>
    <s v="The Place Beyond The Pines"/>
    <n v="2012"/>
    <x v="0"/>
    <n v="140"/>
    <n v="7.3"/>
    <x v="8"/>
    <n v="21.38"/>
    <n v="284662"/>
  </r>
  <r>
    <s v="In The House"/>
    <n v="2012"/>
    <x v="0"/>
    <n v="105"/>
    <n v="7.4"/>
    <x v="8"/>
    <n v="0.35"/>
    <n v="33803"/>
  </r>
  <r>
    <s v="To The Wonder"/>
    <n v="2012"/>
    <x v="0"/>
    <n v="112"/>
    <n v="5.8"/>
    <x v="8"/>
    <n v="0.59"/>
    <n v="29712"/>
  </r>
  <r>
    <s v="Playing For Keeps"/>
    <n v="2012"/>
    <x v="0"/>
    <n v="105"/>
    <n v="5.7"/>
    <x v="8"/>
    <n v="13.1"/>
    <n v="31009"/>
  </r>
  <r>
    <s v="Black Rock"/>
    <n v="2012"/>
    <x v="0"/>
    <n v="83"/>
    <n v="4.8"/>
    <x v="8"/>
    <n v="2.46"/>
    <n v="9764"/>
  </r>
  <r>
    <s v="Renoir"/>
    <n v="2012"/>
    <x v="0"/>
    <n v="111"/>
    <n v="6.5"/>
    <x v="8"/>
    <n v="2.29"/>
    <n v="5923"/>
  </r>
  <r>
    <s v="Emperor"/>
    <n v="2012"/>
    <x v="0"/>
    <n v="107"/>
    <n v="6.5"/>
    <x v="8"/>
    <n v="3.35"/>
    <n v="14636"/>
  </r>
  <r>
    <s v="Dormant Beauty"/>
    <n v="2012"/>
    <x v="0"/>
    <n v="115"/>
    <n v="6.3"/>
    <x v="8"/>
    <n v="2.46"/>
    <n v="1750"/>
  </r>
  <r>
    <s v="The Iceman"/>
    <n v="2012"/>
    <x v="0"/>
    <n v="106"/>
    <n v="6.8"/>
    <x v="8"/>
    <n v="1.94"/>
    <n v="78058"/>
  </r>
  <r>
    <s v="Least Among Saints"/>
    <n v="2012"/>
    <x v="0"/>
    <n v="107"/>
    <n v="6.4"/>
    <x v="8"/>
    <n v="0.03"/>
    <n v="620"/>
  </r>
  <r>
    <s v="Lay The Favourite"/>
    <n v="2012"/>
    <x v="0"/>
    <n v="94"/>
    <n v="4.8"/>
    <x v="8"/>
    <n v="0.02"/>
    <n v="11957"/>
  </r>
  <r>
    <s v="Byzantium"/>
    <n v="2012"/>
    <x v="1"/>
    <n v="118"/>
    <n v="6.5"/>
    <x v="8"/>
    <n v="0.08"/>
    <n v="45373"/>
  </r>
  <r>
    <s v="Promised Land"/>
    <n v="2012"/>
    <x v="0"/>
    <n v="106"/>
    <n v="6.6"/>
    <x v="8"/>
    <n v="7.6"/>
    <n v="39477"/>
  </r>
  <r>
    <s v="Mud"/>
    <n v="2012"/>
    <x v="2"/>
    <n v="130"/>
    <n v="7.4"/>
    <x v="8"/>
    <n v="21.59"/>
    <n v="186279"/>
  </r>
  <r>
    <s v="Haute Cuisine"/>
    <n v="2012"/>
    <x v="0"/>
    <n v="95"/>
    <n v="6.4"/>
    <x v="8"/>
    <n v="0.21"/>
    <n v="6759"/>
  </r>
  <r>
    <s v="This Is 40"/>
    <n v="2012"/>
    <x v="0"/>
    <n v="134"/>
    <n v="6.2"/>
    <x v="8"/>
    <n v="67.540000000000006"/>
    <n v="148234"/>
  </r>
  <r>
    <s v="Caroline And Jackie"/>
    <n v="2012"/>
    <x v="0"/>
    <n v="85"/>
    <n v="5.7"/>
    <x v="8"/>
    <n v="2.46"/>
    <n v="763"/>
  </r>
  <r>
    <s v="Taken 2"/>
    <n v="2012"/>
    <x v="1"/>
    <n v="92"/>
    <n v="6.2"/>
    <x v="8"/>
    <n v="139.85"/>
    <n v="318048"/>
  </r>
  <r>
    <s v="Disconnect"/>
    <n v="2012"/>
    <x v="0"/>
    <n v="115"/>
    <n v="7.5"/>
    <x v="8"/>
    <n v="7.44"/>
    <n v="77619"/>
  </r>
  <r>
    <s v="Arthur And Mike"/>
    <n v="2012"/>
    <x v="0"/>
    <n v="93"/>
    <n v="5.6"/>
    <x v="8"/>
    <n v="2.46"/>
    <n v="7697"/>
  </r>
  <r>
    <s v="The Gatekeepers"/>
    <n v="2012"/>
    <x v="0"/>
    <n v="101"/>
    <n v="7.6"/>
    <x v="8"/>
    <n v="2.42"/>
    <n v="5800"/>
  </r>
  <r>
    <s v="Les Misã©Rables"/>
    <n v="2012"/>
    <x v="1"/>
    <n v="158"/>
    <n v="7.5"/>
    <x v="8"/>
    <n v="148.81"/>
    <n v="341279"/>
  </r>
  <r>
    <s v="Everybody Has A Plan"/>
    <n v="2012"/>
    <x v="1"/>
    <n v="118"/>
    <n v="5.6"/>
    <x v="8"/>
    <n v="2.46"/>
    <n v="2140"/>
  </r>
  <r>
    <s v="The Brass Teapot"/>
    <n v="2012"/>
    <x v="0"/>
    <n v="101"/>
    <n v="6.3"/>
    <x v="8"/>
    <n v="0.01"/>
    <n v="16786"/>
  </r>
  <r>
    <s v="Wish You Were Here"/>
    <n v="2012"/>
    <x v="1"/>
    <n v="89"/>
    <n v="5.9"/>
    <x v="8"/>
    <n v="0.05"/>
    <n v="6065"/>
  </r>
  <r>
    <s v="Antiviral"/>
    <n v="2012"/>
    <x v="1"/>
    <n v="108"/>
    <n v="5.7"/>
    <x v="8"/>
    <n v="2.46"/>
    <n v="15076"/>
  </r>
  <r>
    <s v="If I Were You"/>
    <n v="2012"/>
    <x v="0"/>
    <n v="115"/>
    <n v="6.9"/>
    <x v="8"/>
    <n v="0.01"/>
    <n v="2367"/>
  </r>
  <r>
    <s v="Not Fade Away"/>
    <n v="2012"/>
    <x v="1"/>
    <n v="117"/>
    <n v="6"/>
    <x v="8"/>
    <n v="0.61"/>
    <n v="4915"/>
  </r>
  <r>
    <s v="The Motel Life"/>
    <n v="2012"/>
    <x v="0"/>
    <n v="85"/>
    <n v="5.9"/>
    <x v="8"/>
    <n v="2.46"/>
    <n v="3748"/>
  </r>
  <r>
    <s v="What Maisie Knew"/>
    <n v="2012"/>
    <x v="0"/>
    <n v="99"/>
    <n v="7.4"/>
    <x v="8"/>
    <n v="1.07"/>
    <n v="28439"/>
  </r>
  <r>
    <s v="The Hunt"/>
    <n v="2012"/>
    <x v="0"/>
    <n v="115"/>
    <n v="8.3000000000000007"/>
    <x v="8"/>
    <n v="0.69"/>
    <n v="353227"/>
  </r>
  <r>
    <s v="Stuck In Love."/>
    <n v="2012"/>
    <x v="0"/>
    <n v="97"/>
    <n v="7.2"/>
    <x v="8"/>
    <n v="0.08"/>
    <n v="91038"/>
  </r>
  <r>
    <s v="Twice Born"/>
    <n v="2012"/>
    <x v="0"/>
    <n v="127"/>
    <n v="7.3"/>
    <x v="8"/>
    <n v="0.01"/>
    <n v="17233"/>
  </r>
  <r>
    <s v="Dangerous Liaisons"/>
    <n v="2012"/>
    <x v="0"/>
    <n v="110"/>
    <n v="6"/>
    <x v="8"/>
    <n v="0.05"/>
    <n v="2008"/>
  </r>
  <r>
    <s v="Thanks For Sharing"/>
    <n v="2012"/>
    <x v="0"/>
    <n v="112"/>
    <n v="6.4"/>
    <x v="8"/>
    <n v="1.06"/>
    <n v="29284"/>
  </r>
  <r>
    <s v="Snow White"/>
    <n v="2012"/>
    <x v="0"/>
    <n v="104"/>
    <n v="7.5"/>
    <x v="8"/>
    <n v="0.28000000000000003"/>
    <n v="11471"/>
  </r>
  <r>
    <s v="Goats"/>
    <n v="2012"/>
    <x v="0"/>
    <n v="94"/>
    <n v="5.8"/>
    <x v="8"/>
    <n v="2.46"/>
    <n v="5360"/>
  </r>
  <r>
    <s v="Two Lives"/>
    <n v="2012"/>
    <x v="0"/>
    <n v="97"/>
    <n v="7.1"/>
    <x v="8"/>
    <n v="0"/>
    <n v="3227"/>
  </r>
  <r>
    <s v="Hannah Arendt"/>
    <n v="2012"/>
    <x v="0"/>
    <n v="113"/>
    <n v="7.1"/>
    <x v="8"/>
    <n v="0.71"/>
    <n v="11860"/>
  </r>
  <r>
    <s v="Wadjda"/>
    <n v="2012"/>
    <x v="1"/>
    <n v="98"/>
    <n v="7.5"/>
    <x v="8"/>
    <n v="1.35"/>
    <n v="21183"/>
  </r>
  <r>
    <s v="The Patience Stone"/>
    <n v="2012"/>
    <x v="0"/>
    <n v="102"/>
    <n v="7.1"/>
    <x v="8"/>
    <n v="0.15"/>
    <n v="5399"/>
  </r>
  <r>
    <s v="Escape From Planet Earth"/>
    <n v="2012"/>
    <x v="0"/>
    <n v="89"/>
    <n v="5.8"/>
    <x v="8"/>
    <n v="57.01"/>
    <n v="26569"/>
  </r>
  <r>
    <s v="Keep The Lights On"/>
    <n v="2012"/>
    <x v="1"/>
    <n v="101"/>
    <n v="6.4"/>
    <x v="8"/>
    <n v="0.25"/>
    <n v="6051"/>
  </r>
  <r>
    <s v="Oh Boy!"/>
    <n v="2012"/>
    <x v="0"/>
    <n v="86"/>
    <n v="7.3"/>
    <x v="8"/>
    <n v="0.15"/>
    <n v="17273"/>
  </r>
  <r>
    <s v="Three Worlds"/>
    <n v="2012"/>
    <x v="0"/>
    <n v="101"/>
    <n v="6.6"/>
    <x v="8"/>
    <n v="2.46"/>
    <n v="778"/>
  </r>
  <r>
    <s v="Casting By"/>
    <n v="2012"/>
    <x v="0"/>
    <n v="89"/>
    <n v="7.6"/>
    <x v="8"/>
    <n v="0.01"/>
    <n v="1618"/>
  </r>
  <r>
    <s v="Seven Psychopaths"/>
    <n v="2012"/>
    <x v="2"/>
    <n v="110"/>
    <n v="7.1"/>
    <x v="8"/>
    <n v="15.02"/>
    <n v="270090"/>
  </r>
  <r>
    <s v="Gimme The Loot"/>
    <n v="2012"/>
    <x v="0"/>
    <n v="79"/>
    <n v="6.6"/>
    <x v="8"/>
    <n v="0.1"/>
    <n v="2597"/>
  </r>
  <r>
    <s v="Ernest &amp; Celestine"/>
    <n v="2012"/>
    <x v="0"/>
    <n v="80"/>
    <n v="7.8"/>
    <x v="8"/>
    <n v="0.28999999999999998"/>
    <n v="21783"/>
  </r>
  <r>
    <s v="Can'T Stand Losing You"/>
    <n v="2012"/>
    <x v="0"/>
    <n v="79"/>
    <n v="6.9"/>
    <x v="8"/>
    <n v="0.02"/>
    <n v="844"/>
  </r>
  <r>
    <s v="The Pervert'S Guide To Ideology"/>
    <n v="2012"/>
    <x v="0"/>
    <n v="136"/>
    <n v="7.6"/>
    <x v="8"/>
    <n v="7.0000000000000007E-2"/>
    <n v="7383"/>
  </r>
  <r>
    <s v="Viola"/>
    <n v="2012"/>
    <x v="0"/>
    <n v="65"/>
    <n v="6"/>
    <x v="8"/>
    <n v="2.46"/>
    <n v="573"/>
  </r>
  <r>
    <s v="Marina Abramovic: The Artist Is Present"/>
    <n v="2012"/>
    <x v="0"/>
    <n v="106"/>
    <n v="7.8"/>
    <x v="8"/>
    <n v="0.09"/>
    <n v="6412"/>
  </r>
  <r>
    <s v="Augustine"/>
    <n v="2012"/>
    <x v="0"/>
    <n v="102"/>
    <n v="6.1"/>
    <x v="8"/>
    <n v="0.11"/>
    <n v="1622"/>
  </r>
  <r>
    <s v="American Mary"/>
    <n v="2012"/>
    <x v="1"/>
    <n v="103"/>
    <n v="6.2"/>
    <x v="8"/>
    <n v="2.46"/>
    <n v="27667"/>
  </r>
  <r>
    <s v="Sagrada: The Mystery Of Creation"/>
    <n v="2012"/>
    <x v="0"/>
    <n v="89"/>
    <n v="6.5"/>
    <x v="8"/>
    <n v="0.06"/>
    <n v="242"/>
  </r>
  <r>
    <s v="Great Expectations"/>
    <n v="2012"/>
    <x v="0"/>
    <n v="128"/>
    <n v="6.3"/>
    <x v="8"/>
    <n v="0.26"/>
    <n v="13589"/>
  </r>
  <r>
    <s v="Frances Ha"/>
    <n v="2012"/>
    <x v="2"/>
    <n v="86"/>
    <n v="7.4"/>
    <x v="8"/>
    <n v="4.0599999999999996"/>
    <n v="91435"/>
  </r>
  <r>
    <s v="Side By Side"/>
    <n v="2012"/>
    <x v="0"/>
    <n v="99"/>
    <n v="7.6"/>
    <x v="8"/>
    <n v="0.03"/>
    <n v="13655"/>
  </r>
  <r>
    <s v="Anton Corbijn Inside Out"/>
    <n v="2012"/>
    <x v="0"/>
    <n v="85"/>
    <n v="7"/>
    <x v="8"/>
    <n v="2.46"/>
    <n v="555"/>
  </r>
  <r>
    <s v="In Another Country"/>
    <n v="2012"/>
    <x v="0"/>
    <n v="89"/>
    <n v="6.4"/>
    <x v="8"/>
    <n v="0.02"/>
    <n v="3476"/>
  </r>
  <r>
    <s v="The World Before Her"/>
    <n v="2012"/>
    <x v="0"/>
    <n v="90"/>
    <n v="7.6"/>
    <x v="8"/>
    <n v="2.46"/>
    <n v="853"/>
  </r>
  <r>
    <s v="Marfa Girl"/>
    <n v="2012"/>
    <x v="0"/>
    <n v="105"/>
    <n v="5.2"/>
    <x v="8"/>
    <n v="2.46"/>
    <n v="1806"/>
  </r>
  <r>
    <s v="Cirque Du Soleil: Worlds Away"/>
    <n v="2012"/>
    <x v="1"/>
    <n v="91"/>
    <n v="6.7"/>
    <x v="8"/>
    <n v="12.5"/>
    <n v="8184"/>
  </r>
  <r>
    <s v="1600 Penn"/>
    <n v="2013"/>
    <x v="0"/>
    <n v="22"/>
    <n v="5.7"/>
    <x v="8"/>
    <n v="2.46"/>
    <n v="3947"/>
  </r>
  <r>
    <s v="Deception"/>
    <n v="2013"/>
    <x v="0"/>
    <n v="60"/>
    <n v="6.6"/>
    <x v="8"/>
    <n v="2.46"/>
    <n v="3829"/>
  </r>
  <r>
    <s v="Gangster Squad"/>
    <n v="2013"/>
    <x v="0"/>
    <n v="113"/>
    <n v="6.7"/>
    <x v="8"/>
    <n v="46"/>
    <n v="220922"/>
  </r>
  <r>
    <s v="Mama"/>
    <n v="2013"/>
    <x v="0"/>
    <n v="100"/>
    <n v="6.2"/>
    <x v="8"/>
    <n v="71.63"/>
    <n v="189272"/>
  </r>
  <r>
    <s v="Side Effects"/>
    <n v="2013"/>
    <x v="1"/>
    <n v="106"/>
    <n v="7.1"/>
    <x v="8"/>
    <n v="32.17"/>
    <n v="195383"/>
  </r>
  <r>
    <s v="Java Heat"/>
    <n v="2013"/>
    <x v="0"/>
    <n v="104"/>
    <n v="5.0999999999999996"/>
    <x v="8"/>
    <n v="2.46"/>
    <n v="4904"/>
  </r>
  <r>
    <s v="Dark Skies"/>
    <n v="2013"/>
    <x v="0"/>
    <n v="97"/>
    <n v="6.3"/>
    <x v="8"/>
    <n v="17.41"/>
    <n v="78813"/>
  </r>
  <r>
    <s v="Broken City"/>
    <n v="2013"/>
    <x v="0"/>
    <n v="109"/>
    <n v="6.1"/>
    <x v="8"/>
    <n v="19.7"/>
    <n v="82711"/>
  </r>
  <r>
    <s v="The Numbers Station"/>
    <n v="2013"/>
    <x v="0"/>
    <n v="89"/>
    <n v="5.6"/>
    <x v="8"/>
    <n v="2.46"/>
    <n v="20680"/>
  </r>
  <r>
    <s v="Oblivion"/>
    <n v="2013"/>
    <x v="0"/>
    <n v="124"/>
    <n v="7"/>
    <x v="8"/>
    <n v="89.02"/>
    <n v="545192"/>
  </r>
  <r>
    <s v="The Host"/>
    <n v="2013"/>
    <x v="0"/>
    <n v="125"/>
    <n v="5.8"/>
    <x v="8"/>
    <n v="26.63"/>
    <n v="117722"/>
  </r>
  <r>
    <s v="Iron Man 3"/>
    <n v="2013"/>
    <x v="0"/>
    <n v="130"/>
    <n v="7.1"/>
    <x v="8"/>
    <n v="409.01"/>
    <n v="884835"/>
  </r>
  <r>
    <s v="Hansel &amp; Gretel: Witch Hunters"/>
    <n v="2013"/>
    <x v="0"/>
    <n v="88"/>
    <n v="6.1"/>
    <x v="8"/>
    <n v="55.7"/>
    <n v="214163"/>
  </r>
  <r>
    <s v="Safe Haven"/>
    <n v="2013"/>
    <x v="0"/>
    <n v="115"/>
    <n v="6.6"/>
    <x v="8"/>
    <n v="71.349999999999994"/>
    <n v="114866"/>
  </r>
  <r>
    <s v="Parker"/>
    <n v="2013"/>
    <x v="0"/>
    <n v="118"/>
    <n v="6.2"/>
    <x v="8"/>
    <n v="17.62"/>
    <n v="127783"/>
  </r>
  <r>
    <s v="21 &amp; Over"/>
    <n v="2013"/>
    <x v="0"/>
    <n v="93"/>
    <n v="5.8"/>
    <x v="8"/>
    <n v="25.68"/>
    <n v="76650"/>
  </r>
  <r>
    <s v="Sirius"/>
    <n v="2013"/>
    <x v="0"/>
    <n v="110"/>
    <n v="6.2"/>
    <x v="8"/>
    <n v="2.46"/>
    <n v="1791"/>
  </r>
  <r>
    <s v="Cycling With Moliã¨Re"/>
    <n v="2013"/>
    <x v="0"/>
    <n v="104"/>
    <n v="6.6"/>
    <x v="8"/>
    <n v="0.06"/>
    <n v="3114"/>
  </r>
  <r>
    <s v="I Give It A Year"/>
    <n v="2013"/>
    <x v="0"/>
    <n v="97"/>
    <n v="5.7"/>
    <x v="8"/>
    <n v="0.03"/>
    <n v="38878"/>
  </r>
  <r>
    <s v="Dead Man Down"/>
    <n v="2013"/>
    <x v="0"/>
    <n v="118"/>
    <n v="6.4"/>
    <x v="8"/>
    <n v="10.88"/>
    <n v="69619"/>
  </r>
  <r>
    <s v="The Purge"/>
    <n v="2013"/>
    <x v="0"/>
    <n v="85"/>
    <n v="5.7"/>
    <x v="8"/>
    <n v="64.47"/>
    <n v="235921"/>
  </r>
  <r>
    <s v="Hustlers"/>
    <n v="2013"/>
    <x v="0"/>
    <n v="112"/>
    <n v="5.9"/>
    <x v="8"/>
    <n v="0"/>
    <n v="11895"/>
  </r>
  <r>
    <s v="The Colony"/>
    <n v="2013"/>
    <x v="1"/>
    <n v="95"/>
    <n v="5.3"/>
    <x v="8"/>
    <n v="2.46"/>
    <n v="46683"/>
  </r>
  <r>
    <s v="The Croods"/>
    <n v="2013"/>
    <x v="0"/>
    <n v="98"/>
    <n v="7.2"/>
    <x v="8"/>
    <n v="187.17"/>
    <n v="227354"/>
  </r>
  <r>
    <s v="Upstream Colour"/>
    <n v="2013"/>
    <x v="0"/>
    <n v="96"/>
    <n v="6.5"/>
    <x v="8"/>
    <n v="0.44"/>
    <n v="34639"/>
  </r>
  <r>
    <s v="Touchy Feely"/>
    <n v="2013"/>
    <x v="0"/>
    <n v="88"/>
    <n v="5.3"/>
    <x v="8"/>
    <n v="0.04"/>
    <n v="3842"/>
  </r>
  <r>
    <s v="Admission"/>
    <n v="2013"/>
    <x v="0"/>
    <n v="108"/>
    <n v="5.7"/>
    <x v="8"/>
    <n v="18"/>
    <n v="35935"/>
  </r>
  <r>
    <s v="Monsters University"/>
    <n v="2013"/>
    <x v="0"/>
    <n v="104"/>
    <n v="7.2"/>
    <x v="8"/>
    <n v="268.49"/>
    <n v="380814"/>
  </r>
  <r>
    <s v="The Heat"/>
    <n v="2013"/>
    <x v="0"/>
    <n v="117"/>
    <n v="6.6"/>
    <x v="8"/>
    <n v="159.58000000000001"/>
    <n v="179148"/>
  </r>
  <r>
    <s v="Only God Forgives"/>
    <n v="2013"/>
    <x v="0"/>
    <n v="90"/>
    <n v="5.7"/>
    <x v="8"/>
    <n v="0.78"/>
    <n v="116647"/>
  </r>
  <r>
    <s v="Lovelace"/>
    <n v="2013"/>
    <x v="0"/>
    <n v="93"/>
    <n v="6.2"/>
    <x v="8"/>
    <n v="0.36"/>
    <n v="42263"/>
  </r>
  <r>
    <s v="The Great Gatsby"/>
    <n v="2013"/>
    <x v="0"/>
    <n v="143"/>
    <n v="7.2"/>
    <x v="8"/>
    <n v="144.84"/>
    <n v="580687"/>
  </r>
  <r>
    <s v="The Big Wedding"/>
    <n v="2013"/>
    <x v="0"/>
    <n v="90"/>
    <n v="5.6"/>
    <x v="8"/>
    <n v="21.78"/>
    <n v="51421"/>
  </r>
  <r>
    <s v="Pain &amp; Gain"/>
    <n v="2013"/>
    <x v="0"/>
    <n v="129"/>
    <n v="6.4"/>
    <x v="8"/>
    <n v="49.88"/>
    <n v="226373"/>
  </r>
  <r>
    <s v="Beautiful Creatures"/>
    <n v="2013"/>
    <x v="0"/>
    <n v="124"/>
    <n v="6.1"/>
    <x v="8"/>
    <n v="19.45"/>
    <n v="90333"/>
  </r>
  <r>
    <s v="The Look Of Love"/>
    <n v="2013"/>
    <x v="1"/>
    <n v="101"/>
    <n v="6"/>
    <x v="8"/>
    <n v="0.02"/>
    <n v="7265"/>
  </r>
  <r>
    <s v="R.I.P.D."/>
    <n v="2013"/>
    <x v="0"/>
    <n v="96"/>
    <n v="5.6"/>
    <x v="8"/>
    <n v="33.619999999999997"/>
    <n v="141557"/>
  </r>
  <r>
    <s v="Trance"/>
    <n v="2013"/>
    <x v="0"/>
    <n v="101"/>
    <n v="6.9"/>
    <x v="8"/>
    <n v="2.3199999999999998"/>
    <n v="116844"/>
  </r>
  <r>
    <s v="Elysium"/>
    <n v="2013"/>
    <x v="0"/>
    <n v="109"/>
    <n v="6.6"/>
    <x v="8"/>
    <n v="93.05"/>
    <n v="464416"/>
  </r>
  <r>
    <s v="World War Z"/>
    <n v="2013"/>
    <x v="0"/>
    <n v="116"/>
    <n v="7"/>
    <x v="8"/>
    <n v="202.36"/>
    <n v="703455"/>
  </r>
  <r>
    <s v="After Earth"/>
    <n v="2013"/>
    <x v="0"/>
    <n v="100"/>
    <n v="4.8"/>
    <x v="8"/>
    <n v="60.52"/>
    <n v="206990"/>
  </r>
  <r>
    <s v="Now You See Me"/>
    <n v="2013"/>
    <x v="0"/>
    <n v="115"/>
    <n v="7.2"/>
    <x v="8"/>
    <n v="117.72"/>
    <n v="692563"/>
  </r>
  <r>
    <s v="The Frozen Ground"/>
    <n v="2013"/>
    <x v="0"/>
    <n v="105"/>
    <n v="6.4"/>
    <x v="8"/>
    <n v="2.46"/>
    <n v="66177"/>
  </r>
  <r>
    <s v="The East"/>
    <n v="2013"/>
    <x v="0"/>
    <n v="116"/>
    <n v="6.8"/>
    <x v="8"/>
    <n v="2.27"/>
    <n v="51849"/>
  </r>
  <r>
    <s v="The Mortal Instruments: City Of Bones"/>
    <n v="2013"/>
    <x v="0"/>
    <n v="130"/>
    <n v="5.8"/>
    <x v="8"/>
    <n v="31.17"/>
    <n v="137709"/>
  </r>
  <r>
    <s v="Ain'T Them Bodies Saints"/>
    <n v="2013"/>
    <x v="0"/>
    <n v="96"/>
    <n v="6.4"/>
    <x v="8"/>
    <n v="0.39"/>
    <n v="22537"/>
  </r>
  <r>
    <s v="A Good Day To Die Hard"/>
    <n v="2013"/>
    <x v="0"/>
    <n v="98"/>
    <n v="5.2"/>
    <x v="8"/>
    <n v="67.349999999999994"/>
    <n v="212742"/>
  </r>
  <r>
    <s v="Pacific Rim"/>
    <n v="2013"/>
    <x v="0"/>
    <n v="131"/>
    <n v="6.9"/>
    <x v="8"/>
    <n v="101.8"/>
    <n v="521597"/>
  </r>
  <r>
    <s v="Jobs"/>
    <n v="2013"/>
    <x v="0"/>
    <n v="128"/>
    <n v="6"/>
    <x v="8"/>
    <n v="16.13"/>
    <n v="101843"/>
  </r>
  <r>
    <s v="Europa Report"/>
    <n v="2013"/>
    <x v="0"/>
    <n v="97"/>
    <n v="6.4"/>
    <x v="8"/>
    <n v="0.13"/>
    <n v="74378"/>
  </r>
  <r>
    <s v="Blue Is The Warmest Colour"/>
    <n v="2013"/>
    <x v="0"/>
    <n v="180"/>
    <n v="7.7"/>
    <x v="8"/>
    <n v="2.2000000000000002"/>
    <n v="160138"/>
  </r>
  <r>
    <s v="Concussion"/>
    <n v="2013"/>
    <x v="0"/>
    <n v="96"/>
    <n v="5.6"/>
    <x v="8"/>
    <n v="0.04"/>
    <n v="5769"/>
  </r>
  <r>
    <s v="Turbo"/>
    <n v="2013"/>
    <x v="1"/>
    <n v="96"/>
    <n v="6.4"/>
    <x v="8"/>
    <n v="83.03"/>
    <n v="107226"/>
  </r>
  <r>
    <s v="The Lifeguard"/>
    <n v="2013"/>
    <x v="2"/>
    <n v="98"/>
    <n v="5.6"/>
    <x v="8"/>
    <n v="2.46"/>
    <n v="15112"/>
  </r>
  <r>
    <s v="The Bling Ring"/>
    <n v="2013"/>
    <x v="0"/>
    <n v="90"/>
    <n v="5.6"/>
    <x v="8"/>
    <n v="5.84"/>
    <n v="90724"/>
  </r>
  <r>
    <s v="Star Trek Into Darkness"/>
    <n v="2013"/>
    <x v="1"/>
    <n v="132"/>
    <n v="7.7"/>
    <x v="8"/>
    <n v="228.78"/>
    <n v="493469"/>
  </r>
  <r>
    <s v="Parkland"/>
    <n v="2013"/>
    <x v="0"/>
    <n v="93"/>
    <n v="6.4"/>
    <x v="8"/>
    <n v="0.65"/>
    <n v="17134"/>
  </r>
  <r>
    <s v="Prisoners"/>
    <n v="2013"/>
    <x v="1"/>
    <n v="153"/>
    <n v="8.1"/>
    <x v="8"/>
    <n v="61"/>
    <n v="779283"/>
  </r>
  <r>
    <s v="Getaway"/>
    <n v="2013"/>
    <x v="0"/>
    <n v="90"/>
    <n v="4.4000000000000004"/>
    <x v="8"/>
    <n v="10.49"/>
    <n v="24988"/>
  </r>
  <r>
    <s v="The Necessary Death Of Charlie Countryman"/>
    <n v="2013"/>
    <x v="0"/>
    <n v="103"/>
    <n v="6.3"/>
    <x v="8"/>
    <n v="0.01"/>
    <n v="29443"/>
  </r>
  <r>
    <s v="Child'S Pose"/>
    <n v="2013"/>
    <x v="0"/>
    <n v="112"/>
    <n v="7.4"/>
    <x v="8"/>
    <n v="0.09"/>
    <n v="8739"/>
  </r>
  <r>
    <s v="Summer In February"/>
    <n v="2013"/>
    <x v="0"/>
    <n v="100"/>
    <n v="5.6"/>
    <x v="8"/>
    <n v="2.46"/>
    <n v="4242"/>
  </r>
  <r>
    <s v="Adore"/>
    <n v="2013"/>
    <x v="0"/>
    <n v="112"/>
    <n v="6.2"/>
    <x v="8"/>
    <n v="0.32"/>
    <n v="36106"/>
  </r>
  <r>
    <s v="Night Train To Lisbon"/>
    <n v="2013"/>
    <x v="0"/>
    <n v="111"/>
    <n v="6.8"/>
    <x v="8"/>
    <n v="2.46"/>
    <n v="20487"/>
  </r>
  <r>
    <s v="Red 2"/>
    <n v="2013"/>
    <x v="0"/>
    <n v="116"/>
    <n v="6.6"/>
    <x v="8"/>
    <n v="53.26"/>
    <n v="178272"/>
  </r>
  <r>
    <s v="Big Sur"/>
    <n v="2013"/>
    <x v="0"/>
    <n v="81"/>
    <n v="5.7"/>
    <x v="8"/>
    <n v="0.03"/>
    <n v="2083"/>
  </r>
  <r>
    <s v="Stranded"/>
    <n v="2013"/>
    <x v="2"/>
    <n v="84"/>
    <n v="3.5"/>
    <x v="8"/>
    <n v="2.46"/>
    <n v="4236"/>
  </r>
  <r>
    <s v="The Spectacular Now"/>
    <n v="2013"/>
    <x v="0"/>
    <n v="95"/>
    <n v="7"/>
    <x v="8"/>
    <n v="6.85"/>
    <n v="159585"/>
  </r>
  <r>
    <s v="The Last Days On Mars"/>
    <n v="2013"/>
    <x v="1"/>
    <n v="98"/>
    <n v="5.5"/>
    <x v="8"/>
    <n v="0.02"/>
    <n v="38504"/>
  </r>
  <r>
    <s v="How I Live Now"/>
    <n v="2013"/>
    <x v="0"/>
    <n v="101"/>
    <n v="6.4"/>
    <x v="8"/>
    <n v="0.06"/>
    <n v="31666"/>
  </r>
  <r>
    <s v="Out Of The Furnace"/>
    <n v="2013"/>
    <x v="2"/>
    <n v="116"/>
    <n v="6.7"/>
    <x v="8"/>
    <n v="11.33"/>
    <n v="122719"/>
  </r>
  <r>
    <s v="Insidious: Chapter 2"/>
    <n v="2013"/>
    <x v="0"/>
    <n v="106"/>
    <n v="6.5"/>
    <x v="8"/>
    <n v="83.59"/>
    <n v="185468"/>
  </r>
  <r>
    <s v="Percy Jackson: Sea Of Monsters"/>
    <n v="2013"/>
    <x v="1"/>
    <n v="106"/>
    <n v="5.7"/>
    <x v="8"/>
    <n v="68.56"/>
    <n v="123363"/>
  </r>
  <r>
    <s v="Fruitvale Station"/>
    <n v="2013"/>
    <x v="0"/>
    <n v="85"/>
    <n v="7.5"/>
    <x v="8"/>
    <n v="16.100000000000001"/>
    <n v="84827"/>
  </r>
  <r>
    <s v="Captain Phillips"/>
    <n v="2013"/>
    <x v="0"/>
    <n v="134"/>
    <n v="7.8"/>
    <x v="8"/>
    <n v="107.1"/>
    <n v="483422"/>
  </r>
  <r>
    <s v="The Way Way Back"/>
    <n v="2013"/>
    <x v="0"/>
    <n v="103"/>
    <n v="7.4"/>
    <x v="8"/>
    <n v="21.5"/>
    <n v="155158"/>
  </r>
  <r>
    <s v="Gravity"/>
    <n v="2013"/>
    <x v="0"/>
    <n v="91"/>
    <n v="7.7"/>
    <x v="8"/>
    <n v="274.08999999999997"/>
    <n v="851272"/>
  </r>
  <r>
    <s v="Mr. Morgan'S Last Love"/>
    <n v="2013"/>
    <x v="1"/>
    <n v="111"/>
    <n v="6.7"/>
    <x v="8"/>
    <n v="2.46"/>
    <n v="13096"/>
  </r>
  <r>
    <s v="White House Down"/>
    <n v="2013"/>
    <x v="0"/>
    <n v="131"/>
    <n v="6.3"/>
    <x v="8"/>
    <n v="73.099999999999994"/>
    <n v="232787"/>
  </r>
  <r>
    <s v="We Are What We Are"/>
    <n v="2013"/>
    <x v="1"/>
    <n v="105"/>
    <n v="5.9"/>
    <x v="8"/>
    <n v="0.08"/>
    <n v="21893"/>
  </r>
  <r>
    <s v="White Reindeer"/>
    <n v="2013"/>
    <x v="0"/>
    <n v="82"/>
    <n v="5.7"/>
    <x v="8"/>
    <n v="2.46"/>
    <n v="1239"/>
  </r>
  <r>
    <s v="Riddick"/>
    <n v="2013"/>
    <x v="0"/>
    <n v="119"/>
    <n v="6.4"/>
    <x v="8"/>
    <n v="42.03"/>
    <n v="175373"/>
  </r>
  <r>
    <s v="Runner Runner"/>
    <n v="2013"/>
    <x v="0"/>
    <n v="88"/>
    <n v="5.6"/>
    <x v="8"/>
    <n v="19.32"/>
    <n v="65277"/>
  </r>
  <r>
    <s v="Stalingrad"/>
    <n v="2013"/>
    <x v="0"/>
    <n v="131"/>
    <n v="5.7"/>
    <x v="8"/>
    <n v="1.01"/>
    <n v="17512"/>
  </r>
  <r>
    <s v="Savannah"/>
    <n v="2013"/>
    <x v="1"/>
    <n v="101"/>
    <n v="5.8"/>
    <x v="8"/>
    <n v="0.04"/>
    <n v="1746"/>
  </r>
  <r>
    <s v="A Case Of You"/>
    <n v="2013"/>
    <x v="0"/>
    <n v="89"/>
    <n v="5.6"/>
    <x v="8"/>
    <n v="2.46"/>
    <n v="12237"/>
  </r>
  <r>
    <s v="Hours"/>
    <n v="2013"/>
    <x v="0"/>
    <n v="97"/>
    <n v="6.4"/>
    <x v="8"/>
    <n v="2.46"/>
    <n v="30544"/>
  </r>
  <r>
    <s v="The Wolverine"/>
    <n v="2013"/>
    <x v="0"/>
    <n v="126"/>
    <n v="6.7"/>
    <x v="8"/>
    <n v="132.56"/>
    <n v="484887"/>
  </r>
  <r>
    <s v="The Family"/>
    <n v="2013"/>
    <x v="0"/>
    <n v="111"/>
    <n v="6.3"/>
    <x v="8"/>
    <n v="36.92"/>
    <n v="121445"/>
  </r>
  <r>
    <s v="Paradise"/>
    <n v="2013"/>
    <x v="0"/>
    <n v="86"/>
    <n v="5"/>
    <x v="8"/>
    <n v="2.46"/>
    <n v="3720"/>
  </r>
  <r>
    <s v="Deception"/>
    <n v="2013"/>
    <x v="0"/>
    <n v="131"/>
    <n v="7.8"/>
    <x v="8"/>
    <n v="0.09"/>
    <n v="126029"/>
  </r>
  <r>
    <s v="The Butler"/>
    <n v="2013"/>
    <x v="0"/>
    <n v="132"/>
    <n v="7.2"/>
    <x v="8"/>
    <n v="116.63"/>
    <n v="118627"/>
  </r>
  <r>
    <s v="Gloria"/>
    <n v="2013"/>
    <x v="0"/>
    <n v="110"/>
    <n v="6.9"/>
    <x v="8"/>
    <n v="2.11"/>
    <n v="9220"/>
  </r>
  <r>
    <s v="The Past"/>
    <n v="2013"/>
    <x v="0"/>
    <n v="130"/>
    <n v="7.7"/>
    <x v="8"/>
    <n v="1.33"/>
    <n v="50354"/>
  </r>
  <r>
    <s v="Alan Partridge: Alpha Papa"/>
    <n v="2013"/>
    <x v="0"/>
    <n v="90"/>
    <n v="6.9"/>
    <x v="8"/>
    <n v="0.15"/>
    <n v="32716"/>
  </r>
  <r>
    <s v="Mandela: Long Walk To Freedom"/>
    <n v="2013"/>
    <x v="0"/>
    <n v="141"/>
    <n v="7.1"/>
    <x v="8"/>
    <n v="8.32"/>
    <n v="28796"/>
  </r>
  <r>
    <s v="The Lone Ranger"/>
    <n v="2013"/>
    <x v="0"/>
    <n v="150"/>
    <n v="6.4"/>
    <x v="8"/>
    <n v="89.3"/>
    <n v="241951"/>
  </r>
  <r>
    <s v="The Hunger Games: Catching Fire"/>
    <n v="2013"/>
    <x v="2"/>
    <n v="146"/>
    <n v="7.5"/>
    <x v="8"/>
    <n v="424.67"/>
    <n v="697677"/>
  </r>
  <r>
    <s v="Free Ride"/>
    <n v="2013"/>
    <x v="0"/>
    <n v="86"/>
    <n v="5.6"/>
    <x v="8"/>
    <n v="2.46"/>
    <n v="2460"/>
  </r>
  <r>
    <s v="12 Years A Slave"/>
    <n v="2013"/>
    <x v="0"/>
    <n v="134"/>
    <n v="8.1"/>
    <x v="8"/>
    <n v="56.67"/>
    <n v="728764"/>
  </r>
  <r>
    <s v="The Wolf Of Wall Street"/>
    <n v="2013"/>
    <x v="0"/>
    <n v="180"/>
    <n v="8.1999999999999993"/>
    <x v="8"/>
    <n v="116.9"/>
    <n v="1526302"/>
  </r>
  <r>
    <s v="August: Osage County"/>
    <n v="2013"/>
    <x v="0"/>
    <n v="121"/>
    <n v="7.2"/>
    <x v="8"/>
    <n v="37.74"/>
    <n v="94109"/>
  </r>
  <r>
    <s v="Dallas Buyers Club"/>
    <n v="2013"/>
    <x v="0"/>
    <n v="117"/>
    <n v="7.9"/>
    <x v="8"/>
    <n v="27.3"/>
    <n v="510005"/>
  </r>
  <r>
    <s v="Ender'S Game"/>
    <n v="2013"/>
    <x v="0"/>
    <n v="114"/>
    <n v="6.6"/>
    <x v="8"/>
    <n v="61.74"/>
    <n v="250362"/>
  </r>
  <r>
    <s v="Escape Plan"/>
    <n v="2013"/>
    <x v="2"/>
    <n v="115"/>
    <n v="6.7"/>
    <x v="8"/>
    <n v="25.13"/>
    <n v="253965"/>
  </r>
  <r>
    <s v="The Washington Snipers"/>
    <n v="2013"/>
    <x v="0"/>
    <n v="93"/>
    <n v="5.9"/>
    <x v="8"/>
    <n v="0.09"/>
    <n v="5993"/>
  </r>
  <r>
    <s v="Cold Comes The Night"/>
    <n v="2013"/>
    <x v="1"/>
    <n v="90"/>
    <n v="5.7"/>
    <x v="8"/>
    <n v="2.46"/>
    <n v="9603"/>
  </r>
  <r>
    <s v="Frozen"/>
    <n v="2013"/>
    <x v="0"/>
    <n v="102"/>
    <n v="7.4"/>
    <x v="8"/>
    <n v="400.74"/>
    <n v="650846"/>
  </r>
  <r>
    <s v="Her"/>
    <n v="2013"/>
    <x v="0"/>
    <n v="126"/>
    <n v="8"/>
    <x v="8"/>
    <n v="25.57"/>
    <n v="651996"/>
  </r>
  <r>
    <s v="Diana"/>
    <n v="2013"/>
    <x v="0"/>
    <n v="113"/>
    <n v="5.6"/>
    <x v="8"/>
    <n v="0.33"/>
    <n v="20774"/>
  </r>
  <r>
    <s v="The Inevitable Defeat Of Mister &amp; Pete"/>
    <n v="2013"/>
    <x v="1"/>
    <n v="108"/>
    <n v="7.5"/>
    <x v="8"/>
    <n v="0.49"/>
    <n v="5695"/>
  </r>
  <r>
    <s v="Short Term 12"/>
    <n v="2013"/>
    <x v="0"/>
    <n v="96"/>
    <n v="7.9"/>
    <x v="8"/>
    <n v="1.01"/>
    <n v="90770"/>
  </r>
  <r>
    <s v="Bridegroom"/>
    <n v="2013"/>
    <x v="0"/>
    <n v="80"/>
    <n v="8"/>
    <x v="8"/>
    <n v="2.46"/>
    <n v="4609"/>
  </r>
  <r>
    <s v="Carrie"/>
    <n v="2013"/>
    <x v="0"/>
    <n v="100"/>
    <n v="5.8"/>
    <x v="8"/>
    <n v="35.270000000000003"/>
    <n v="146370"/>
  </r>
  <r>
    <s v="Don Jon"/>
    <n v="2013"/>
    <x v="0"/>
    <n v="90"/>
    <n v="6.5"/>
    <x v="8"/>
    <n v="24.48"/>
    <n v="245105"/>
  </r>
  <r>
    <s v="As I Lay Dying"/>
    <n v="2013"/>
    <x v="1"/>
    <n v="110"/>
    <n v="5.3"/>
    <x v="8"/>
    <n v="0.02"/>
    <n v="4158"/>
  </r>
  <r>
    <s v="About Time"/>
    <n v="2013"/>
    <x v="1"/>
    <n v="123"/>
    <n v="7.8"/>
    <x v="8"/>
    <n v="15.32"/>
    <n v="374882"/>
  </r>
  <r>
    <s v="The Adventurer: The Curse Of The Midas Box"/>
    <n v="2013"/>
    <x v="0"/>
    <n v="100"/>
    <n v="5.4"/>
    <x v="8"/>
    <n v="1"/>
    <n v="7103"/>
  </r>
  <r>
    <s v="Afternoon Delight"/>
    <n v="2013"/>
    <x v="0"/>
    <n v="98"/>
    <n v="5.7"/>
    <x v="8"/>
    <n v="0.17"/>
    <n v="11259"/>
  </r>
  <r>
    <s v="The Counsellor"/>
    <n v="2013"/>
    <x v="1"/>
    <n v="117"/>
    <n v="5.4"/>
    <x v="8"/>
    <n v="16.97"/>
    <n v="104548"/>
  </r>
  <r>
    <s v="Rush"/>
    <n v="2013"/>
    <x v="0"/>
    <n v="123"/>
    <n v="8.1"/>
    <x v="8"/>
    <n v="26.95"/>
    <n v="502776"/>
  </r>
  <r>
    <s v="Grudge Match"/>
    <n v="2013"/>
    <x v="0"/>
    <n v="113"/>
    <n v="6.4"/>
    <x v="8"/>
    <n v="29.81"/>
    <n v="62293"/>
  </r>
  <r>
    <s v="Bad Grandpa"/>
    <n v="2013"/>
    <x v="0"/>
    <n v="92"/>
    <n v="6.5"/>
    <x v="8"/>
    <n v="102"/>
    <n v="97499"/>
  </r>
  <r>
    <s v="Oz The Great And Powerful"/>
    <n v="2013"/>
    <x v="0"/>
    <n v="130"/>
    <n v="6.3"/>
    <x v="8"/>
    <n v="234.91"/>
    <n v="212755"/>
  </r>
  <r>
    <s v="Welcome To The Jungle"/>
    <n v="2013"/>
    <x v="0"/>
    <n v="95"/>
    <n v="4.9000000000000004"/>
    <x v="8"/>
    <n v="2.46"/>
    <n v="13892"/>
  </r>
  <r>
    <s v="The Congress"/>
    <n v="2013"/>
    <x v="0"/>
    <n v="122"/>
    <n v="6.4"/>
    <x v="8"/>
    <n v="0.14000000000000001"/>
    <n v="19670"/>
  </r>
  <r>
    <s v="Last Vegas"/>
    <n v="2013"/>
    <x v="0"/>
    <n v="105"/>
    <n v="6.6"/>
    <x v="8"/>
    <n v="63.91"/>
    <n v="135805"/>
  </r>
  <r>
    <s v="Homefront"/>
    <n v="2013"/>
    <x v="1"/>
    <n v="100"/>
    <n v="6.5"/>
    <x v="8"/>
    <n v="20.16"/>
    <n v="127333"/>
  </r>
  <r>
    <s v="In A World..."/>
    <n v="2013"/>
    <x v="1"/>
    <n v="93"/>
    <n v="6.7"/>
    <x v="8"/>
    <n v="2.96"/>
    <n v="32670"/>
  </r>
  <r>
    <s v="The Selfish Giant"/>
    <n v="2013"/>
    <x v="2"/>
    <n v="91"/>
    <n v="7.3"/>
    <x v="8"/>
    <n v="0.01"/>
    <n v="12643"/>
  </r>
  <r>
    <s v="Reaching For The Moon"/>
    <n v="2013"/>
    <x v="0"/>
    <n v="118"/>
    <n v="7"/>
    <x v="8"/>
    <n v="0.04"/>
    <n v="3481"/>
  </r>
  <r>
    <s v="Twenty Feet From Stardom"/>
    <n v="2013"/>
    <x v="1"/>
    <n v="91"/>
    <n v="7.4"/>
    <x v="8"/>
    <n v="4.95"/>
    <n v="13824"/>
  </r>
  <r>
    <s v="Filth"/>
    <n v="2013"/>
    <x v="0"/>
    <n v="97"/>
    <n v="7"/>
    <x v="8"/>
    <n v="0.03"/>
    <n v="114087"/>
  </r>
  <r>
    <s v="The Right Kind Of Wrong"/>
    <n v="2013"/>
    <x v="1"/>
    <n v="97"/>
    <n v="6.1"/>
    <x v="8"/>
    <n v="0"/>
    <n v="9994"/>
  </r>
  <r>
    <s v="Mother Of George"/>
    <n v="2013"/>
    <x v="0"/>
    <n v="107"/>
    <n v="6.5"/>
    <x v="8"/>
    <n v="0.15"/>
    <n v="1256"/>
  </r>
  <r>
    <s v="Man Of Steel"/>
    <n v="2013"/>
    <x v="0"/>
    <n v="143"/>
    <n v="7.1"/>
    <x v="8"/>
    <n v="291.05"/>
    <n v="800031"/>
  </r>
  <r>
    <s v="Brightest Star"/>
    <n v="2013"/>
    <x v="0"/>
    <n v="80"/>
    <n v="5.0999999999999996"/>
    <x v="8"/>
    <n v="2.46"/>
    <n v="1159"/>
  </r>
  <r>
    <s v="The Art Of The Steal"/>
    <n v="2013"/>
    <x v="0"/>
    <n v="90"/>
    <n v="6.3"/>
    <x v="8"/>
    <n v="0.06"/>
    <n v="25723"/>
  </r>
  <r>
    <s v="Camille Claudel 1915"/>
    <n v="2013"/>
    <x v="0"/>
    <n v="95"/>
    <n v="6.5"/>
    <x v="8"/>
    <n v="0.02"/>
    <n v="3878"/>
  </r>
  <r>
    <s v="Oldboy"/>
    <n v="2013"/>
    <x v="0"/>
    <n v="104"/>
    <n v="5.8"/>
    <x v="8"/>
    <n v="2.19"/>
    <n v="79532"/>
  </r>
  <r>
    <s v="Kill Your Darlings"/>
    <n v="2013"/>
    <x v="2"/>
    <n v="104"/>
    <n v="6.4"/>
    <x v="8"/>
    <n v="1.03"/>
    <n v="40584"/>
  </r>
  <r>
    <s v="American Hustle"/>
    <n v="2013"/>
    <x v="0"/>
    <n v="138"/>
    <n v="7.2"/>
    <x v="8"/>
    <n v="150.12"/>
    <n v="494957"/>
  </r>
  <r>
    <s v="At Middleton"/>
    <n v="2013"/>
    <x v="0"/>
    <n v="99"/>
    <n v="6.5"/>
    <x v="8"/>
    <n v="0.05"/>
    <n v="9006"/>
  </r>
  <r>
    <s v="Mystery Road"/>
    <n v="2013"/>
    <x v="0"/>
    <n v="121"/>
    <n v="6.6"/>
    <x v="8"/>
    <n v="2.46"/>
    <n v="8377"/>
  </r>
  <r>
    <s v="Grand Piano"/>
    <n v="2013"/>
    <x v="2"/>
    <n v="90"/>
    <n v="5.9"/>
    <x v="8"/>
    <n v="0.02"/>
    <n v="19450"/>
  </r>
  <r>
    <s v="All Is Lost"/>
    <n v="2013"/>
    <x v="0"/>
    <n v="106"/>
    <n v="6.9"/>
    <x v="8"/>
    <n v="6.26"/>
    <n v="82971"/>
  </r>
  <r>
    <s v="Snowpiercer"/>
    <n v="2013"/>
    <x v="0"/>
    <n v="126"/>
    <n v="7.1"/>
    <x v="8"/>
    <n v="4.5599999999999996"/>
    <n v="380549"/>
  </r>
  <r>
    <s v="Michael Kohlhaas"/>
    <n v="2013"/>
    <x v="0"/>
    <n v="122"/>
    <n v="6.1"/>
    <x v="8"/>
    <n v="2.46"/>
    <n v="9003"/>
  </r>
  <r>
    <s v="Enough Said"/>
    <n v="2013"/>
    <x v="0"/>
    <n v="93"/>
    <n v="7"/>
    <x v="8"/>
    <n v="17.54"/>
    <n v="65430"/>
  </r>
  <r>
    <s v="Police Story: Lockdown"/>
    <n v="2013"/>
    <x v="0"/>
    <n v="110"/>
    <n v="5.9"/>
    <x v="8"/>
    <n v="2.46"/>
    <n v="10477"/>
  </r>
  <r>
    <s v="The Fifth Estate"/>
    <n v="2013"/>
    <x v="2"/>
    <n v="128"/>
    <n v="6.2"/>
    <x v="8"/>
    <n v="3.25"/>
    <n v="42344"/>
  </r>
  <r>
    <s v="Narco Cultura"/>
    <n v="2013"/>
    <x v="0"/>
    <n v="103"/>
    <n v="7.2"/>
    <x v="8"/>
    <n v="0.14000000000000001"/>
    <n v="2484"/>
  </r>
  <r>
    <s v="Austenland"/>
    <n v="2013"/>
    <x v="1"/>
    <n v="97"/>
    <n v="6.3"/>
    <x v="8"/>
    <n v="2.15"/>
    <n v="22813"/>
  </r>
  <r>
    <s v="Cutie And The Boxer"/>
    <n v="2013"/>
    <x v="1"/>
    <n v="82"/>
    <n v="7.2"/>
    <x v="8"/>
    <n v="0.2"/>
    <n v="4723"/>
  </r>
  <r>
    <s v="In Fear"/>
    <n v="2013"/>
    <x v="0"/>
    <n v="85"/>
    <n v="5.4"/>
    <x v="8"/>
    <n v="2.46"/>
    <n v="10022"/>
  </r>
  <r>
    <s v="A Birder'S Guide To Everything"/>
    <n v="2013"/>
    <x v="2"/>
    <n v="86"/>
    <n v="6.2"/>
    <x v="8"/>
    <n v="2.46"/>
    <n v="2373"/>
  </r>
  <r>
    <s v="Jimmy P."/>
    <n v="2013"/>
    <x v="0"/>
    <n v="117"/>
    <n v="6.1"/>
    <x v="8"/>
    <n v="0.02"/>
    <n v="3068"/>
  </r>
  <r>
    <s v="Girl Rising"/>
    <n v="2013"/>
    <x v="0"/>
    <n v="101"/>
    <n v="7.2"/>
    <x v="8"/>
    <n v="2.46"/>
    <n v="1270"/>
  </r>
  <r>
    <s v="Knights Of Badassdom"/>
    <n v="2013"/>
    <x v="0"/>
    <n v="86"/>
    <n v="5.6"/>
    <x v="8"/>
    <n v="0.09"/>
    <n v="21298"/>
  </r>
  <r>
    <s v="The Armstrong Lie"/>
    <n v="2013"/>
    <x v="0"/>
    <n v="124"/>
    <n v="7.3"/>
    <x v="8"/>
    <n v="0.38"/>
    <n v="7825"/>
  </r>
  <r>
    <s v="One Chance"/>
    <n v="2013"/>
    <x v="0"/>
    <n v="103"/>
    <n v="6.8"/>
    <x v="8"/>
    <n v="0.09"/>
    <n v="12975"/>
  </r>
  <r>
    <s v="Andre Gregory: Before And After Dinner"/>
    <n v="2013"/>
    <x v="0"/>
    <n v="108"/>
    <n v="6.4"/>
    <x v="8"/>
    <n v="2.46"/>
    <n v="92"/>
  </r>
  <r>
    <s v="The Immigrant"/>
    <n v="2013"/>
    <x v="0"/>
    <n v="120"/>
    <n v="6.6"/>
    <x v="8"/>
    <n v="2.0099999999999998"/>
    <n v="33273"/>
  </r>
  <r>
    <s v="Le Week-End"/>
    <n v="2013"/>
    <x v="0"/>
    <n v="93"/>
    <n v="6.4"/>
    <x v="8"/>
    <n v="2.2200000000000002"/>
    <n v="8642"/>
  </r>
  <r>
    <s v="The Invisible Woman"/>
    <n v="2013"/>
    <x v="0"/>
    <n v="111"/>
    <n v="6.1"/>
    <x v="8"/>
    <n v="1.23"/>
    <n v="10318"/>
  </r>
  <r>
    <s v="Blood Ties"/>
    <n v="2013"/>
    <x v="1"/>
    <n v="127"/>
    <n v="6.5"/>
    <x v="8"/>
    <n v="0.04"/>
    <n v="20827"/>
  </r>
  <r>
    <s v="Herblock: The Black &amp; The White"/>
    <n v="2013"/>
    <x v="0"/>
    <n v="95"/>
    <n v="7.5"/>
    <x v="8"/>
    <n v="2.46"/>
    <n v="148"/>
  </r>
  <r>
    <s v="The Railway Man"/>
    <n v="2013"/>
    <x v="0"/>
    <n v="116"/>
    <n v="7.1"/>
    <x v="8"/>
    <n v="4.4400000000000004"/>
    <n v="42093"/>
  </r>
  <r>
    <s v="The Returned"/>
    <n v="2013"/>
    <x v="0"/>
    <n v="98"/>
    <n v="5.9"/>
    <x v="8"/>
    <n v="2.46"/>
    <n v="8698"/>
  </r>
  <r>
    <s v="Grand Central"/>
    <n v="2013"/>
    <x v="1"/>
    <n v="94"/>
    <n v="6.2"/>
    <x v="8"/>
    <n v="2.46"/>
    <n v="2790"/>
  </r>
  <r>
    <s v="Saving Mr. Banks"/>
    <n v="2013"/>
    <x v="0"/>
    <n v="125"/>
    <n v="7.5"/>
    <x v="8"/>
    <n v="83.3"/>
    <n v="168055"/>
  </r>
  <r>
    <s v="Jodorowsky'S Dune"/>
    <n v="2013"/>
    <x v="0"/>
    <n v="90"/>
    <n v="8"/>
    <x v="8"/>
    <n v="0.65"/>
    <n v="26398"/>
  </r>
  <r>
    <s v="Loves Her Gun"/>
    <n v="2013"/>
    <x v="1"/>
    <n v="99"/>
    <n v="4.9000000000000004"/>
    <x v="8"/>
    <n v="2.46"/>
    <n v="299"/>
  </r>
  <r>
    <s v="The Machine"/>
    <n v="2013"/>
    <x v="0"/>
    <n v="91"/>
    <n v="6"/>
    <x v="8"/>
    <n v="2.46"/>
    <n v="31901"/>
  </r>
  <r>
    <s v="Gimme Shelter"/>
    <n v="2013"/>
    <x v="0"/>
    <n v="120"/>
    <n v="6.4"/>
    <x v="8"/>
    <n v="1.36"/>
    <n v="9266"/>
  </r>
  <r>
    <s v="The German Doctor"/>
    <n v="2013"/>
    <x v="0"/>
    <n v="93"/>
    <n v="6.7"/>
    <x v="8"/>
    <n v="0.41"/>
    <n v="7686"/>
  </r>
  <r>
    <s v="Black Nativity"/>
    <n v="2013"/>
    <x v="0"/>
    <n v="93"/>
    <n v="4.8"/>
    <x v="8"/>
    <n v="7.02"/>
    <n v="2328"/>
  </r>
  <r>
    <s v="Lone Survivor"/>
    <n v="2013"/>
    <x v="0"/>
    <n v="121"/>
    <n v="7.5"/>
    <x v="8"/>
    <n v="125.1"/>
    <n v="300953"/>
  </r>
  <r>
    <s v="Blue Ruin"/>
    <n v="2013"/>
    <x v="0"/>
    <n v="90"/>
    <n v="7.1"/>
    <x v="8"/>
    <n v="0.26"/>
    <n v="77638"/>
  </r>
  <r>
    <s v="Mindscape"/>
    <n v="2013"/>
    <x v="0"/>
    <n v="99"/>
    <n v="6.4"/>
    <x v="8"/>
    <n v="0"/>
    <n v="24813"/>
  </r>
  <r>
    <s v="The Sacrament"/>
    <n v="2013"/>
    <x v="2"/>
    <n v="99"/>
    <n v="6.1"/>
    <x v="8"/>
    <n v="0.01"/>
    <n v="20517"/>
  </r>
  <r>
    <s v="Adult World"/>
    <n v="2013"/>
    <x v="0"/>
    <n v="97"/>
    <n v="6.1"/>
    <x v="8"/>
    <n v="0.02"/>
    <n v="18453"/>
  </r>
  <r>
    <s v="Goodbye World"/>
    <n v="2013"/>
    <x v="0"/>
    <n v="99"/>
    <n v="5.4"/>
    <x v="8"/>
    <n v="2.46"/>
    <n v="7256"/>
  </r>
  <r>
    <s v="Hateship Loveship"/>
    <n v="2013"/>
    <x v="0"/>
    <n v="104"/>
    <n v="6.1"/>
    <x v="8"/>
    <n v="0.05"/>
    <n v="7111"/>
  </r>
  <r>
    <s v="Enemy"/>
    <n v="2013"/>
    <x v="2"/>
    <n v="91"/>
    <n v="6.9"/>
    <x v="8"/>
    <n v="1.01"/>
    <n v="208290"/>
  </r>
  <r>
    <s v="Dom Hemingway"/>
    <n v="2013"/>
    <x v="0"/>
    <n v="93"/>
    <n v="6.1"/>
    <x v="8"/>
    <n v="0.52"/>
    <n v="27432"/>
  </r>
  <r>
    <s v="Heli"/>
    <n v="2013"/>
    <x v="0"/>
    <n v="105"/>
    <n v="6.8"/>
    <x v="8"/>
    <n v="2.46"/>
    <n v="5324"/>
  </r>
  <r>
    <s v="Decoding Annie Parker"/>
    <n v="2013"/>
    <x v="0"/>
    <n v="91"/>
    <n v="6.2"/>
    <x v="8"/>
    <n v="0.04"/>
    <n v="3287"/>
  </r>
  <r>
    <s v="Joe"/>
    <n v="2013"/>
    <x v="1"/>
    <n v="117"/>
    <n v="6.8"/>
    <x v="8"/>
    <n v="0.37"/>
    <n v="50582"/>
  </r>
  <r>
    <s v="The Rocket"/>
    <n v="2013"/>
    <x v="1"/>
    <n v="100"/>
    <n v="7.3"/>
    <x v="8"/>
    <n v="2.46"/>
    <n v="3172"/>
  </r>
  <r>
    <s v="The Devil'S Violinist"/>
    <n v="2013"/>
    <x v="0"/>
    <n v="122"/>
    <n v="6"/>
    <x v="8"/>
    <n v="2.46"/>
    <n v="3777"/>
  </r>
  <r>
    <s v="Frankenstein'S Army"/>
    <n v="2013"/>
    <x v="0"/>
    <n v="84"/>
    <n v="5.4"/>
    <x v="8"/>
    <n v="2.46"/>
    <n v="9036"/>
  </r>
  <r>
    <s v="Mr. Jones"/>
    <n v="2013"/>
    <x v="0"/>
    <n v="84"/>
    <n v="4.5999999999999996"/>
    <x v="8"/>
    <n v="2.46"/>
    <n v="4353"/>
  </r>
  <r>
    <s v="Instructions Not Included"/>
    <n v="2013"/>
    <x v="0"/>
    <n v="115"/>
    <n v="7.5"/>
    <x v="8"/>
    <n v="44.47"/>
    <n v="32244"/>
  </r>
  <r>
    <s v="47 Ronin"/>
    <n v="2013"/>
    <x v="1"/>
    <n v="128"/>
    <n v="6.2"/>
    <x v="8"/>
    <n v="38.36"/>
    <n v="168437"/>
  </r>
  <r>
    <s v="Salvo"/>
    <n v="2013"/>
    <x v="0"/>
    <n v="110"/>
    <n v="5.9"/>
    <x v="8"/>
    <n v="2.46"/>
    <n v="1312"/>
  </r>
  <r>
    <s v="Like Father, Like Son"/>
    <n v="2013"/>
    <x v="0"/>
    <n v="121"/>
    <n v="7.8"/>
    <x v="8"/>
    <n v="0.28000000000000003"/>
    <n v="27248"/>
  </r>
  <r>
    <s v="Oculus"/>
    <n v="2013"/>
    <x v="0"/>
    <n v="104"/>
    <n v="6.5"/>
    <x v="8"/>
    <n v="27.7"/>
    <n v="137381"/>
  </r>
  <r>
    <s v="Breathe In"/>
    <n v="2013"/>
    <x v="1"/>
    <n v="98"/>
    <n v="6.3"/>
    <x v="8"/>
    <n v="0.02"/>
    <n v="15508"/>
  </r>
  <r>
    <s v="The Double"/>
    <n v="2013"/>
    <x v="1"/>
    <n v="93"/>
    <n v="6.5"/>
    <x v="8"/>
    <n v="0.2"/>
    <n v="52452"/>
  </r>
  <r>
    <s v="Bright Days Ahead"/>
    <n v="2013"/>
    <x v="0"/>
    <n v="94"/>
    <n v="6.3"/>
    <x v="8"/>
    <n v="0.01"/>
    <n v="1843"/>
  </r>
  <r>
    <s v="Under The Skin"/>
    <n v="2013"/>
    <x v="0"/>
    <n v="108"/>
    <n v="6.3"/>
    <x v="8"/>
    <n v="2.61"/>
    <n v="153313"/>
  </r>
  <r>
    <s v="Tracks"/>
    <n v="2013"/>
    <x v="0"/>
    <n v="112"/>
    <n v="7.1"/>
    <x v="8"/>
    <n v="0.51"/>
    <n v="31165"/>
  </r>
  <r>
    <s v="Belle"/>
    <n v="2013"/>
    <x v="0"/>
    <n v="100"/>
    <n v="7.3"/>
    <x v="8"/>
    <n v="10.73"/>
    <n v="32628"/>
  </r>
  <r>
    <s v="Very Good Girls"/>
    <n v="2013"/>
    <x v="0"/>
    <n v="91"/>
    <n v="5.9"/>
    <x v="8"/>
    <n v="2.46"/>
    <n v="16215"/>
  </r>
  <r>
    <s v="Devil'S Knot"/>
    <n v="2013"/>
    <x v="1"/>
    <n v="114"/>
    <n v="6.1"/>
    <x v="8"/>
    <n v="2.46"/>
    <n v="23390"/>
  </r>
  <r>
    <s v="Human Capital"/>
    <n v="2013"/>
    <x v="0"/>
    <n v="111"/>
    <n v="7.2"/>
    <x v="8"/>
    <n v="0.16"/>
    <n v="13277"/>
  </r>
  <r>
    <s v="The Face Of Love"/>
    <n v="2013"/>
    <x v="2"/>
    <n v="92"/>
    <n v="6.2"/>
    <x v="8"/>
    <n v="0.31"/>
    <n v="5839"/>
  </r>
  <r>
    <s v="Starred Up"/>
    <n v="2013"/>
    <x v="0"/>
    <n v="106"/>
    <n v="7.3"/>
    <x v="8"/>
    <n v="0.03"/>
    <n v="48115"/>
  </r>
  <r>
    <s v="Philomena"/>
    <n v="2013"/>
    <x v="0"/>
    <n v="98"/>
    <n v="7.6"/>
    <x v="8"/>
    <n v="37.71"/>
    <n v="102928"/>
  </r>
  <r>
    <s v="Bastards"/>
    <n v="2013"/>
    <x v="2"/>
    <n v="100"/>
    <n v="6.1"/>
    <x v="8"/>
    <n v="0.01"/>
    <n v="3663"/>
  </r>
  <r>
    <s v="Words And Pictures"/>
    <n v="2013"/>
    <x v="0"/>
    <n v="111"/>
    <n v="6.6"/>
    <x v="8"/>
    <n v="2.17"/>
    <n v="11301"/>
  </r>
  <r>
    <s v="Begin Again"/>
    <n v="2013"/>
    <x v="0"/>
    <n v="104"/>
    <n v="7.4"/>
    <x v="8"/>
    <n v="16.170000000000002"/>
    <n v="164038"/>
  </r>
  <r>
    <s v="The Grand Seduction"/>
    <n v="2013"/>
    <x v="0"/>
    <n v="113"/>
    <n v="7"/>
    <x v="8"/>
    <n v="3.41"/>
    <n v="18857"/>
  </r>
  <r>
    <s v="Third Person"/>
    <n v="2013"/>
    <x v="0"/>
    <n v="137"/>
    <n v="6.3"/>
    <x v="8"/>
    <n v="1.02"/>
    <n v="29057"/>
  </r>
  <r>
    <s v="Felony"/>
    <n v="2013"/>
    <x v="0"/>
    <n v="105"/>
    <n v="6.1"/>
    <x v="8"/>
    <n v="2.46"/>
    <n v="5767"/>
  </r>
  <r>
    <s v="The Book Thief"/>
    <n v="2013"/>
    <x v="0"/>
    <n v="131"/>
    <n v="7.5"/>
    <x v="8"/>
    <n v="21.49"/>
    <n v="140748"/>
  </r>
  <r>
    <s v="Shield Of Straw"/>
    <n v="2013"/>
    <x v="0"/>
    <n v="117"/>
    <n v="6.2"/>
    <x v="8"/>
    <n v="2.46"/>
    <n v="2688"/>
  </r>
  <r>
    <s v="Open Grave"/>
    <n v="2013"/>
    <x v="0"/>
    <n v="102"/>
    <n v="6.2"/>
    <x v="8"/>
    <n v="2.46"/>
    <n v="30962"/>
  </r>
  <r>
    <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9999999997"/>
    <n v="210319"/>
  </r>
  <r>
    <s v="The French Minister"/>
    <n v="2013"/>
    <x v="0"/>
    <n v="113"/>
    <n v="6.4"/>
    <x v="8"/>
    <n v="0"/>
    <n v="3885"/>
  </r>
  <r>
    <s v="The Golden Dream"/>
    <n v="2013"/>
    <x v="0"/>
    <n v="108"/>
    <n v="7.6"/>
    <x v="8"/>
    <n v="2.46"/>
    <n v="5084"/>
  </r>
  <r>
    <s v="The Secret Life Of Walter Mitty"/>
    <n v="2013"/>
    <x v="1"/>
    <n v="114"/>
    <n v="7.3"/>
    <x v="8"/>
    <n v="58.24"/>
    <n v="332292"/>
  </r>
  <r>
    <s v="The Zero Theorem"/>
    <n v="2013"/>
    <x v="0"/>
    <n v="107"/>
    <n v="6"/>
    <x v="8"/>
    <n v="0.22"/>
    <n v="49104"/>
  </r>
  <r>
    <s v="Stray Dogs"/>
    <n v="2013"/>
    <x v="0"/>
    <n v="138"/>
    <n v="6.9"/>
    <x v="8"/>
    <n v="2.46"/>
    <n v="3019"/>
  </r>
  <r>
    <s v="Night Moves"/>
    <n v="2013"/>
    <x v="1"/>
    <n v="112"/>
    <n v="6.1"/>
    <x v="8"/>
    <n v="0.25"/>
    <n v="16461"/>
  </r>
  <r>
    <s v="In Secret"/>
    <n v="2013"/>
    <x v="0"/>
    <n v="107"/>
    <n v="6.1"/>
    <x v="8"/>
    <n v="0.42"/>
    <n v="9412"/>
  </r>
  <r>
    <s v="Is The Man Who Is Tall Happy?: An Animated Conversation With Noam Chomsky"/>
    <n v="2013"/>
    <x v="0"/>
    <n v="88"/>
    <n v="7.1"/>
    <x v="8"/>
    <n v="0.13"/>
    <n v="3644"/>
  </r>
  <r>
    <s v="Trust Me"/>
    <n v="2013"/>
    <x v="1"/>
    <n v="90"/>
    <n v="6.1"/>
    <x v="8"/>
    <n v="2.46"/>
    <n v="3569"/>
  </r>
  <r>
    <s v="The Missing Picture"/>
    <n v="2013"/>
    <x v="0"/>
    <n v="92"/>
    <n v="7.3"/>
    <x v="8"/>
    <n v="0.05"/>
    <n v="3460"/>
  </r>
  <r>
    <s v="Labor Day"/>
    <n v="2013"/>
    <x v="0"/>
    <n v="111"/>
    <n v="6.9"/>
    <x v="8"/>
    <n v="13.36"/>
    <n v="50571"/>
  </r>
  <r>
    <s v="Long Live Freedom"/>
    <n v="2013"/>
    <x v="0"/>
    <n v="94"/>
    <n v="6.9"/>
    <x v="8"/>
    <n v="0.05"/>
    <n v="4675"/>
  </r>
  <r>
    <s v="These Final Hours"/>
    <n v="2013"/>
    <x v="1"/>
    <n v="87"/>
    <n v="6.6"/>
    <x v="8"/>
    <n v="2.46"/>
    <n v="18541"/>
  </r>
  <r>
    <s v="Horns"/>
    <n v="2013"/>
    <x v="0"/>
    <n v="120"/>
    <n v="6.4"/>
    <x v="8"/>
    <n v="0.16"/>
    <n v="86937"/>
  </r>
  <r>
    <s v="Coherence"/>
    <n v="2013"/>
    <x v="0"/>
    <n v="89"/>
    <n v="7.2"/>
    <x v="8"/>
    <n v="7.0000000000000007E-2"/>
    <n v="141592"/>
  </r>
  <r>
    <s v="Fast &amp; Furious 6"/>
    <n v="2013"/>
    <x v="0"/>
    <n v="130"/>
    <n v="7"/>
    <x v="8"/>
    <n v="238.68"/>
    <n v="410901"/>
  </r>
  <r>
    <s v="Sacro Gra"/>
    <n v="2013"/>
    <x v="0"/>
    <n v="95"/>
    <n v="6.3"/>
    <x v="8"/>
    <n v="2.46"/>
    <n v="1862"/>
  </r>
  <r>
    <s v="The Smurfs 2"/>
    <n v="2013"/>
    <x v="0"/>
    <n v="105"/>
    <n v="5.3"/>
    <x v="8"/>
    <n v="71.02"/>
    <n v="45024"/>
  </r>
  <r>
    <s v="Only Lovers Left Alive"/>
    <n v="2013"/>
    <x v="0"/>
    <n v="123"/>
    <n v="7.2"/>
    <x v="8"/>
    <n v="1.88"/>
    <n v="106072"/>
  </r>
  <r>
    <s v="Planes"/>
    <n v="2013"/>
    <x v="0"/>
    <n v="91"/>
    <n v="5.7"/>
    <x v="8"/>
    <n v="90.29"/>
    <n v="47791"/>
  </r>
  <r>
    <s v="Canopy"/>
    <n v="2013"/>
    <x v="0"/>
    <n v="84"/>
    <n v="4.9000000000000004"/>
    <x v="8"/>
    <n v="0.01"/>
    <n v="1148"/>
  </r>
  <r>
    <s v="Jack And The Cuckoo-Clock Heart"/>
    <n v="2013"/>
    <x v="0"/>
    <n v="94"/>
    <n v="6.9"/>
    <x v="8"/>
    <n v="2.46"/>
    <n v="7294"/>
  </r>
  <r>
    <s v="2 Guns"/>
    <n v="2013"/>
    <x v="1"/>
    <n v="109"/>
    <n v="6.7"/>
    <x v="8"/>
    <n v="75.61"/>
    <n v="222163"/>
  </r>
  <r>
    <s v="The Retrieval"/>
    <n v="2013"/>
    <x v="0"/>
    <n v="92"/>
    <n v="6.6"/>
    <x v="8"/>
    <n v="0.05"/>
    <n v="2721"/>
  </r>
  <r>
    <s v="Going Away"/>
    <n v="2013"/>
    <x v="0"/>
    <n v="95"/>
    <n v="6.3"/>
    <x v="8"/>
    <n v="0.01"/>
    <n v="920"/>
  </r>
  <r>
    <s v="Suzanne"/>
    <n v="2013"/>
    <x v="0"/>
    <n v="94"/>
    <n v="6.7"/>
    <x v="8"/>
    <n v="2.46"/>
    <n v="1848"/>
  </r>
  <r>
    <s v="Jimi: All Is By My Side"/>
    <n v="2013"/>
    <x v="0"/>
    <n v="118"/>
    <n v="5.7"/>
    <x v="8"/>
    <n v="0.32"/>
    <n v="6938"/>
  </r>
  <r>
    <s v="The Young And Prodigious T.S. Spivet"/>
    <n v="2013"/>
    <x v="1"/>
    <n v="105"/>
    <n v="7"/>
    <x v="8"/>
    <n v="0.1"/>
    <n v="19416"/>
  </r>
  <r>
    <s v="Lucky Them"/>
    <n v="2013"/>
    <x v="0"/>
    <n v="97"/>
    <n v="6.1"/>
    <x v="8"/>
    <n v="0.03"/>
    <n v="3983"/>
  </r>
  <r>
    <s v="The Stag"/>
    <n v="2013"/>
    <x v="0"/>
    <n v="94"/>
    <n v="6"/>
    <x v="8"/>
    <n v="2.46"/>
    <n v="4450"/>
  </r>
  <r>
    <s v="Nymphomaniac: Vol. I"/>
    <n v="2013"/>
    <x v="2"/>
    <n v="117"/>
    <n v="6.9"/>
    <x v="8"/>
    <n v="0.79"/>
    <n v="129468"/>
  </r>
  <r>
    <s v="Nymphomaniac: Vol. Ii"/>
    <n v="2013"/>
    <x v="0"/>
    <n v="124"/>
    <n v="6.6"/>
    <x v="8"/>
    <n v="0.33"/>
    <n v="96643"/>
  </r>
  <r>
    <s v="Shadow Walkers"/>
    <n v="2013"/>
    <x v="1"/>
    <n v="96"/>
    <n v="5.5"/>
    <x v="8"/>
    <n v="2.46"/>
    <n v="8418"/>
  </r>
  <r>
    <s v="Delivery Man"/>
    <n v="2013"/>
    <x v="0"/>
    <n v="105"/>
    <n v="6.3"/>
    <x v="8"/>
    <n v="30.66"/>
    <n v="82061"/>
  </r>
  <r>
    <s v="The Tale Of The Princess Kaguya"/>
    <n v="2013"/>
    <x v="0"/>
    <n v="137"/>
    <n v="8"/>
    <x v="8"/>
    <n v="1.51"/>
    <n v="51669"/>
  </r>
  <r>
    <s v="Ida"/>
    <n v="2013"/>
    <x v="0"/>
    <n v="82"/>
    <n v="7.4"/>
    <x v="8"/>
    <n v="3.83"/>
    <n v="59941"/>
  </r>
  <r>
    <s v="The Conjuring"/>
    <n v="2013"/>
    <x v="0"/>
    <n v="112"/>
    <n v="7.5"/>
    <x v="8"/>
    <n v="137.4"/>
    <n v="542839"/>
  </r>
  <r>
    <s v="10 Rules For Sleeping Around"/>
    <n v="2013"/>
    <x v="0"/>
    <n v="94"/>
    <n v="3.6"/>
    <x v="8"/>
    <n v="2.46"/>
    <n v="3006"/>
  </r>
  <r>
    <s v="The Philosophers"/>
    <n v="2013"/>
    <x v="0"/>
    <n v="107"/>
    <n v="5.6"/>
    <x v="8"/>
    <n v="2.46"/>
    <n v="23224"/>
  </r>
  <r>
    <s v="The Hobbit: The Desolation Of Smaug"/>
    <n v="2013"/>
    <x v="0"/>
    <n v="161"/>
    <n v="7.8"/>
    <x v="8"/>
    <n v="258.37"/>
    <n v="691145"/>
  </r>
  <r>
    <s v="Violette"/>
    <n v="2013"/>
    <x v="0"/>
    <n v="139"/>
    <n v="6.9"/>
    <x v="8"/>
    <n v="2.46"/>
    <n v="2168"/>
  </r>
  <r>
    <s v="The Last Of Robin Hood"/>
    <n v="2013"/>
    <x v="0"/>
    <n v="94"/>
    <n v="5.7"/>
    <x v="8"/>
    <n v="0.27"/>
    <n v="2377"/>
  </r>
  <r>
    <s v="Innocence"/>
    <n v="2013"/>
    <x v="1"/>
    <n v="96"/>
    <n v="4.5"/>
    <x v="8"/>
    <n v="0.28999999999999998"/>
    <n v="1382"/>
  </r>
  <r>
    <s v="The Strange Colour Of Your Body'S Tears"/>
    <n v="2013"/>
    <x v="0"/>
    <n v="102"/>
    <n v="5.9"/>
    <x v="8"/>
    <n v="0.01"/>
    <n v="4306"/>
  </r>
  <r>
    <s v="A Thousand Times Good Night"/>
    <n v="2013"/>
    <x v="0"/>
    <n v="117"/>
    <n v="7"/>
    <x v="8"/>
    <n v="0.05"/>
    <n v="8077"/>
  </r>
  <r>
    <s v="Seduced And Abandoned"/>
    <n v="2013"/>
    <x v="0"/>
    <n v="98"/>
    <n v="6.6"/>
    <x v="8"/>
    <n v="2.46"/>
    <n v="1950"/>
  </r>
  <r>
    <s v="Inside Llewyn Davis"/>
    <n v="2013"/>
    <x v="0"/>
    <n v="104"/>
    <n v="7.4"/>
    <x v="8"/>
    <n v="13.24"/>
    <n v="160658"/>
  </r>
  <r>
    <s v="The Disappearance Of Eleanor Rigby: Her"/>
    <n v="2013"/>
    <x v="1"/>
    <n v="100"/>
    <n v="6.9"/>
    <x v="8"/>
    <n v="2.46"/>
    <n v="9651"/>
  </r>
  <r>
    <s v="The Disappearance Of Eleanor Rigby: Him"/>
    <n v="2013"/>
    <x v="0"/>
    <n v="89"/>
    <n v="6.8"/>
    <x v="8"/>
    <n v="2.46"/>
    <n v="10245"/>
  </r>
  <r>
    <s v="The Dance Of Reality"/>
    <n v="2013"/>
    <x v="0"/>
    <n v="133"/>
    <n v="7.5"/>
    <x v="8"/>
    <n v="0.19"/>
    <n v="9388"/>
  </r>
  <r>
    <s v="The Galapagos Affair: Satan Came To Eden"/>
    <n v="2013"/>
    <x v="0"/>
    <n v="120"/>
    <n v="6.7"/>
    <x v="8"/>
    <n v="0.25"/>
    <n v="1477"/>
  </r>
  <r>
    <s v="Department Q: The Keeper Of Lost Causes"/>
    <n v="2013"/>
    <x v="0"/>
    <n v="96"/>
    <n v="7.2"/>
    <x v="8"/>
    <n v="2.46"/>
    <n v="32161"/>
  </r>
  <r>
    <s v="Hammer Of The Gods"/>
    <n v="2013"/>
    <x v="2"/>
    <n v="99"/>
    <n v="4.5"/>
    <x v="8"/>
    <n v="0"/>
    <n v="8217"/>
  </r>
  <r>
    <s v="Still Life"/>
    <n v="2013"/>
    <x v="0"/>
    <n v="92"/>
    <n v="7.4"/>
    <x v="8"/>
    <n v="2.46"/>
    <n v="8712"/>
  </r>
  <r>
    <s v="Can'T Come Out To Play"/>
    <n v="2013"/>
    <x v="0"/>
    <n v="104"/>
    <n v="6.1"/>
    <x v="8"/>
    <n v="2.46"/>
    <n v="8314"/>
  </r>
  <r>
    <s v="Locke"/>
    <n v="2013"/>
    <x v="0"/>
    <n v="85"/>
    <n v="7.1"/>
    <x v="8"/>
    <n v="1.36"/>
    <n v="157005"/>
  </r>
  <r>
    <s v="Salinger"/>
    <n v="2013"/>
    <x v="0"/>
    <n v="120"/>
    <n v="6.7"/>
    <x v="8"/>
    <n v="0.57999999999999996"/>
    <n v="2660"/>
  </r>
  <r>
    <s v="Drew: The Man Behind The Poster"/>
    <n v="2013"/>
    <x v="0"/>
    <n v="97"/>
    <n v="7.4"/>
    <x v="8"/>
    <n v="2.46"/>
    <n v="1055"/>
  </r>
  <r>
    <s v="Elaine Stritch: Shoot Me"/>
    <n v="2013"/>
    <x v="1"/>
    <n v="81"/>
    <n v="7.5"/>
    <x v="8"/>
    <n v="0.3"/>
    <n v="977"/>
  </r>
  <r>
    <s v="Patema Inverted"/>
    <n v="2013"/>
    <x v="0"/>
    <n v="98"/>
    <n v="7.3"/>
    <x v="8"/>
    <n v="2.46"/>
    <n v="9976"/>
  </r>
  <r>
    <s v="Louder Than Words"/>
    <n v="2013"/>
    <x v="0"/>
    <n v="95"/>
    <n v="6"/>
    <x v="8"/>
    <n v="2.46"/>
    <n v="1177"/>
  </r>
  <r>
    <s v="Tom At The Farm"/>
    <n v="2013"/>
    <x v="0"/>
    <n v="102"/>
    <n v="6.9"/>
    <x v="8"/>
    <n v="2.46"/>
    <n v="19004"/>
  </r>
  <r>
    <s v="May In The Summer"/>
    <n v="2013"/>
    <x v="2"/>
    <n v="99"/>
    <n v="5.7"/>
    <x v="8"/>
    <n v="0.02"/>
    <n v="882"/>
  </r>
  <r>
    <s v="Gore Vidal: The United States Of Amnesia"/>
    <n v="2013"/>
    <x v="0"/>
    <n v="83"/>
    <n v="7.7"/>
    <x v="8"/>
    <n v="0.13"/>
    <n v="1300"/>
  </r>
  <r>
    <s v="Contracted"/>
    <n v="2013"/>
    <x v="0"/>
    <n v="84"/>
    <n v="5.3"/>
    <x v="8"/>
    <n v="0"/>
    <n v="16159"/>
  </r>
  <r>
    <s v="Nebraska"/>
    <n v="2013"/>
    <x v="0"/>
    <n v="115"/>
    <n v="7.7"/>
    <x v="8"/>
    <n v="17.649999999999999"/>
    <n v="121459"/>
  </r>
  <r>
    <s v="A Wolf At The Door"/>
    <n v="2013"/>
    <x v="0"/>
    <n v="101"/>
    <n v="7.4"/>
    <x v="8"/>
    <n v="2.46"/>
    <n v="4929"/>
  </r>
  <r>
    <s v="The Cold Lands"/>
    <n v="2013"/>
    <x v="1"/>
    <n v="100"/>
    <n v="6.2"/>
    <x v="8"/>
    <n v="2.46"/>
    <n v="504"/>
  </r>
  <r>
    <s v="The Great Beauty"/>
    <n v="2013"/>
    <x v="0"/>
    <n v="141"/>
    <n v="7.7"/>
    <x v="8"/>
    <n v="2.85"/>
    <n v="95870"/>
  </r>
  <r>
    <s v="Tangerines"/>
    <n v="2013"/>
    <x v="0"/>
    <n v="87"/>
    <n v="8.1"/>
    <x v="8"/>
    <n v="0.14000000000000001"/>
    <n v="48182"/>
  </r>
  <r>
    <s v="The Wait"/>
    <n v="2013"/>
    <x v="0"/>
    <n v="96"/>
    <n v="4.5"/>
    <x v="8"/>
    <n v="0"/>
    <n v="728"/>
  </r>
  <r>
    <s v="Hunting Elephants"/>
    <n v="2013"/>
    <x v="0"/>
    <n v="107"/>
    <n v="6.3"/>
    <x v="8"/>
    <n v="2.46"/>
    <n v="1140"/>
  </r>
  <r>
    <s v="Rapture-Palooza"/>
    <n v="2013"/>
    <x v="1"/>
    <n v="85"/>
    <n v="5.2"/>
    <x v="8"/>
    <n v="2.46"/>
    <n v="12316"/>
  </r>
  <r>
    <s v="The Hundred Year-Old Man Who Climbed Out Of The Window And Disappeared"/>
    <n v="2013"/>
    <x v="0"/>
    <n v="114"/>
    <n v="7"/>
    <x v="8"/>
    <n v="1.08"/>
    <n v="42143"/>
  </r>
  <r>
    <s v="The Liberator"/>
    <n v="2013"/>
    <x v="2"/>
    <n v="119"/>
    <n v="6.8"/>
    <x v="8"/>
    <n v="0.11"/>
    <n v="5505"/>
  </r>
  <r>
    <s v="Life Of A King"/>
    <n v="2013"/>
    <x v="0"/>
    <n v="100"/>
    <n v="6.9"/>
    <x v="8"/>
    <n v="0.01"/>
    <n v="7228"/>
  </r>
  <r>
    <s v="A Perfect Man"/>
    <n v="2013"/>
    <x v="0"/>
    <n v="95"/>
    <n v="5.2"/>
    <x v="8"/>
    <n v="0"/>
    <n v="2183"/>
  </r>
  <r>
    <s v="Palo Alto"/>
    <n v="2013"/>
    <x v="0"/>
    <n v="100"/>
    <n v="6.2"/>
    <x v="8"/>
    <n v="0.75"/>
    <n v="30728"/>
  </r>
  <r>
    <s v="C.O.G."/>
    <n v="2013"/>
    <x v="1"/>
    <n v="88"/>
    <n v="5.6"/>
    <x v="8"/>
    <n v="0.06"/>
    <n v="3871"/>
  </r>
  <r>
    <s v="A Five Star Life"/>
    <n v="2013"/>
    <x v="2"/>
    <n v="85"/>
    <n v="6.2"/>
    <x v="8"/>
    <n v="0.31"/>
    <n v="2574"/>
  </r>
  <r>
    <s v="Exposed: Beyond Burlesque"/>
    <n v="2013"/>
    <x v="0"/>
    <n v="77"/>
    <n v="6.5"/>
    <x v="8"/>
    <n v="2.46"/>
    <n v="113"/>
  </r>
  <r>
    <s v="Coldwater"/>
    <n v="2013"/>
    <x v="0"/>
    <n v="104"/>
    <n v="6.4"/>
    <x v="8"/>
    <n v="2.46"/>
    <n v="4386"/>
  </r>
  <r>
    <s v="After Tiller"/>
    <n v="2013"/>
    <x v="0"/>
    <n v="85"/>
    <n v="7.4"/>
    <x v="8"/>
    <n v="7.0000000000000007E-2"/>
    <n v="1109"/>
  </r>
  <r>
    <s v="In Bloom"/>
    <n v="2013"/>
    <x v="1"/>
    <n v="102"/>
    <n v="7.3"/>
    <x v="8"/>
    <n v="0.05"/>
    <n v="7057"/>
  </r>
  <r>
    <s v="Movie 43"/>
    <n v="2013"/>
    <x v="0"/>
    <n v="90"/>
    <n v="4.3"/>
    <x v="8"/>
    <n v="8.83"/>
    <n v="110520"/>
  </r>
  <r>
    <s v="A Single Shot"/>
    <n v="2013"/>
    <x v="0"/>
    <n v="116"/>
    <n v="5.7"/>
    <x v="8"/>
    <n v="0.01"/>
    <n v="11515"/>
  </r>
  <r>
    <s v="52 Tuesdays"/>
    <n v="2013"/>
    <x v="0"/>
    <n v="114"/>
    <n v="6.4"/>
    <x v="8"/>
    <n v="2.46"/>
    <n v="1529"/>
  </r>
  <r>
    <s v="Olympus Has Fallen"/>
    <n v="2013"/>
    <x v="0"/>
    <n v="119"/>
    <n v="6.5"/>
    <x v="8"/>
    <n v="98.93"/>
    <n v="288159"/>
  </r>
  <r>
    <s v="The Kingdom Of Dreams And Madness"/>
    <n v="2013"/>
    <x v="0"/>
    <n v="118"/>
    <n v="7.7"/>
    <x v="8"/>
    <n v="2.46"/>
    <n v="5518"/>
  </r>
  <r>
    <s v="The Odd Way Home"/>
    <n v="2013"/>
    <x v="0"/>
    <n v="87"/>
    <n v="6.6"/>
    <x v="8"/>
    <n v="2.46"/>
    <n v="197"/>
  </r>
  <r>
    <s v="Jamesy Boy"/>
    <n v="2014"/>
    <x v="0"/>
    <n v="109"/>
    <n v="6.2"/>
    <x v="8"/>
    <n v="2.46"/>
    <n v="6234"/>
  </r>
  <r>
    <s v="I, Frankenstein"/>
    <n v="2014"/>
    <x v="0"/>
    <n v="92"/>
    <n v="5.0999999999999996"/>
    <x v="8"/>
    <n v="19.079999999999998"/>
    <n v="83174"/>
  </r>
  <r>
    <s v="The Grand Budapest Hotel"/>
    <n v="2014"/>
    <x v="0"/>
    <n v="99"/>
    <n v="8.1"/>
    <x v="8"/>
    <n v="59.1"/>
    <n v="865027"/>
  </r>
  <r>
    <s v="300: Rise Of An Empire"/>
    <n v="2014"/>
    <x v="0"/>
    <n v="102"/>
    <n v="6.2"/>
    <x v="8"/>
    <n v="106.58"/>
    <n v="311941"/>
  </r>
  <r>
    <s v="13 Sins"/>
    <n v="2014"/>
    <x v="1"/>
    <n v="93"/>
    <n v="6.3"/>
    <x v="8"/>
    <n v="0.01"/>
    <n v="38494"/>
  </r>
  <r>
    <s v="Reasonable Doubt"/>
    <n v="2014"/>
    <x v="1"/>
    <n v="91"/>
    <n v="5.7"/>
    <x v="8"/>
    <n v="2.46"/>
    <n v="20579"/>
  </r>
  <r>
    <s v="Better Living Through Chemistry"/>
    <n v="2014"/>
    <x v="0"/>
    <n v="91"/>
    <n v="6.2"/>
    <x v="8"/>
    <n v="7.0000000000000007E-2"/>
    <n v="15528"/>
  </r>
  <r>
    <s v="Veronica Mars"/>
    <n v="2014"/>
    <x v="0"/>
    <n v="107"/>
    <n v="6.7"/>
    <x v="8"/>
    <n v="3.32"/>
    <n v="54238"/>
  </r>
  <r>
    <s v="Yves Saint Laurent"/>
    <n v="2014"/>
    <x v="0"/>
    <n v="106"/>
    <n v="6.2"/>
    <x v="8"/>
    <n v="0.72"/>
    <n v="12832"/>
  </r>
  <r>
    <s v="The Carrier"/>
    <n v="2014"/>
    <x v="0"/>
    <n v="108"/>
    <n v="5.2"/>
    <x v="8"/>
    <n v="0.05"/>
    <n v="16943"/>
  </r>
  <r>
    <s v="Tokarev"/>
    <n v="2014"/>
    <x v="0"/>
    <n v="98"/>
    <n v="5"/>
    <x v="8"/>
    <n v="2.46"/>
    <n v="25227"/>
  </r>
  <r>
    <s v="Robocop"/>
    <n v="2014"/>
    <x v="0"/>
    <n v="117"/>
    <n v="6.1"/>
    <x v="8"/>
    <n v="58.61"/>
    <n v="236708"/>
  </r>
  <r>
    <s v="Tinker Bell And The Pirate Fairy"/>
    <n v="2014"/>
    <x v="0"/>
    <n v="78"/>
    <n v="6.6"/>
    <x v="8"/>
    <n v="2.46"/>
    <n v="14317"/>
  </r>
  <r>
    <s v="The Monuments Men"/>
    <n v="2014"/>
    <x v="0"/>
    <n v="118"/>
    <n v="6.1"/>
    <x v="8"/>
    <n v="78.03"/>
    <n v="137436"/>
  </r>
  <r>
    <s v="Pompeii"/>
    <n v="2014"/>
    <x v="1"/>
    <n v="105"/>
    <n v="5.5"/>
    <x v="8"/>
    <n v="23.22"/>
    <n v="115099"/>
  </r>
  <r>
    <s v="3 Days To Kill"/>
    <n v="2014"/>
    <x v="0"/>
    <n v="117"/>
    <n v="6.2"/>
    <x v="8"/>
    <n v="30.7"/>
    <n v="96652"/>
  </r>
  <r>
    <s v="Walk Of Shame"/>
    <n v="2014"/>
    <x v="0"/>
    <n v="95"/>
    <n v="6"/>
    <x v="8"/>
    <n v="0.04"/>
    <n v="56468"/>
  </r>
  <r>
    <s v="The Legend Of Hercules"/>
    <n v="2014"/>
    <x v="0"/>
    <n v="99"/>
    <n v="4.2"/>
    <x v="8"/>
    <n v="18.850000000000001"/>
    <n v="55612"/>
  </r>
  <r>
    <s v="Barefoot"/>
    <n v="2014"/>
    <x v="1"/>
    <n v="90"/>
    <n v="6.5"/>
    <x v="8"/>
    <n v="0.01"/>
    <n v="26725"/>
  </r>
  <r>
    <s v="Jack Ryan: Shadow Recruit"/>
    <n v="2014"/>
    <x v="1"/>
    <n v="105"/>
    <n v="6.2"/>
    <x v="8"/>
    <n v="50.58"/>
    <n v="136755"/>
  </r>
  <r>
    <s v="Vampire Academy"/>
    <n v="2014"/>
    <x v="0"/>
    <n v="104"/>
    <n v="5.4"/>
    <x v="8"/>
    <n v="7.79"/>
    <n v="56374"/>
  </r>
  <r>
    <s v="In The Blood"/>
    <n v="2014"/>
    <x v="1"/>
    <n v="108"/>
    <n v="5.7"/>
    <x v="8"/>
    <n v="2.46"/>
    <n v="12918"/>
  </r>
  <r>
    <s v="Small Time"/>
    <n v="2014"/>
    <x v="0"/>
    <n v="104"/>
    <n v="6"/>
    <x v="8"/>
    <n v="2.46"/>
    <n v="1492"/>
  </r>
  <r>
    <s v="A New York Winter'S Tale"/>
    <n v="2014"/>
    <x v="0"/>
    <n v="118"/>
    <n v="6.1"/>
    <x v="8"/>
    <n v="0.02"/>
    <n v="56129"/>
  </r>
  <r>
    <s v="Honour"/>
    <n v="2014"/>
    <x v="1"/>
    <n v="104"/>
    <n v="6"/>
    <x v="8"/>
    <n v="2.46"/>
    <n v="1089"/>
  </r>
  <r>
    <s v="Endless Love"/>
    <n v="2014"/>
    <x v="0"/>
    <n v="104"/>
    <n v="6.2"/>
    <x v="8"/>
    <n v="23.39"/>
    <n v="47092"/>
  </r>
  <r>
    <s v="Non-Stop"/>
    <n v="2014"/>
    <x v="1"/>
    <n v="106"/>
    <n v="6.9"/>
    <x v="8"/>
    <n v="92.17"/>
    <n v="273983"/>
  </r>
  <r>
    <s v="Edge Of Tomorrow"/>
    <n v="2014"/>
    <x v="0"/>
    <n v="113"/>
    <n v="7.9"/>
    <x v="8"/>
    <n v="100.21"/>
    <n v="718442"/>
  </r>
  <r>
    <s v="Noah"/>
    <n v="2014"/>
    <x v="0"/>
    <n v="138"/>
    <n v="5.8"/>
    <x v="8"/>
    <n v="101.2"/>
    <n v="263415"/>
  </r>
  <r>
    <s v="Divergent"/>
    <n v="2014"/>
    <x v="0"/>
    <n v="139"/>
    <n v="6.6"/>
    <x v="8"/>
    <n v="150.94999999999999"/>
    <n v="479685"/>
  </r>
  <r>
    <s v="Grace Of Monaco"/>
    <n v="2014"/>
    <x v="0"/>
    <n v="103"/>
    <n v="5.7"/>
    <x v="8"/>
    <n v="2.46"/>
    <n v="20932"/>
  </r>
  <r>
    <s v="Cesar Chavez"/>
    <n v="2014"/>
    <x v="0"/>
    <n v="102"/>
    <n v="6.4"/>
    <x v="8"/>
    <n v="5.55"/>
    <n v="3575"/>
  </r>
  <r>
    <s v="Draft Day"/>
    <n v="2014"/>
    <x v="0"/>
    <n v="110"/>
    <n v="6.8"/>
    <x v="8"/>
    <n v="28.83"/>
    <n v="65071"/>
  </r>
  <r>
    <s v="Frontera Norte"/>
    <n v="2014"/>
    <x v="0"/>
    <n v="103"/>
    <n v="6.6"/>
    <x v="8"/>
    <n v="0.06"/>
    <n v="8331"/>
  </r>
  <r>
    <s v="Sabotage"/>
    <n v="2014"/>
    <x v="2"/>
    <n v="109"/>
    <n v="5.7"/>
    <x v="8"/>
    <n v="10.51"/>
    <n v="65562"/>
  </r>
  <r>
    <s v="Rob The Mob"/>
    <n v="2014"/>
    <x v="2"/>
    <n v="104"/>
    <n v="6.3"/>
    <x v="8"/>
    <n v="0.21"/>
    <n v="11621"/>
  </r>
  <r>
    <s v="X-Men: Days Of Future Past"/>
    <n v="2014"/>
    <x v="0"/>
    <n v="132"/>
    <n v="7.9"/>
    <x v="8"/>
    <n v="233.92"/>
    <n v="734897"/>
  </r>
  <r>
    <s v="Need For Speed"/>
    <n v="2014"/>
    <x v="0"/>
    <n v="132"/>
    <n v="6.4"/>
    <x v="8"/>
    <n v="43.58"/>
    <n v="176603"/>
  </r>
  <r>
    <s v="Transcendence"/>
    <n v="2014"/>
    <x v="0"/>
    <n v="119"/>
    <n v="6.2"/>
    <x v="8"/>
    <n v="23.02"/>
    <n v="236434"/>
  </r>
  <r>
    <s v="The Fault In Our Stars"/>
    <n v="2014"/>
    <x v="0"/>
    <n v="126"/>
    <n v="7.7"/>
    <x v="8"/>
    <n v="124.87"/>
    <n v="394456"/>
  </r>
  <r>
    <s v="The Other Woman"/>
    <n v="2014"/>
    <x v="0"/>
    <n v="109"/>
    <n v="6"/>
    <x v="8"/>
    <n v="83.91"/>
    <n v="147747"/>
  </r>
  <r>
    <s v="The Amazing Spider-Man 2"/>
    <n v="2014"/>
    <x v="1"/>
    <n v="142"/>
    <n v="6.6"/>
    <x v="8"/>
    <n v="202.85"/>
    <n v="526293"/>
  </r>
  <r>
    <s v="Godzilla"/>
    <n v="2014"/>
    <x v="1"/>
    <n v="123"/>
    <n v="6.4"/>
    <x v="8"/>
    <n v="200.68"/>
    <n v="429753"/>
  </r>
  <r>
    <s v="The Purge: Anarchy"/>
    <n v="2014"/>
    <x v="0"/>
    <n v="103"/>
    <n v="6.4"/>
    <x v="8"/>
    <n v="71.959999999999994"/>
    <n v="159927"/>
  </r>
  <r>
    <s v="The Rover"/>
    <n v="2014"/>
    <x v="2"/>
    <n v="103"/>
    <n v="6.4"/>
    <x v="8"/>
    <n v="1.1100000000000001"/>
    <n v="50471"/>
  </r>
  <r>
    <s v="The Prince"/>
    <n v="2014"/>
    <x v="0"/>
    <n v="93"/>
    <n v="4.5999999999999996"/>
    <x v="8"/>
    <n v="2.46"/>
    <n v="19071"/>
  </r>
  <r>
    <s v="Welcome To New York"/>
    <n v="2014"/>
    <x v="0"/>
    <n v="125"/>
    <n v="5.6"/>
    <x v="8"/>
    <n v="2.46"/>
    <n v="3957"/>
  </r>
  <r>
    <s v="The Expendables 3"/>
    <n v="2014"/>
    <x v="0"/>
    <n v="126"/>
    <n v="6.1"/>
    <x v="8"/>
    <n v="39.32"/>
    <n v="193063"/>
  </r>
  <r>
    <s v="Closer To The Moon"/>
    <n v="2014"/>
    <x v="0"/>
    <n v="112"/>
    <n v="6.7"/>
    <x v="8"/>
    <n v="2.46"/>
    <n v="4287"/>
  </r>
  <r>
    <s v="Chef"/>
    <n v="2014"/>
    <x v="0"/>
    <n v="114"/>
    <n v="7.3"/>
    <x v="8"/>
    <n v="31.42"/>
    <n v="226653"/>
  </r>
  <r>
    <s v="Frank"/>
    <n v="2014"/>
    <x v="2"/>
    <n v="95"/>
    <n v="6.9"/>
    <x v="8"/>
    <n v="0.64"/>
    <n v="81559"/>
  </r>
  <r>
    <s v="The Giver"/>
    <n v="2014"/>
    <x v="0"/>
    <n v="97"/>
    <n v="6.4"/>
    <x v="8"/>
    <n v="45.09"/>
    <n v="123643"/>
  </r>
  <r>
    <s v="The Calling"/>
    <n v="2014"/>
    <x v="0"/>
    <n v="108"/>
    <n v="5.8"/>
    <x v="8"/>
    <n v="2.46"/>
    <n v="9008"/>
  </r>
  <r>
    <s v="4 Minute Mile"/>
    <n v="2014"/>
    <x v="0"/>
    <n v="96"/>
    <n v="6.2"/>
    <x v="8"/>
    <n v="2.46"/>
    <n v="3080"/>
  </r>
  <r>
    <s v="Maps To The Stars"/>
    <n v="2014"/>
    <x v="0"/>
    <n v="111"/>
    <n v="6.2"/>
    <x v="8"/>
    <n v="0.35"/>
    <n v="42413"/>
  </r>
  <r>
    <s v="A Million Ways To Die In The West"/>
    <n v="2014"/>
    <x v="1"/>
    <n v="116"/>
    <n v="6.1"/>
    <x v="8"/>
    <n v="43.14"/>
    <n v="195707"/>
  </r>
  <r>
    <s v="Bad Neighbours"/>
    <n v="2014"/>
    <x v="0"/>
    <n v="97"/>
    <n v="6.3"/>
    <x v="8"/>
    <n v="150.16"/>
    <n v="324212"/>
  </r>
  <r>
    <s v="The Two Faces Of January"/>
    <n v="2014"/>
    <x v="1"/>
    <n v="96"/>
    <n v="6.2"/>
    <x v="8"/>
    <n v="0.51"/>
    <n v="33188"/>
  </r>
  <r>
    <s v="Good People"/>
    <n v="2014"/>
    <x v="1"/>
    <n v="90"/>
    <n v="5.5"/>
    <x v="8"/>
    <n v="2.46"/>
    <n v="17051"/>
  </r>
  <r>
    <s v="The Homesman"/>
    <n v="2014"/>
    <x v="0"/>
    <n v="122"/>
    <n v="6.6"/>
    <x v="8"/>
    <n v="2.4300000000000002"/>
    <n v="34865"/>
  </r>
  <r>
    <s v="The November Man"/>
    <n v="2014"/>
    <x v="2"/>
    <n v="108"/>
    <n v="6.3"/>
    <x v="8"/>
    <n v="24.98"/>
    <n v="69841"/>
  </r>
  <r>
    <s v="Transformers: Age Of Extinction"/>
    <n v="2014"/>
    <x v="0"/>
    <n v="165"/>
    <n v="5.6"/>
    <x v="8"/>
    <n v="245.44"/>
    <n v="327773"/>
  </r>
  <r>
    <s v="Beauty And The Beast"/>
    <n v="2014"/>
    <x v="0"/>
    <n v="112"/>
    <n v="6.4"/>
    <x v="8"/>
    <n v="2.46"/>
    <n v="22056"/>
  </r>
  <r>
    <s v="Million Dollar Arm"/>
    <n v="2014"/>
    <x v="1"/>
    <n v="124"/>
    <n v="7"/>
    <x v="8"/>
    <n v="36.450000000000003"/>
    <n v="47385"/>
  </r>
  <r>
    <s v="White Bird In A Blizzard"/>
    <n v="2014"/>
    <x v="0"/>
    <n v="91"/>
    <n v="6.4"/>
    <x v="8"/>
    <n v="0.03"/>
    <n v="29717"/>
  </r>
  <r>
    <s v="The Scribbler"/>
    <n v="2014"/>
    <x v="2"/>
    <n v="88"/>
    <n v="5.3"/>
    <x v="8"/>
    <n v="2.46"/>
    <n v="5099"/>
  </r>
  <r>
    <s v="Automata"/>
    <n v="2014"/>
    <x v="1"/>
    <n v="109"/>
    <n v="6"/>
    <x v="8"/>
    <n v="2.46"/>
    <n v="58738"/>
  </r>
  <r>
    <s v="10.000 Km"/>
    <n v="2014"/>
    <x v="1"/>
    <n v="99"/>
    <n v="6.6"/>
    <x v="8"/>
    <n v="2.46"/>
    <n v="4776"/>
  </r>
  <r>
    <s v="A Walk Among The Tombstones"/>
    <n v="2014"/>
    <x v="0"/>
    <n v="114"/>
    <n v="6.5"/>
    <x v="8"/>
    <n v="26.31"/>
    <n v="125898"/>
  </r>
  <r>
    <s v="Cold In July"/>
    <n v="2014"/>
    <x v="0"/>
    <n v="109"/>
    <n v="6.7"/>
    <x v="8"/>
    <n v="0.41"/>
    <n v="37112"/>
  </r>
  <r>
    <s v="Sin City: A Dame To Kill For"/>
    <n v="2014"/>
    <x v="0"/>
    <n v="102"/>
    <n v="6.5"/>
    <x v="8"/>
    <n v="13.76"/>
    <n v="168286"/>
  </r>
  <r>
    <s v="Bad Land: Road To Fury"/>
    <n v="2014"/>
    <x v="0"/>
    <n v="100"/>
    <n v="5.8"/>
    <x v="8"/>
    <n v="2.46"/>
    <n v="10219"/>
  </r>
  <r>
    <s v="Left Behind"/>
    <n v="2014"/>
    <x v="0"/>
    <n v="110"/>
    <n v="3.1"/>
    <x v="8"/>
    <n v="14"/>
    <n v="41843"/>
  </r>
  <r>
    <s v="Northern Soul"/>
    <n v="2014"/>
    <x v="0"/>
    <n v="102"/>
    <n v="6.3"/>
    <x v="8"/>
    <n v="0.01"/>
    <n v="4201"/>
  </r>
  <r>
    <s v="Dawn Of The Planet Of The Apes"/>
    <n v="2014"/>
    <x v="0"/>
    <n v="130"/>
    <n v="7.6"/>
    <x v="8"/>
    <n v="208.55"/>
    <n v="459087"/>
  </r>
  <r>
    <s v="The Judge"/>
    <n v="2014"/>
    <x v="2"/>
    <n v="141"/>
    <n v="7.4"/>
    <x v="8"/>
    <n v="47.12"/>
    <n v="198828"/>
  </r>
  <r>
    <s v="Still The Water"/>
    <n v="2014"/>
    <x v="2"/>
    <n v="121"/>
    <n v="6.7"/>
    <x v="8"/>
    <n v="2.46"/>
    <n v="3009"/>
  </r>
  <r>
    <s v="If I Stay"/>
    <n v="2014"/>
    <x v="0"/>
    <n v="107"/>
    <n v="6.7"/>
    <x v="8"/>
    <n v="50.47"/>
    <n v="127232"/>
  </r>
  <r>
    <s v="God Help The Girl"/>
    <n v="2014"/>
    <x v="0"/>
    <n v="112"/>
    <n v="6.4"/>
    <x v="8"/>
    <n v="0.1"/>
    <n v="9176"/>
  </r>
  <r>
    <s v="20,000 Days On Earth"/>
    <n v="2014"/>
    <x v="1"/>
    <n v="97"/>
    <n v="7.4"/>
    <x v="8"/>
    <n v="0.28000000000000003"/>
    <n v="11852"/>
  </r>
  <r>
    <s v="Starry Eyes"/>
    <n v="2014"/>
    <x v="0"/>
    <n v="98"/>
    <n v="6"/>
    <x v="8"/>
    <n v="2.46"/>
    <n v="21946"/>
  </r>
  <r>
    <s v="Miss Meadows"/>
    <n v="2014"/>
    <x v="0"/>
    <n v="88"/>
    <n v="5.8"/>
    <x v="8"/>
    <n v="2.46"/>
    <n v="9625"/>
  </r>
  <r>
    <s v="The Hundred-Foot Journey"/>
    <n v="2014"/>
    <x v="0"/>
    <n v="122"/>
    <n v="7.3"/>
    <x v="8"/>
    <n v="54.24"/>
    <n v="86461"/>
  </r>
  <r>
    <s v="Ivory Tower"/>
    <n v="2014"/>
    <x v="0"/>
    <n v="90"/>
    <n v="7"/>
    <x v="8"/>
    <n v="0.1"/>
    <n v="1386"/>
  </r>
  <r>
    <s v="Lucy"/>
    <n v="2014"/>
    <x v="0"/>
    <n v="89"/>
    <n v="6.4"/>
    <x v="8"/>
    <n v="126.66"/>
    <n v="522693"/>
  </r>
  <r>
    <s v="Dracula Untold"/>
    <n v="2014"/>
    <x v="0"/>
    <n v="92"/>
    <n v="6.2"/>
    <x v="8"/>
    <n v="56.28"/>
    <n v="204612"/>
  </r>
  <r>
    <s v="Maleficent"/>
    <n v="2014"/>
    <x v="0"/>
    <n v="97"/>
    <n v="6.9"/>
    <x v="8"/>
    <n v="241.41"/>
    <n v="393906"/>
  </r>
  <r>
    <s v="Predestination"/>
    <n v="2014"/>
    <x v="0"/>
    <n v="97"/>
    <n v="7.4"/>
    <x v="8"/>
    <n v="7.0000000000000007E-2"/>
    <n v="296401"/>
  </r>
  <r>
    <s v="Cantinflas"/>
    <n v="2014"/>
    <x v="2"/>
    <n v="102"/>
    <n v="6.6"/>
    <x v="8"/>
    <n v="6.37"/>
    <n v="4152"/>
  </r>
  <r>
    <s v="Jersey Boys"/>
    <n v="2014"/>
    <x v="0"/>
    <n v="134"/>
    <n v="6.8"/>
    <x v="8"/>
    <n v="47.03"/>
    <n v="36189"/>
  </r>
  <r>
    <s v="The Longest Week"/>
    <n v="2014"/>
    <x v="1"/>
    <n v="86"/>
    <n v="5.4"/>
    <x v="8"/>
    <n v="2.46"/>
    <n v="13210"/>
  </r>
  <r>
    <s v="Hercules"/>
    <n v="2014"/>
    <x v="0"/>
    <n v="98"/>
    <n v="6"/>
    <x v="8"/>
    <n v="72.69"/>
    <n v="162469"/>
  </r>
  <r>
    <s v="Annabelle"/>
    <n v="2014"/>
    <x v="1"/>
    <n v="99"/>
    <n v="5.4"/>
    <x v="8"/>
    <n v="84.27"/>
    <n v="171736"/>
  </r>
  <r>
    <s v="Manny"/>
    <n v="2014"/>
    <x v="1"/>
    <n v="88"/>
    <n v="7.1"/>
    <x v="8"/>
    <n v="2.46"/>
    <n v="2317"/>
  </r>
  <r>
    <s v="Kelly &amp; Cal"/>
    <n v="2014"/>
    <x v="0"/>
    <n v="111"/>
    <n v="6.2"/>
    <x v="8"/>
    <n v="0.01"/>
    <n v="2191"/>
  </r>
  <r>
    <s v="Jimmy'S Hall"/>
    <n v="2014"/>
    <x v="1"/>
    <n v="109"/>
    <n v="6.7"/>
    <x v="8"/>
    <n v="0.56000000000000005"/>
    <n v="6818"/>
  </r>
  <r>
    <s v="St. Vincent"/>
    <n v="2014"/>
    <x v="0"/>
    <n v="102"/>
    <n v="7.2"/>
    <x v="8"/>
    <n v="44.13"/>
    <n v="107332"/>
  </r>
  <r>
    <s v="The Guest"/>
    <n v="2014"/>
    <x v="0"/>
    <n v="100"/>
    <n v="6.7"/>
    <x v="8"/>
    <n v="0.32"/>
    <n v="104727"/>
  </r>
  <r>
    <s v="The Captive"/>
    <n v="2014"/>
    <x v="0"/>
    <n v="112"/>
    <n v="5.9"/>
    <x v="8"/>
    <n v="2.46"/>
    <n v="35305"/>
  </r>
  <r>
    <s v="This Is Where I Leave You"/>
    <n v="2014"/>
    <x v="0"/>
    <n v="103"/>
    <n v="6.6"/>
    <x v="8"/>
    <n v="34.29"/>
    <n v="87232"/>
  </r>
  <r>
    <s v="Dying Of The Light"/>
    <n v="2014"/>
    <x v="0"/>
    <n v="94"/>
    <n v="4.5"/>
    <x v="8"/>
    <n v="2.46"/>
    <n v="11266"/>
  </r>
  <r>
    <s v="Rudderless"/>
    <n v="2014"/>
    <x v="0"/>
    <n v="105"/>
    <n v="7.4"/>
    <x v="8"/>
    <n v="0.04"/>
    <n v="19270"/>
  </r>
  <r>
    <s v="The Maze Runner"/>
    <n v="2014"/>
    <x v="0"/>
    <n v="113"/>
    <n v="6.8"/>
    <x v="8"/>
    <n v="102.43"/>
    <n v="495561"/>
  </r>
  <r>
    <s v="Magic In The Moonlight"/>
    <n v="2014"/>
    <x v="0"/>
    <n v="97"/>
    <n v="6.5"/>
    <x v="8"/>
    <n v="10.51"/>
    <n v="70080"/>
  </r>
  <r>
    <s v="Life Itself"/>
    <n v="2014"/>
    <x v="0"/>
    <n v="121"/>
    <n v="7.8"/>
    <x v="8"/>
    <n v="0.81"/>
    <n v="16137"/>
  </r>
  <r>
    <s v="A Hard Day"/>
    <n v="2014"/>
    <x v="3"/>
    <n v="111"/>
    <n v="7.2"/>
    <x v="8"/>
    <n v="2.46"/>
    <n v="15653"/>
  </r>
  <r>
    <s v="A Most Wanted Man"/>
    <n v="2014"/>
    <x v="0"/>
    <n v="122"/>
    <n v="6.7"/>
    <x v="8"/>
    <n v="17.239999999999998"/>
    <n v="79171"/>
  </r>
  <r>
    <s v="Bird People"/>
    <n v="2014"/>
    <x v="1"/>
    <n v="127"/>
    <n v="6.1"/>
    <x v="8"/>
    <n v="0.01"/>
    <n v="3236"/>
  </r>
  <r>
    <s v="The Wonders"/>
    <n v="2014"/>
    <x v="0"/>
    <n v="110"/>
    <n v="6.6"/>
    <x v="8"/>
    <n v="7.0000000000000007E-2"/>
    <n v="5729"/>
  </r>
  <r>
    <s v="Fury"/>
    <n v="2014"/>
    <x v="2"/>
    <n v="134"/>
    <n v="7.6"/>
    <x v="8"/>
    <n v="85.82"/>
    <n v="528835"/>
  </r>
  <r>
    <s v="Road To Paloma"/>
    <n v="2014"/>
    <x v="0"/>
    <n v="91"/>
    <n v="6"/>
    <x v="8"/>
    <n v="2.46"/>
    <n v="5416"/>
  </r>
  <r>
    <s v="I Origins"/>
    <n v="2014"/>
    <x v="0"/>
    <n v="106"/>
    <n v="7.3"/>
    <x v="8"/>
    <n v="0.33"/>
    <n v="131344"/>
  </r>
  <r>
    <s v="Gone Girl"/>
    <n v="2014"/>
    <x v="0"/>
    <n v="149"/>
    <n v="8.1"/>
    <x v="8"/>
    <n v="167.77"/>
    <n v="1038574"/>
  </r>
  <r>
    <s v="As Above, So Below"/>
    <n v="2014"/>
    <x v="1"/>
    <n v="93"/>
    <n v="6.2"/>
    <x v="8"/>
    <n v="21.2"/>
    <n v="107524"/>
  </r>
  <r>
    <s v="The Equalizer"/>
    <n v="2014"/>
    <x v="1"/>
    <n v="132"/>
    <n v="7.2"/>
    <x v="8"/>
    <n v="101.53"/>
    <n v="404864"/>
  </r>
  <r>
    <s v="God'S Pocket"/>
    <n v="2014"/>
    <x v="0"/>
    <n v="88"/>
    <n v="6.1"/>
    <x v="8"/>
    <n v="0.1"/>
    <n v="12072"/>
  </r>
  <r>
    <s v="Serena"/>
    <n v="2014"/>
    <x v="0"/>
    <n v="109"/>
    <n v="5.4"/>
    <x v="8"/>
    <n v="0.18"/>
    <n v="30060"/>
  </r>
  <r>
    <s v="Two Days, One Night"/>
    <n v="2014"/>
    <x v="1"/>
    <n v="95"/>
    <n v="7.3"/>
    <x v="8"/>
    <n v="1.44"/>
    <n v="50005"/>
  </r>
  <r>
    <s v="The Raid 2"/>
    <n v="2014"/>
    <x v="0"/>
    <n v="150"/>
    <n v="7.9"/>
    <x v="8"/>
    <n v="2.63"/>
    <n v="129396"/>
  </r>
  <r>
    <s v="Before I Go To Sleep"/>
    <n v="2014"/>
    <x v="0"/>
    <n v="92"/>
    <n v="6.3"/>
    <x v="8"/>
    <n v="2.96"/>
    <n v="82892"/>
  </r>
  <r>
    <s v="Captain America: The Winter Soldier"/>
    <n v="2014"/>
    <x v="0"/>
    <n v="136"/>
    <n v="7.8"/>
    <x v="8"/>
    <n v="259.77"/>
    <n v="883820"/>
  </r>
  <r>
    <s v="Alive Inside"/>
    <n v="2014"/>
    <x v="0"/>
    <n v="78"/>
    <n v="8.1999999999999993"/>
    <x v="8"/>
    <n v="0.15"/>
    <n v="3209"/>
  </r>
  <r>
    <s v="Take Care"/>
    <n v="2014"/>
    <x v="0"/>
    <n v="94"/>
    <n v="6.1"/>
    <x v="8"/>
    <n v="2.46"/>
    <n v="3247"/>
  </r>
  <r>
    <s v="Goodbye To Language"/>
    <n v="2014"/>
    <x v="0"/>
    <n v="70"/>
    <n v="5.8"/>
    <x v="8"/>
    <n v="2.46"/>
    <n v="6222"/>
  </r>
  <r>
    <s v="Murder Of A Cat"/>
    <n v="2014"/>
    <x v="0"/>
    <n v="101"/>
    <n v="5.3"/>
    <x v="8"/>
    <n v="2.46"/>
    <n v="1762"/>
  </r>
  <r>
    <s v="Boyhood"/>
    <n v="2014"/>
    <x v="0"/>
    <n v="165"/>
    <n v="7.9"/>
    <x v="8"/>
    <n v="25.38"/>
    <n v="363792"/>
  </r>
  <r>
    <s v="Jamie Marks Is Dead"/>
    <n v="2014"/>
    <x v="1"/>
    <n v="101"/>
    <n v="5.5"/>
    <x v="8"/>
    <n v="2.46"/>
    <n v="2722"/>
  </r>
  <r>
    <s v="About Alex"/>
    <n v="2014"/>
    <x v="0"/>
    <n v="99"/>
    <n v="6.3"/>
    <x v="8"/>
    <n v="2.46"/>
    <n v="7768"/>
  </r>
  <r>
    <s v="Two Men In Town"/>
    <n v="2014"/>
    <x v="0"/>
    <n v="117"/>
    <n v="5.7"/>
    <x v="8"/>
    <n v="2.46"/>
    <n v="2259"/>
  </r>
  <r>
    <s v="Elsa &amp; Fred"/>
    <n v="2014"/>
    <x v="2"/>
    <n v="93"/>
    <n v="6.5"/>
    <x v="8"/>
    <n v="2.46"/>
    <n v="3662"/>
  </r>
  <r>
    <s v="A Good Marriage"/>
    <n v="2014"/>
    <x v="2"/>
    <n v="102"/>
    <n v="5.3"/>
    <x v="8"/>
    <n v="2.46"/>
    <n v="12401"/>
  </r>
  <r>
    <s v="The Joker"/>
    <n v="2014"/>
    <x v="0"/>
    <n v="104"/>
    <n v="6.2"/>
    <x v="8"/>
    <n v="2.46"/>
    <n v="8709"/>
  </r>
  <r>
    <s v="The Imitation Game"/>
    <n v="2014"/>
    <x v="0"/>
    <n v="114"/>
    <n v="8"/>
    <x v="8"/>
    <n v="91.13"/>
    <n v="807794"/>
  </r>
  <r>
    <s v="Get On Up"/>
    <n v="2014"/>
    <x v="0"/>
    <n v="139"/>
    <n v="6.9"/>
    <x v="8"/>
    <n v="30.51"/>
    <n v="25764"/>
  </r>
  <r>
    <s v="Big Hero 6"/>
    <n v="2014"/>
    <x v="0"/>
    <n v="102"/>
    <n v="7.8"/>
    <x v="8"/>
    <n v="222.53"/>
    <n v="489282"/>
  </r>
  <r>
    <s v="Love Is Strange"/>
    <n v="2014"/>
    <x v="0"/>
    <n v="94"/>
    <n v="6.7"/>
    <x v="8"/>
    <n v="2.25"/>
    <n v="13144"/>
  </r>
  <r>
    <s v="Foxcatcher"/>
    <n v="2014"/>
    <x v="1"/>
    <n v="134"/>
    <n v="7"/>
    <x v="8"/>
    <n v="12.1"/>
    <n v="147265"/>
  </r>
  <r>
    <s v="How To Train Your Dragon 2"/>
    <n v="2014"/>
    <x v="0"/>
    <n v="102"/>
    <n v="7.8"/>
    <x v="8"/>
    <n v="177"/>
    <n v="355652"/>
  </r>
  <r>
    <s v="The Lego Movie"/>
    <n v="2014"/>
    <x v="0"/>
    <n v="100"/>
    <n v="7.7"/>
    <x v="8"/>
    <n v="257.76"/>
    <n v="380519"/>
  </r>
  <r>
    <s v="The Babadook"/>
    <n v="2014"/>
    <x v="0"/>
    <n v="94"/>
    <n v="6.8"/>
    <x v="8"/>
    <n v="0.92"/>
    <n v="241716"/>
  </r>
  <r>
    <s v="Into The Woods"/>
    <n v="2014"/>
    <x v="0"/>
    <n v="125"/>
    <n v="5.9"/>
    <x v="8"/>
    <n v="128"/>
    <n v="146219"/>
  </r>
  <r>
    <s v="John Wick"/>
    <n v="2014"/>
    <x v="2"/>
    <n v="101"/>
    <n v="7.4"/>
    <x v="8"/>
    <n v="43.04"/>
    <n v="719274"/>
  </r>
  <r>
    <s v="Life Of Riley"/>
    <n v="2014"/>
    <x v="0"/>
    <n v="108"/>
    <n v="6"/>
    <x v="8"/>
    <n v="2.46"/>
    <n v="1355"/>
  </r>
  <r>
    <s v="Still Alice"/>
    <n v="2014"/>
    <x v="1"/>
    <n v="101"/>
    <n v="7.5"/>
    <x v="8"/>
    <n v="18.75"/>
    <n v="141500"/>
  </r>
  <r>
    <s v="Mr. Turner"/>
    <n v="2014"/>
    <x v="0"/>
    <n v="150"/>
    <n v="6.8"/>
    <x v="8"/>
    <n v="3.96"/>
    <n v="26852"/>
  </r>
  <r>
    <s v="American Sniper"/>
    <n v="2014"/>
    <x v="0"/>
    <n v="133"/>
    <n v="7.3"/>
    <x v="8"/>
    <n v="350.13"/>
    <n v="517351"/>
  </r>
  <r>
    <s v="Nightcrawler"/>
    <n v="2014"/>
    <x v="2"/>
    <n v="117"/>
    <n v="7.8"/>
    <x v="8"/>
    <n v="32.380000000000003"/>
    <n v="587585"/>
  </r>
  <r>
    <s v="Clouds Of Sils Maria"/>
    <n v="2014"/>
    <x v="0"/>
    <n v="124"/>
    <n v="6.8"/>
    <x v="8"/>
    <n v="1.81"/>
    <n v="30791"/>
  </r>
  <r>
    <s v="The Book Of Life"/>
    <n v="2014"/>
    <x v="0"/>
    <n v="95"/>
    <n v="7.2"/>
    <x v="8"/>
    <n v="50.15"/>
    <n v="76067"/>
  </r>
  <r>
    <s v="Whiplash"/>
    <n v="2014"/>
    <x v="1"/>
    <n v="106"/>
    <n v="8.5"/>
    <x v="8"/>
    <n v="13.09"/>
    <n v="944166"/>
  </r>
  <r>
    <s v="Birdman Or"/>
    <n v="2014"/>
    <x v="2"/>
    <n v="119"/>
    <n v="7.7"/>
    <x v="8"/>
    <n v="42.34"/>
    <n v="655329"/>
  </r>
  <r>
    <s v="Interstellar"/>
    <n v="2014"/>
    <x v="0"/>
    <n v="169"/>
    <n v="8.6999999999999993"/>
    <x v="8"/>
    <n v="188.02"/>
    <n v="2011555"/>
  </r>
  <r>
    <s v="Say When"/>
    <n v="2014"/>
    <x v="0"/>
    <n v="99"/>
    <n v="6.4"/>
    <x v="8"/>
    <n v="0.44"/>
    <n v="45402"/>
  </r>
  <r>
    <s v="Life Partners"/>
    <n v="2014"/>
    <x v="0"/>
    <n v="93"/>
    <n v="6.2"/>
    <x v="8"/>
    <n v="0.01"/>
    <n v="9160"/>
  </r>
  <r>
    <s v="Pride"/>
    <n v="2014"/>
    <x v="0"/>
    <n v="119"/>
    <n v="7.8"/>
    <x v="8"/>
    <n v="2.46"/>
    <n v="60620"/>
  </r>
  <r>
    <s v="Unbroken"/>
    <n v="2014"/>
    <x v="0"/>
    <n v="137"/>
    <n v="7.2"/>
    <x v="8"/>
    <n v="115.64"/>
    <n v="178860"/>
  </r>
  <r>
    <s v="October Gale"/>
    <n v="2014"/>
    <x v="0"/>
    <n v="91"/>
    <n v="5.2"/>
    <x v="8"/>
    <n v="2.46"/>
    <n v="2458"/>
  </r>
  <r>
    <s v="Everly"/>
    <n v="2014"/>
    <x v="0"/>
    <n v="92"/>
    <n v="5.0999999999999996"/>
    <x v="8"/>
    <n v="2.46"/>
    <n v="19169"/>
  </r>
  <r>
    <s v="The Voices"/>
    <n v="2014"/>
    <x v="0"/>
    <n v="103"/>
    <n v="6.3"/>
    <x v="8"/>
    <n v="2.46"/>
    <n v="61217"/>
  </r>
  <r>
    <s v="The Gambler"/>
    <n v="2014"/>
    <x v="0"/>
    <n v="111"/>
    <n v="6"/>
    <x v="8"/>
    <n v="33.68"/>
    <n v="72425"/>
  </r>
  <r>
    <s v="The Hobbit: The Battle Of The Five Armies"/>
    <n v="2014"/>
    <x v="0"/>
    <n v="144"/>
    <n v="7.4"/>
    <x v="8"/>
    <n v="255.12"/>
    <n v="558816"/>
  </r>
  <r>
    <s v="Escobar: Paradise Lost"/>
    <n v="2014"/>
    <x v="0"/>
    <n v="120"/>
    <n v="6.5"/>
    <x v="8"/>
    <n v="0.11"/>
    <n v="23111"/>
  </r>
  <r>
    <s v="Son Of A Gun"/>
    <n v="2014"/>
    <x v="0"/>
    <n v="108"/>
    <n v="6.4"/>
    <x v="8"/>
    <n v="0"/>
    <n v="29227"/>
  </r>
  <r>
    <s v="The Blue Room"/>
    <n v="2014"/>
    <x v="0"/>
    <n v="76"/>
    <n v="6.3"/>
    <x v="8"/>
    <n v="0.23"/>
    <n v="3616"/>
  </r>
  <r>
    <s v="The Best Of Me"/>
    <n v="2014"/>
    <x v="2"/>
    <n v="118"/>
    <n v="6.7"/>
    <x v="8"/>
    <n v="26.76"/>
    <n v="76348"/>
  </r>
  <r>
    <s v="Playing It Cool"/>
    <n v="2014"/>
    <x v="0"/>
    <n v="94"/>
    <n v="5.9"/>
    <x v="8"/>
    <n v="2.46"/>
    <n v="29664"/>
  </r>
  <r>
    <s v="Jauja"/>
    <n v="2014"/>
    <x v="0"/>
    <n v="109"/>
    <n v="6.3"/>
    <x v="8"/>
    <n v="2.46"/>
    <n v="4471"/>
  </r>
  <r>
    <s v="Big Eyes"/>
    <n v="2014"/>
    <x v="0"/>
    <n v="106"/>
    <n v="7"/>
    <x v="8"/>
    <n v="14.48"/>
    <n v="97599"/>
  </r>
  <r>
    <s v="The Hunger Games: Mockingjay - Part 1"/>
    <n v="2014"/>
    <x v="0"/>
    <n v="123"/>
    <n v="6.6"/>
    <x v="8"/>
    <n v="337.14"/>
    <n v="483577"/>
  </r>
  <r>
    <s v="Selma"/>
    <n v="2014"/>
    <x v="0"/>
    <n v="128"/>
    <n v="7.5"/>
    <x v="8"/>
    <n v="52.08"/>
    <n v="94342"/>
  </r>
  <r>
    <s v="Brick Mansions"/>
    <n v="2014"/>
    <x v="1"/>
    <n v="90"/>
    <n v="5.6"/>
    <x v="8"/>
    <n v="20.399999999999999"/>
    <n v="43683"/>
  </r>
  <r>
    <s v="The Theory Of Everything"/>
    <n v="2014"/>
    <x v="0"/>
    <n v="123"/>
    <n v="7.7"/>
    <x v="8"/>
    <n v="35.89"/>
    <n v="473013"/>
  </r>
  <r>
    <s v="God'S Not Dead"/>
    <n v="2014"/>
    <x v="0"/>
    <n v="113"/>
    <n v="4.5999999999999996"/>
    <x v="8"/>
    <n v="60.76"/>
    <n v="44424"/>
  </r>
  <r>
    <s v="Blended"/>
    <n v="2014"/>
    <x v="0"/>
    <n v="117"/>
    <n v="6.5"/>
    <x v="8"/>
    <n v="46.29"/>
    <n v="140879"/>
  </r>
  <r>
    <s v="All The Wilderness"/>
    <n v="2014"/>
    <x v="0"/>
    <n v="85"/>
    <n v="5.8"/>
    <x v="8"/>
    <n v="2.46"/>
    <n v="1527"/>
  </r>
  <r>
    <s v="Night At The Museum: Secret Of The Tomb"/>
    <n v="2014"/>
    <x v="0"/>
    <n v="98"/>
    <n v="6.2"/>
    <x v="8"/>
    <n v="113.75"/>
    <n v="132218"/>
  </r>
  <r>
    <s v="The Green Prince"/>
    <n v="2014"/>
    <x v="0"/>
    <n v="101"/>
    <n v="7.2"/>
    <x v="8"/>
    <n v="0.26"/>
    <n v="2775"/>
  </r>
  <r>
    <s v="Cake"/>
    <n v="2014"/>
    <x v="0"/>
    <n v="102"/>
    <n v="6.4"/>
    <x v="8"/>
    <n v="1.87"/>
    <n v="38533"/>
  </r>
  <r>
    <s v="That Awkward Moment"/>
    <n v="2014"/>
    <x v="0"/>
    <n v="94"/>
    <n v="6.1"/>
    <x v="8"/>
    <n v="26.05"/>
    <n v="106274"/>
  </r>
  <r>
    <s v="Love, Rosie"/>
    <n v="2014"/>
    <x v="0"/>
    <n v="102"/>
    <n v="7.1"/>
    <x v="8"/>
    <n v="0.02"/>
    <n v="151705"/>
  </r>
  <r>
    <s v="Kill The Messenger"/>
    <n v="2014"/>
    <x v="0"/>
    <n v="112"/>
    <n v="6.9"/>
    <x v="8"/>
    <n v="2.4500000000000002"/>
    <n v="48342"/>
  </r>
  <r>
    <s v="My Old Lady"/>
    <n v="2014"/>
    <x v="0"/>
    <n v="107"/>
    <n v="6.4"/>
    <x v="8"/>
    <n v="4.01"/>
    <n v="9835"/>
  </r>
  <r>
    <s v="The Water Diviner"/>
    <n v="2014"/>
    <x v="0"/>
    <n v="111"/>
    <n v="7"/>
    <x v="8"/>
    <n v="4.1900000000000004"/>
    <n v="77340"/>
  </r>
  <r>
    <s v="Exodus: Gods And Kings"/>
    <n v="2014"/>
    <x v="2"/>
    <n v="150"/>
    <n v="6"/>
    <x v="8"/>
    <n v="65.010000000000005"/>
    <n v="175185"/>
  </r>
  <r>
    <s v="Gemma Bovery"/>
    <n v="2014"/>
    <x v="0"/>
    <n v="99"/>
    <n v="6.4"/>
    <x v="8"/>
    <n v="0.19"/>
    <n v="6745"/>
  </r>
  <r>
    <s v="The Boxtrolls"/>
    <n v="2014"/>
    <x v="2"/>
    <n v="96"/>
    <n v="6.8"/>
    <x v="8"/>
    <n v="50.84"/>
    <n v="60711"/>
  </r>
  <r>
    <s v="Under The Electric Sky"/>
    <n v="2014"/>
    <x v="0"/>
    <n v="85"/>
    <n v="6.5"/>
    <x v="8"/>
    <n v="0.2"/>
    <n v="616"/>
  </r>
  <r>
    <s v="Black Sea"/>
    <n v="2014"/>
    <x v="0"/>
    <n v="114"/>
    <n v="6.4"/>
    <x v="8"/>
    <n v="1.17"/>
    <n v="40320"/>
  </r>
  <r>
    <s v="What We Do In The Shadows"/>
    <n v="2014"/>
    <x v="1"/>
    <n v="86"/>
    <n v="7.6"/>
    <x v="8"/>
    <n v="3.33"/>
    <n v="195618"/>
  </r>
  <r>
    <s v="Miss Julie"/>
    <n v="2014"/>
    <x v="1"/>
    <n v="129"/>
    <n v="5.5"/>
    <x v="8"/>
    <n v="2.46"/>
    <n v="6016"/>
  </r>
  <r>
    <s v="Men, Women &amp; Children"/>
    <n v="2014"/>
    <x v="1"/>
    <n v="119"/>
    <n v="6.6"/>
    <x v="8"/>
    <n v="0.46"/>
    <n v="33363"/>
  </r>
  <r>
    <s v="The Loft"/>
    <n v="2014"/>
    <x v="0"/>
    <n v="108"/>
    <n v="6.3"/>
    <x v="8"/>
    <n v="5.98"/>
    <n v="59065"/>
  </r>
  <r>
    <s v="Citizenfour"/>
    <n v="2014"/>
    <x v="0"/>
    <n v="114"/>
    <n v="8"/>
    <x v="8"/>
    <n v="2.8"/>
    <n v="57355"/>
  </r>
  <r>
    <s v="Dear White People"/>
    <n v="2014"/>
    <x v="1"/>
    <n v="108"/>
    <n v="6.2"/>
    <x v="8"/>
    <n v="4.4000000000000004"/>
    <n v="26371"/>
  </r>
  <r>
    <s v="Little Accidents"/>
    <n v="2014"/>
    <x v="1"/>
    <n v="105"/>
    <n v="5.8"/>
    <x v="8"/>
    <n v="2.46"/>
    <n v="3815"/>
  </r>
  <r>
    <s v="Wild Tales"/>
    <n v="2014"/>
    <x v="0"/>
    <n v="122"/>
    <n v="8.1"/>
    <x v="8"/>
    <n v="3.11"/>
    <n v="211062"/>
  </r>
  <r>
    <s v="Set Fire To The Stars"/>
    <n v="2014"/>
    <x v="0"/>
    <n v="97"/>
    <n v="5.8"/>
    <x v="8"/>
    <n v="2.46"/>
    <n v="1465"/>
  </r>
  <r>
    <s v="The Last Act"/>
    <n v="2014"/>
    <x v="0"/>
    <n v="112"/>
    <n v="5.6"/>
    <x v="8"/>
    <n v="2.46"/>
    <n v="7120"/>
  </r>
  <r>
    <s v="Inherent Vice"/>
    <n v="2014"/>
    <x v="0"/>
    <n v="148"/>
    <n v="6.6"/>
    <x v="8"/>
    <n v="8.11"/>
    <n v="109095"/>
  </r>
  <r>
    <s v="Wild"/>
    <n v="2014"/>
    <x v="0"/>
    <n v="115"/>
    <n v="7.1"/>
    <x v="8"/>
    <n v="37.880000000000003"/>
    <n v="135380"/>
  </r>
  <r>
    <s v="The Choir"/>
    <n v="2014"/>
    <x v="0"/>
    <n v="103"/>
    <n v="6.7"/>
    <x v="8"/>
    <n v="2.46"/>
    <n v="7296"/>
  </r>
  <r>
    <s v="Kill Me Three Times"/>
    <n v="2014"/>
    <x v="0"/>
    <n v="90"/>
    <n v="5.8"/>
    <x v="8"/>
    <n v="0.02"/>
    <n v="24019"/>
  </r>
  <r>
    <s v="Horrible Bosses 2"/>
    <n v="2014"/>
    <x v="0"/>
    <n v="108"/>
    <n v="6.3"/>
    <x v="8"/>
    <n v="54.45"/>
    <n v="181645"/>
  </r>
  <r>
    <s v="Seventh Son"/>
    <n v="2014"/>
    <x v="2"/>
    <n v="102"/>
    <n v="5.5"/>
    <x v="8"/>
    <n v="17.22"/>
    <n v="79737"/>
  </r>
  <r>
    <s v="Song One"/>
    <n v="2014"/>
    <x v="0"/>
    <n v="86"/>
    <n v="5.8"/>
    <x v="8"/>
    <n v="0.03"/>
    <n v="10182"/>
  </r>
  <r>
    <s v="And So It Goes"/>
    <n v="2014"/>
    <x v="0"/>
    <n v="94"/>
    <n v="5.9"/>
    <x v="8"/>
    <n v="15.16"/>
    <n v="15025"/>
  </r>
  <r>
    <s v="Champs"/>
    <n v="2014"/>
    <x v="0"/>
    <n v="85"/>
    <n v="7.2"/>
    <x v="8"/>
    <n v="2.46"/>
    <n v="1959"/>
  </r>
  <r>
    <s v="The Riot Club"/>
    <n v="2014"/>
    <x v="0"/>
    <n v="107"/>
    <n v="6"/>
    <x v="8"/>
    <n v="2.46"/>
    <n v="23792"/>
  </r>
  <r>
    <s v="The Rewrite"/>
    <n v="2014"/>
    <x v="1"/>
    <n v="107"/>
    <n v="6.3"/>
    <x v="8"/>
    <n v="2.46"/>
    <n v="21619"/>
  </r>
  <r>
    <s v="The Absent One"/>
    <n v="2014"/>
    <x v="0"/>
    <n v="119"/>
    <n v="7.1"/>
    <x v="8"/>
    <n v="2.46"/>
    <n v="25450"/>
  </r>
  <r>
    <s v="The Barber"/>
    <n v="2014"/>
    <x v="0"/>
    <n v="95"/>
    <n v="5.9"/>
    <x v="8"/>
    <n v="2.46"/>
    <n v="2603"/>
  </r>
  <r>
    <s v="Rosewater"/>
    <n v="2014"/>
    <x v="0"/>
    <n v="103"/>
    <n v="6.6"/>
    <x v="8"/>
    <n v="3.13"/>
    <n v="10919"/>
  </r>
  <r>
    <s v="In Order Of Disappearance"/>
    <n v="2014"/>
    <x v="0"/>
    <n v="116"/>
    <n v="7.1"/>
    <x v="8"/>
    <n v="0.05"/>
    <n v="28561"/>
  </r>
  <r>
    <s v="The Good Lie"/>
    <n v="2014"/>
    <x v="0"/>
    <n v="110"/>
    <n v="7.4"/>
    <x v="8"/>
    <n v="2.72"/>
    <n v="29565"/>
  </r>
  <r>
    <s v="Alex Of Venice"/>
    <n v="2014"/>
    <x v="1"/>
    <n v="86"/>
    <n v="5.8"/>
    <x v="8"/>
    <n v="2.46"/>
    <n v="3353"/>
  </r>
  <r>
    <s v="Beyond The Reach"/>
    <n v="2014"/>
    <x v="2"/>
    <n v="91"/>
    <n v="5.6"/>
    <x v="8"/>
    <n v="0.04"/>
    <n v="10906"/>
  </r>
  <r>
    <s v="Cut Bank"/>
    <n v="2014"/>
    <x v="0"/>
    <n v="93"/>
    <n v="6.1"/>
    <x v="8"/>
    <n v="2.46"/>
    <n v="13480"/>
  </r>
  <r>
    <s v="Effie Gray"/>
    <n v="2014"/>
    <x v="1"/>
    <n v="104"/>
    <n v="6"/>
    <x v="8"/>
    <n v="0.34"/>
    <n v="6679"/>
  </r>
  <r>
    <s v="Taken 3"/>
    <n v="2014"/>
    <x v="0"/>
    <n v="108"/>
    <n v="6"/>
    <x v="8"/>
    <n v="89.26"/>
    <n v="201132"/>
  </r>
  <r>
    <s v="Kingsman: The Secret Service"/>
    <n v="2014"/>
    <x v="1"/>
    <n v="129"/>
    <n v="7.7"/>
    <x v="8"/>
    <n v="128.26"/>
    <n v="701155"/>
  </r>
  <r>
    <s v="Camp X-Ray"/>
    <n v="2014"/>
    <x v="1"/>
    <n v="117"/>
    <n v="6.9"/>
    <x v="8"/>
    <n v="0.01"/>
    <n v="42588"/>
  </r>
  <r>
    <s v="Amour Fou"/>
    <n v="2014"/>
    <x v="0"/>
    <n v="96"/>
    <n v="6.4"/>
    <x v="8"/>
    <n v="0.01"/>
    <n v="1683"/>
  </r>
  <r>
    <s v="Low Down"/>
    <n v="2014"/>
    <x v="0"/>
    <n v="114"/>
    <n v="6.1"/>
    <x v="8"/>
    <n v="0.04"/>
    <n v="2186"/>
  </r>
  <r>
    <s v="Lost River"/>
    <n v="2014"/>
    <x v="0"/>
    <n v="95"/>
    <n v="5.7"/>
    <x v="8"/>
    <n v="0.04"/>
    <n v="18893"/>
  </r>
  <r>
    <s v="The Skeleton Twins"/>
    <n v="2014"/>
    <x v="0"/>
    <n v="93"/>
    <n v="6.8"/>
    <x v="8"/>
    <n v="5.28"/>
    <n v="44219"/>
  </r>
  <r>
    <s v="Breathe"/>
    <n v="2014"/>
    <x v="0"/>
    <n v="91"/>
    <n v="7"/>
    <x v="8"/>
    <n v="0.04"/>
    <n v="7717"/>
  </r>
  <r>
    <s v="50 To 1"/>
    <n v="2014"/>
    <x v="0"/>
    <n v="110"/>
    <n v="6.3"/>
    <x v="8"/>
    <n v="1.06"/>
    <n v="2195"/>
  </r>
  <r>
    <s v="The Forger"/>
    <n v="2014"/>
    <x v="0"/>
    <n v="95"/>
    <n v="5.8"/>
    <x v="8"/>
    <n v="2.46"/>
    <n v="13108"/>
  </r>
  <r>
    <s v="Ex Machina"/>
    <n v="2014"/>
    <x v="0"/>
    <n v="108"/>
    <n v="7.7"/>
    <x v="8"/>
    <n v="25.44"/>
    <n v="572764"/>
  </r>
  <r>
    <s v="Tales Of The Grim Sleeper"/>
    <n v="2014"/>
    <x v="0"/>
    <n v="110"/>
    <n v="7"/>
    <x v="8"/>
    <n v="2.46"/>
    <n v="3196"/>
  </r>
  <r>
    <s v="The Salvation"/>
    <n v="2014"/>
    <x v="0"/>
    <n v="92"/>
    <n v="6.7"/>
    <x v="8"/>
    <n v="0.01"/>
    <n v="41991"/>
  </r>
  <r>
    <s v="Good Kill"/>
    <n v="2014"/>
    <x v="0"/>
    <n v="102"/>
    <n v="6.4"/>
    <x v="8"/>
    <n v="0.32"/>
    <n v="24684"/>
  </r>
  <r>
    <s v="Fort Bliss"/>
    <n v="2014"/>
    <x v="1"/>
    <n v="116"/>
    <n v="6.4"/>
    <x v="8"/>
    <n v="2.46"/>
    <n v="3485"/>
  </r>
  <r>
    <s v="The One I Love"/>
    <n v="2014"/>
    <x v="0"/>
    <n v="91"/>
    <n v="7"/>
    <x v="8"/>
    <n v="0.51"/>
    <n v="42435"/>
  </r>
  <r>
    <s v="Song Of The Sea"/>
    <n v="2014"/>
    <x v="0"/>
    <n v="93"/>
    <n v="8"/>
    <x v="8"/>
    <n v="0.86"/>
    <n v="61937"/>
  </r>
  <r>
    <s v="Black Or White"/>
    <n v="2014"/>
    <x v="0"/>
    <n v="121"/>
    <n v="6.6"/>
    <x v="8"/>
    <n v="21.57"/>
    <n v="13721"/>
  </r>
  <r>
    <s v="Time Lapse"/>
    <n v="2014"/>
    <x v="1"/>
    <n v="104"/>
    <n v="6.5"/>
    <x v="8"/>
    <n v="2.46"/>
    <n v="48272"/>
  </r>
  <r>
    <s v="Eden"/>
    <n v="2014"/>
    <x v="0"/>
    <n v="131"/>
    <n v="6.4"/>
    <x v="8"/>
    <n v="2.46"/>
    <n v="5242"/>
  </r>
  <r>
    <s v="Labyrinth Of Lies"/>
    <n v="2014"/>
    <x v="0"/>
    <n v="124"/>
    <n v="7.3"/>
    <x v="8"/>
    <n v="0.79"/>
    <n v="13791"/>
  </r>
  <r>
    <s v="The Search"/>
    <n v="2014"/>
    <x v="0"/>
    <n v="135"/>
    <n v="6.8"/>
    <x v="8"/>
    <n v="2.46"/>
    <n v="2956"/>
  </r>
  <r>
    <s v="Saint Laurent"/>
    <n v="2014"/>
    <x v="0"/>
    <n v="150"/>
    <n v="6.1"/>
    <x v="8"/>
    <n v="0.43"/>
    <n v="6357"/>
  </r>
  <r>
    <s v="Testament Of Youth"/>
    <n v="2014"/>
    <x v="1"/>
    <n v="129"/>
    <n v="7.2"/>
    <x v="8"/>
    <n v="1.82"/>
    <n v="30111"/>
  </r>
  <r>
    <s v="Ballet 422"/>
    <n v="2014"/>
    <x v="1"/>
    <n v="75"/>
    <n v="6.3"/>
    <x v="8"/>
    <n v="0.33"/>
    <n v="1251"/>
  </r>
  <r>
    <s v="Comet"/>
    <n v="2014"/>
    <x v="0"/>
    <n v="91"/>
    <n v="6.7"/>
    <x v="8"/>
    <n v="2.46"/>
    <n v="19333"/>
  </r>
  <r>
    <s v="5 To 7"/>
    <n v="2014"/>
    <x v="0"/>
    <n v="95"/>
    <n v="7.1"/>
    <x v="8"/>
    <n v="0.12"/>
    <n v="21093"/>
  </r>
  <r>
    <s v="You'Re Not You"/>
    <n v="2014"/>
    <x v="2"/>
    <n v="102"/>
    <n v="7.3"/>
    <x v="8"/>
    <n v="2.46"/>
    <n v="26509"/>
  </r>
  <r>
    <s v="Lilting"/>
    <n v="2014"/>
    <x v="0"/>
    <n v="83"/>
    <n v="7.2"/>
    <x v="8"/>
    <n v="0.02"/>
    <n v="6520"/>
  </r>
  <r>
    <s v="The Circle"/>
    <n v="2014"/>
    <x v="0"/>
    <n v="102"/>
    <n v="7.3"/>
    <x v="8"/>
    <n v="2.46"/>
    <n v="1675"/>
  </r>
  <r>
    <s v="Rio, I Love You"/>
    <n v="2014"/>
    <x v="0"/>
    <n v="110"/>
    <n v="5.2"/>
    <x v="8"/>
    <n v="2.46"/>
    <n v="2204"/>
  </r>
  <r>
    <s v="Madame Bovary"/>
    <n v="2014"/>
    <x v="0"/>
    <n v="118"/>
    <n v="5.7"/>
    <x v="8"/>
    <n v="2.46"/>
    <n v="8717"/>
  </r>
  <r>
    <s v="Cymbeline"/>
    <n v="2014"/>
    <x v="1"/>
    <n v="98"/>
    <n v="3.7"/>
    <x v="8"/>
    <n v="2.46"/>
    <n v="4174"/>
  </r>
  <r>
    <s v="Suite Franã§Aise"/>
    <n v="2014"/>
    <x v="0"/>
    <n v="107"/>
    <n v="7"/>
    <x v="8"/>
    <n v="2.46"/>
    <n v="28050"/>
  </r>
  <r>
    <s v="Killers"/>
    <n v="2014"/>
    <x v="0"/>
    <n v="137"/>
    <n v="6.4"/>
    <x v="8"/>
    <n v="2.46"/>
    <n v="5286"/>
  </r>
  <r>
    <s v="The Cobbler"/>
    <n v="2014"/>
    <x v="0"/>
    <n v="99"/>
    <n v="5.8"/>
    <x v="8"/>
    <n v="2.46"/>
    <n v="59291"/>
  </r>
  <r>
    <s v="A Little Chaos"/>
    <n v="2014"/>
    <x v="0"/>
    <n v="117"/>
    <n v="6.5"/>
    <x v="8"/>
    <n v="0.55000000000000004"/>
    <n v="24938"/>
  </r>
  <r>
    <s v="Ruth &amp; Alex"/>
    <n v="2014"/>
    <x v="0"/>
    <n v="88"/>
    <n v="6.2"/>
    <x v="8"/>
    <n v="1.01"/>
    <n v="11058"/>
  </r>
  <r>
    <s v="The Disappearance Of Eleanor Rigby: Them"/>
    <n v="2014"/>
    <x v="0"/>
    <n v="123"/>
    <n v="6.3"/>
    <x v="8"/>
    <n v="0.59"/>
    <n v="12933"/>
  </r>
  <r>
    <s v="Blind"/>
    <n v="2014"/>
    <x v="0"/>
    <n v="96"/>
    <n v="6.8"/>
    <x v="8"/>
    <n v="2.46"/>
    <n v="8985"/>
  </r>
  <r>
    <s v="Welcome To Me"/>
    <n v="2014"/>
    <x v="0"/>
    <n v="87"/>
    <n v="5.9"/>
    <x v="8"/>
    <n v="0.61"/>
    <n v="19431"/>
  </r>
  <r>
    <s v="The Little Death"/>
    <n v="2014"/>
    <x v="0"/>
    <n v="96"/>
    <n v="7"/>
    <x v="8"/>
    <n v="0.02"/>
    <n v="27479"/>
  </r>
  <r>
    <s v="A Most Violent Year"/>
    <n v="2014"/>
    <x v="0"/>
    <n v="125"/>
    <n v="7"/>
    <x v="8"/>
    <n v="5.74"/>
    <n v="76255"/>
  </r>
  <r>
    <s v="Fã©Lix &amp; Meira"/>
    <n v="2014"/>
    <x v="0"/>
    <n v="105"/>
    <n v="6.7"/>
    <x v="8"/>
    <n v="0.45"/>
    <n v="1631"/>
  </r>
  <r>
    <s v="In The Name Of My Daughter"/>
    <n v="2014"/>
    <x v="0"/>
    <n v="116"/>
    <n v="6.1"/>
    <x v="8"/>
    <n v="0.28000000000000003"/>
    <n v="1833"/>
  </r>
  <r>
    <s v="Pasolini"/>
    <n v="2014"/>
    <x v="0"/>
    <n v="84"/>
    <n v="5.9"/>
    <x v="8"/>
    <n v="0.03"/>
    <n v="4443"/>
  </r>
  <r>
    <s v="Gett: The Trial Of Viviane Amsalem"/>
    <n v="2014"/>
    <x v="0"/>
    <n v="115"/>
    <n v="7.7"/>
    <x v="8"/>
    <n v="0.99"/>
    <n v="6810"/>
  </r>
  <r>
    <s v="It Follows"/>
    <n v="2014"/>
    <x v="0"/>
    <n v="100"/>
    <n v="6.8"/>
    <x v="8"/>
    <n v="14.67"/>
    <n v="261882"/>
  </r>
  <r>
    <s v="Earth To Echo"/>
    <n v="2014"/>
    <x v="0"/>
    <n v="91"/>
    <n v="5.7"/>
    <x v="8"/>
    <n v="38.92"/>
    <n v="19598"/>
  </r>
  <r>
    <s v="The Face Of An Angel"/>
    <n v="2014"/>
    <x v="1"/>
    <n v="101"/>
    <n v="4.5999999999999996"/>
    <x v="8"/>
    <n v="2.46"/>
    <n v="5180"/>
  </r>
  <r>
    <s v="Winter Sleep"/>
    <n v="2014"/>
    <x v="1"/>
    <n v="196"/>
    <n v="8.1"/>
    <x v="8"/>
    <n v="0.17"/>
    <n v="54335"/>
  </r>
  <r>
    <s v="Every Secret Thing"/>
    <n v="2014"/>
    <x v="0"/>
    <n v="93"/>
    <n v="6.1"/>
    <x v="8"/>
    <n v="2.46"/>
    <n v="8945"/>
  </r>
  <r>
    <s v="Spring"/>
    <n v="2014"/>
    <x v="0"/>
    <n v="109"/>
    <n v="6.7"/>
    <x v="8"/>
    <n v="0.05"/>
    <n v="30686"/>
  </r>
  <r>
    <s v="Before We Go"/>
    <n v="2014"/>
    <x v="0"/>
    <n v="95"/>
    <n v="6.8"/>
    <x v="8"/>
    <n v="0.04"/>
    <n v="62308"/>
  </r>
  <r>
    <s v="Where Hope Grows"/>
    <n v="2014"/>
    <x v="2"/>
    <n v="95"/>
    <n v="6.6"/>
    <x v="8"/>
    <n v="1.1000000000000001"/>
    <n v="3733"/>
  </r>
  <r>
    <s v="Faults"/>
    <n v="2014"/>
    <x v="0"/>
    <n v="89"/>
    <n v="6.7"/>
    <x v="8"/>
    <n v="2.46"/>
    <n v="10606"/>
  </r>
  <r>
    <s v="War Story"/>
    <n v="2014"/>
    <x v="0"/>
    <n v="90"/>
    <n v="3.9"/>
    <x v="8"/>
    <n v="2.46"/>
    <n v="791"/>
  </r>
  <r>
    <s v="American Heist"/>
    <n v="2014"/>
    <x v="0"/>
    <n v="94"/>
    <n v="5"/>
    <x v="8"/>
    <n v="2.46"/>
    <n v="17446"/>
  </r>
  <r>
    <s v="Space Station 76"/>
    <n v="2014"/>
    <x v="0"/>
    <n v="93"/>
    <n v="4.9000000000000004"/>
    <x v="8"/>
    <n v="2.46"/>
    <n v="8547"/>
  </r>
  <r>
    <s v="The Decent One"/>
    <n v="2014"/>
    <x v="0"/>
    <n v="94"/>
    <n v="6.7"/>
    <x v="8"/>
    <n v="2.46"/>
    <n v="712"/>
  </r>
  <r>
    <s v="Mommy"/>
    <n v="2014"/>
    <x v="0"/>
    <n v="139"/>
    <n v="8"/>
    <x v="8"/>
    <n v="3.49"/>
    <n v="60572"/>
  </r>
  <r>
    <s v="X+Y"/>
    <n v="2014"/>
    <x v="2"/>
    <n v="111"/>
    <n v="7.1"/>
    <x v="8"/>
    <n v="0.14000000000000001"/>
    <n v="30020"/>
  </r>
  <r>
    <s v="Tammy"/>
    <n v="2014"/>
    <x v="0"/>
    <n v="97"/>
    <n v="4.9000000000000004"/>
    <x v="8"/>
    <n v="84.53"/>
    <n v="54109"/>
  </r>
  <r>
    <s v="The Duke Of Burgundy"/>
    <n v="2014"/>
    <x v="0"/>
    <n v="104"/>
    <n v="6.5"/>
    <x v="8"/>
    <n v="0.03"/>
    <n v="14068"/>
  </r>
  <r>
    <s v="Boy Meets Girl"/>
    <n v="2014"/>
    <x v="0"/>
    <n v="95"/>
    <n v="7.1"/>
    <x v="8"/>
    <n v="0.02"/>
    <n v="4896"/>
  </r>
  <r>
    <s v="Force Majeure"/>
    <n v="2014"/>
    <x v="0"/>
    <n v="120"/>
    <n v="7.2"/>
    <x v="8"/>
    <n v="1.36"/>
    <n v="64693"/>
  </r>
  <r>
    <s v="Black Souls"/>
    <n v="2014"/>
    <x v="0"/>
    <n v="109"/>
    <n v="6.8"/>
    <x v="8"/>
    <n v="0.1"/>
    <n v="3084"/>
  </r>
  <r>
    <s v="Eliza Graves"/>
    <n v="2014"/>
    <x v="0"/>
    <n v="112"/>
    <n v="6.8"/>
    <x v="8"/>
    <n v="2.46"/>
    <n v="59447"/>
  </r>
  <r>
    <s v="Margarita With A Straw"/>
    <n v="2014"/>
    <x v="0"/>
    <n v="100"/>
    <n v="7.2"/>
    <x v="8"/>
    <n v="2.46"/>
    <n v="4039"/>
  </r>
  <r>
    <s v="Private Violence"/>
    <n v="2014"/>
    <x v="0"/>
    <n v="80"/>
    <n v="6.9"/>
    <x v="8"/>
    <n v="2.46"/>
    <n v="281"/>
  </r>
  <r>
    <s v="Love &amp; Mercy"/>
    <n v="2014"/>
    <x v="0"/>
    <n v="121"/>
    <n v="7.4"/>
    <x v="8"/>
    <n v="12.55"/>
    <n v="41801"/>
  </r>
  <r>
    <s v="Sea Fog"/>
    <n v="2014"/>
    <x v="0"/>
    <n v="111"/>
    <n v="6.8"/>
    <x v="8"/>
    <n v="2.46"/>
    <n v="3796"/>
  </r>
  <r>
    <s v="The Connection"/>
    <n v="2014"/>
    <x v="0"/>
    <n v="135"/>
    <n v="7.1"/>
    <x v="8"/>
    <n v="2.46"/>
    <n v="12026"/>
  </r>
  <r>
    <s v="1001 Gram"/>
    <n v="2014"/>
    <x v="0"/>
    <n v="93"/>
    <n v="6.3"/>
    <x v="8"/>
    <n v="2.46"/>
    <n v="1571"/>
  </r>
  <r>
    <s v="Samba"/>
    <n v="2014"/>
    <x v="0"/>
    <n v="118"/>
    <n v="6.7"/>
    <x v="8"/>
    <n v="0.15"/>
    <n v="17133"/>
  </r>
  <r>
    <s v="Black Coal, Thin Ice"/>
    <n v="2014"/>
    <x v="0"/>
    <n v="110"/>
    <n v="6.7"/>
    <x v="8"/>
    <n v="2.46"/>
    <n v="9320"/>
  </r>
  <r>
    <s v="3 Hearts"/>
    <n v="2014"/>
    <x v="0"/>
    <n v="108"/>
    <n v="5.9"/>
    <x v="8"/>
    <n v="0.15"/>
    <n v="2602"/>
  </r>
  <r>
    <s v="The Last Five Years"/>
    <n v="2014"/>
    <x v="0"/>
    <n v="94"/>
    <n v="5.8"/>
    <x v="8"/>
    <n v="0.14000000000000001"/>
    <n v="10601"/>
  </r>
  <r>
    <s v="Ride"/>
    <n v="2014"/>
    <x v="2"/>
    <n v="93"/>
    <n v="5.7"/>
    <x v="8"/>
    <n v="2.46"/>
    <n v="4393"/>
  </r>
  <r>
    <s v="In The Courtyard"/>
    <n v="2014"/>
    <x v="0"/>
    <n v="97"/>
    <n v="6.3"/>
    <x v="8"/>
    <n v="2.46"/>
    <n v="1428"/>
  </r>
  <r>
    <s v="Glassland"/>
    <n v="2014"/>
    <x v="1"/>
    <n v="93"/>
    <n v="6"/>
    <x v="8"/>
    <n v="2.46"/>
    <n v="1582"/>
  </r>
  <r>
    <s v="Lessons In Love"/>
    <n v="2014"/>
    <x v="0"/>
    <n v="99"/>
    <n v="5.7"/>
    <x v="8"/>
    <n v="2.46"/>
    <n v="15669"/>
  </r>
  <r>
    <s v="Shelter"/>
    <n v="2014"/>
    <x v="0"/>
    <n v="105"/>
    <n v="6.5"/>
    <x v="8"/>
    <n v="2.46"/>
    <n v="5290"/>
  </r>
  <r>
    <s v="Dior And I"/>
    <n v="2014"/>
    <x v="2"/>
    <n v="90"/>
    <n v="7.2"/>
    <x v="8"/>
    <n v="1.03"/>
    <n v="3979"/>
  </r>
  <r>
    <s v="Theeb"/>
    <n v="2014"/>
    <x v="1"/>
    <n v="100"/>
    <n v="7.2"/>
    <x v="8"/>
    <n v="0.28000000000000003"/>
    <n v="11406"/>
  </r>
  <r>
    <s v="Learning To Drive"/>
    <n v="2014"/>
    <x v="0"/>
    <n v="90"/>
    <n v="6.4"/>
    <x v="8"/>
    <n v="3.45"/>
    <n v="8127"/>
  </r>
  <r>
    <s v="The Keeping Room"/>
    <n v="2014"/>
    <x v="0"/>
    <n v="95"/>
    <n v="6"/>
    <x v="8"/>
    <n v="0.03"/>
    <n v="7459"/>
  </r>
  <r>
    <s v="Lambert &amp; Stamp"/>
    <n v="2014"/>
    <x v="0"/>
    <n v="117"/>
    <n v="6.6"/>
    <x v="8"/>
    <n v="0.18"/>
    <n v="764"/>
  </r>
  <r>
    <s v="The Falling"/>
    <n v="2014"/>
    <x v="0"/>
    <n v="102"/>
    <n v="5.3"/>
    <x v="8"/>
    <n v="2.46"/>
    <n v="7623"/>
  </r>
  <r>
    <s v="While We'Re Young"/>
    <n v="2014"/>
    <x v="0"/>
    <n v="97"/>
    <n v="6.3"/>
    <x v="8"/>
    <n v="7.57"/>
    <n v="52711"/>
  </r>
  <r>
    <s v="Rio 2"/>
    <n v="2014"/>
    <x v="0"/>
    <n v="101"/>
    <n v="6.3"/>
    <x v="8"/>
    <n v="131.54"/>
    <n v="98004"/>
  </r>
  <r>
    <s v="Leviathan"/>
    <n v="2014"/>
    <x v="1"/>
    <n v="140"/>
    <n v="7.6"/>
    <x v="8"/>
    <n v="1.0900000000000001"/>
    <n v="56010"/>
  </r>
  <r>
    <s v="Time Out Of Mind"/>
    <n v="2014"/>
    <x v="0"/>
    <n v="120"/>
    <n v="5.7"/>
    <x v="8"/>
    <n v="0.16"/>
    <n v="4432"/>
  </r>
  <r>
    <s v="99 Homes"/>
    <n v="2014"/>
    <x v="0"/>
    <n v="112"/>
    <n v="7.1"/>
    <x v="8"/>
    <n v="1.41"/>
    <n v="36548"/>
  </r>
  <r>
    <s v="Freedom"/>
    <n v="2014"/>
    <x v="0"/>
    <n v="94"/>
    <n v="6.3"/>
    <x v="8"/>
    <n v="2.46"/>
    <n v="2194"/>
  </r>
  <r>
    <s v="Robot Overlords"/>
    <n v="2014"/>
    <x v="0"/>
    <n v="90"/>
    <n v="4.5999999999999996"/>
    <x v="8"/>
    <n v="2.46"/>
    <n v="7604"/>
  </r>
  <r>
    <s v="An Honest Liar"/>
    <n v="2014"/>
    <x v="0"/>
    <n v="90"/>
    <n v="7.5"/>
    <x v="8"/>
    <n v="0.12"/>
    <n v="10398"/>
  </r>
  <r>
    <s v="Aloft"/>
    <n v="2014"/>
    <x v="0"/>
    <n v="112"/>
    <n v="5.3"/>
    <x v="8"/>
    <n v="0.05"/>
    <n v="3952"/>
  </r>
  <r>
    <s v="Pawn Sacrifice"/>
    <n v="2014"/>
    <x v="1"/>
    <n v="115"/>
    <n v="7"/>
    <x v="8"/>
    <n v="2.44"/>
    <n v="48417"/>
  </r>
  <r>
    <s v="The 11Th Hour"/>
    <n v="2014"/>
    <x v="0"/>
    <n v="97"/>
    <n v="5"/>
    <x v="8"/>
    <n v="2.46"/>
    <n v="1841"/>
  </r>
  <r>
    <s v="Authors Anonymous"/>
    <n v="2014"/>
    <x v="0"/>
    <n v="92"/>
    <n v="4.3"/>
    <x v="8"/>
    <n v="2.46"/>
    <n v="2306"/>
  </r>
  <r>
    <s v="Infinitely Polar Bear"/>
    <n v="2014"/>
    <x v="0"/>
    <n v="90"/>
    <n v="6.9"/>
    <x v="8"/>
    <n v="1.43"/>
    <n v="16805"/>
  </r>
  <r>
    <s v="A Borrowed Identity"/>
    <n v="2014"/>
    <x v="0"/>
    <n v="104"/>
    <n v="7.2"/>
    <x v="8"/>
    <n v="0.28000000000000003"/>
    <n v="1861"/>
  </r>
  <r>
    <s v="Phoenix"/>
    <n v="2014"/>
    <x v="0"/>
    <n v="98"/>
    <n v="7.3"/>
    <x v="8"/>
    <n v="2.46"/>
    <n v="20186"/>
  </r>
  <r>
    <s v="The Signal"/>
    <n v="2014"/>
    <x v="0"/>
    <n v="97"/>
    <n v="6"/>
    <x v="8"/>
    <n v="0.6"/>
    <n v="68398"/>
  </r>
  <r>
    <s v="Desert Dancer"/>
    <n v="2014"/>
    <x v="1"/>
    <n v="104"/>
    <n v="6.2"/>
    <x v="8"/>
    <n v="0.14000000000000001"/>
    <n v="2002"/>
  </r>
  <r>
    <s v="After The Fall"/>
    <n v="2014"/>
    <x v="0"/>
    <n v="110"/>
    <n v="5.0999999999999996"/>
    <x v="8"/>
    <n v="2.46"/>
    <n v="998"/>
  </r>
  <r>
    <s v="Sand Dollars"/>
    <n v="2014"/>
    <x v="0"/>
    <n v="84"/>
    <n v="5.9"/>
    <x v="8"/>
    <n v="2.46"/>
    <n v="544"/>
  </r>
  <r>
    <s v="Retribution"/>
    <n v="2014"/>
    <x v="0"/>
    <n v="99"/>
    <n v="6"/>
    <x v="8"/>
    <n v="0.04"/>
    <n v="5609"/>
  </r>
  <r>
    <s v="Unconscious"/>
    <n v="2014"/>
    <x v="0"/>
    <n v="90"/>
    <n v="4.3"/>
    <x v="8"/>
    <n v="2.46"/>
    <n v="3893"/>
  </r>
  <r>
    <s v="Hungry Hearts"/>
    <n v="2014"/>
    <x v="0"/>
    <n v="109"/>
    <n v="6.4"/>
    <x v="8"/>
    <n v="2.46"/>
    <n v="5791"/>
  </r>
  <r>
    <s v="Hector And The Search For Happiness"/>
    <n v="2014"/>
    <x v="0"/>
    <n v="120"/>
    <n v="6.9"/>
    <x v="8"/>
    <n v="1.1200000000000001"/>
    <n v="49975"/>
  </r>
  <r>
    <s v="The Cut"/>
    <n v="2014"/>
    <x v="0"/>
    <n v="138"/>
    <n v="6.2"/>
    <x v="8"/>
    <n v="0.03"/>
    <n v="7896"/>
  </r>
  <r>
    <s v="Before I Disappear"/>
    <n v="2014"/>
    <x v="0"/>
    <n v="93"/>
    <n v="7.2"/>
    <x v="8"/>
    <n v="0.01"/>
    <n v="9973"/>
  </r>
  <r>
    <s v="An Eye For Beauty"/>
    <n v="2014"/>
    <x v="0"/>
    <n v="102"/>
    <n v="5.5"/>
    <x v="8"/>
    <n v="2.46"/>
    <n v="1546"/>
  </r>
  <r>
    <s v="The Quiet Ones"/>
    <n v="2014"/>
    <x v="0"/>
    <n v="98"/>
    <n v="5.0999999999999996"/>
    <x v="8"/>
    <n v="8.5"/>
    <n v="20948"/>
  </r>
  <r>
    <s v="The Trip To Italy"/>
    <n v="2014"/>
    <x v="0"/>
    <n v="108"/>
    <n v="6.6"/>
    <x v="8"/>
    <n v="2.87"/>
    <n v="16052"/>
  </r>
  <r>
    <s v="A Second Chance"/>
    <n v="2014"/>
    <x v="0"/>
    <n v="102"/>
    <n v="6.8"/>
    <x v="8"/>
    <n v="2.46"/>
    <n v="6731"/>
  </r>
  <r>
    <s v="Copenhagen"/>
    <n v="2014"/>
    <x v="0"/>
    <n v="98"/>
    <n v="7"/>
    <x v="8"/>
    <n v="2.46"/>
    <n v="13735"/>
  </r>
  <r>
    <s v="Like Sunday, Like Rain"/>
    <n v="2014"/>
    <x v="0"/>
    <n v="104"/>
    <n v="6.9"/>
    <x v="8"/>
    <n v="0.03"/>
    <n v="4989"/>
  </r>
  <r>
    <s v="Lullaby"/>
    <n v="2014"/>
    <x v="0"/>
    <n v="117"/>
    <n v="6.1"/>
    <x v="8"/>
    <n v="2.46"/>
    <n v="2817"/>
  </r>
  <r>
    <s v="Listen Up Philip"/>
    <n v="2014"/>
    <x v="1"/>
    <n v="108"/>
    <n v="6.3"/>
    <x v="8"/>
    <n v="0.14000000000000001"/>
    <n v="6887"/>
  </r>
  <r>
    <s v="Diplomacy"/>
    <n v="2014"/>
    <x v="0"/>
    <n v="84"/>
    <n v="7.1"/>
    <x v="8"/>
    <n v="0.23"/>
    <n v="5797"/>
  </r>
  <r>
    <s v="Ned Rifle"/>
    <n v="2014"/>
    <x v="0"/>
    <n v="85"/>
    <n v="6.2"/>
    <x v="8"/>
    <n v="2.46"/>
    <n v="1706"/>
  </r>
  <r>
    <s v="Phantom Halo"/>
    <n v="2014"/>
    <x v="0"/>
    <n v="87"/>
    <n v="5.0999999999999996"/>
    <x v="8"/>
    <n v="2.46"/>
    <n v="977"/>
  </r>
  <r>
    <s v="Love Me Like You Do"/>
    <n v="2014"/>
    <x v="0"/>
    <n v="90"/>
    <n v="5.9"/>
    <x v="8"/>
    <n v="2.46"/>
    <n v="4630"/>
  </r>
  <r>
    <s v="The Look Of Silence"/>
    <n v="2014"/>
    <x v="0"/>
    <n v="103"/>
    <n v="8.3000000000000007"/>
    <x v="8"/>
    <n v="0.11"/>
    <n v="13643"/>
  </r>
  <r>
    <s v="Precinct Seven Five"/>
    <n v="2014"/>
    <x v="0"/>
    <n v="104"/>
    <n v="7.6"/>
    <x v="8"/>
    <n v="0.01"/>
    <n v="6175"/>
  </r>
  <r>
    <s v="The Search For General Tso"/>
    <n v="2014"/>
    <x v="0"/>
    <n v="71"/>
    <n v="6.9"/>
    <x v="8"/>
    <n v="0.01"/>
    <n v="1807"/>
  </r>
  <r>
    <s v="Big Stone Gap"/>
    <n v="2014"/>
    <x v="0"/>
    <n v="103"/>
    <n v="5.7"/>
    <x v="8"/>
    <n v="1.01"/>
    <n v="3281"/>
  </r>
  <r>
    <s v="Days And Nights"/>
    <n v="2014"/>
    <x v="0"/>
    <n v="92"/>
    <n v="4.5999999999999996"/>
    <x v="8"/>
    <n v="0.01"/>
    <n v="1100"/>
  </r>
  <r>
    <s v="The Mend"/>
    <n v="2014"/>
    <x v="0"/>
    <n v="111"/>
    <n v="5.6"/>
    <x v="8"/>
    <n v="2.46"/>
    <n v="869"/>
  </r>
  <r>
    <s v="The Farewell Party"/>
    <n v="2014"/>
    <x v="0"/>
    <n v="95"/>
    <n v="7"/>
    <x v="8"/>
    <n v="0.17"/>
    <n v="2221"/>
  </r>
  <r>
    <s v="Open Windows"/>
    <n v="2014"/>
    <x v="0"/>
    <n v="100"/>
    <n v="5.0999999999999996"/>
    <x v="8"/>
    <n v="2.46"/>
    <n v="14962"/>
  </r>
  <r>
    <s v="She'S Lost Control"/>
    <n v="2014"/>
    <x v="0"/>
    <n v="90"/>
    <n v="5.2"/>
    <x v="8"/>
    <n v="0"/>
    <n v="1026"/>
  </r>
  <r>
    <s v="The Salt Of The Earth"/>
    <n v="2014"/>
    <x v="0"/>
    <n v="110"/>
    <n v="8.4"/>
    <x v="8"/>
    <n v="1.34"/>
    <n v="22898"/>
  </r>
  <r>
    <s v="That Sugar Film"/>
    <n v="2014"/>
    <x v="1"/>
    <n v="90"/>
    <n v="7.4"/>
    <x v="8"/>
    <n v="2.46"/>
    <n v="10680"/>
  </r>
  <r>
    <s v="Time Is Illmatic"/>
    <n v="2014"/>
    <x v="0"/>
    <n v="74"/>
    <n v="7"/>
    <x v="8"/>
    <n v="0.11"/>
    <n v="3305"/>
  </r>
  <r>
    <s v="Manglehorn"/>
    <n v="2014"/>
    <x v="0"/>
    <n v="97"/>
    <n v="5.5"/>
    <x v="8"/>
    <n v="0.13"/>
    <n v="7916"/>
  </r>
  <r>
    <s v="Beloved Sisters"/>
    <n v="2014"/>
    <x v="0"/>
    <n v="138"/>
    <n v="6.2"/>
    <x v="8"/>
    <n v="0.05"/>
    <n v="1579"/>
  </r>
  <r>
    <s v="Mr. Peabody &amp; Sherman"/>
    <n v="2014"/>
    <x v="0"/>
    <n v="92"/>
    <n v="6.8"/>
    <x v="8"/>
    <n v="111.51"/>
    <n v="76105"/>
  </r>
  <r>
    <s v="The Culture High"/>
    <n v="2014"/>
    <x v="0"/>
    <n v="120"/>
    <n v="8.1999999999999993"/>
    <x v="8"/>
    <n v="2.46"/>
    <n v="3731"/>
  </r>
  <r>
    <s v="The Angriest Man In Brooklyn"/>
    <n v="2014"/>
    <x v="0"/>
    <n v="83"/>
    <n v="5.7"/>
    <x v="8"/>
    <n v="2.46"/>
    <n v="23694"/>
  </r>
  <r>
    <s v="Seymour: An Introduction"/>
    <n v="2014"/>
    <x v="0"/>
    <n v="84"/>
    <n v="7.5"/>
    <x v="8"/>
    <n v="0.57999999999999996"/>
    <n v="1135"/>
  </r>
  <r>
    <s v="Magician: The Astonishing Life And Work Of Orson Welles"/>
    <n v="2014"/>
    <x v="0"/>
    <n v="91"/>
    <n v="6.9"/>
    <x v="8"/>
    <n v="0.02"/>
    <n v="961"/>
  </r>
  <r>
    <s v="A Merry Christmas Miracle"/>
    <n v="2014"/>
    <x v="0"/>
    <n v="88"/>
    <n v="5.0999999999999996"/>
    <x v="8"/>
    <n v="2.46"/>
    <n v="7742"/>
  </r>
  <r>
    <s v="The World Of Kanako"/>
    <n v="2014"/>
    <x v="0"/>
    <n v="118"/>
    <n v="6.5"/>
    <x v="8"/>
    <n v="0.02"/>
    <n v="5749"/>
  </r>
  <r>
    <s v="Trash"/>
    <n v="2014"/>
    <x v="0"/>
    <n v="114"/>
    <n v="7.1"/>
    <x v="8"/>
    <n v="0.01"/>
    <n v="22578"/>
  </r>
  <r>
    <s v="The Nut Job"/>
    <n v="2014"/>
    <x v="0"/>
    <n v="85"/>
    <n v="5.7"/>
    <x v="8"/>
    <n v="64.25"/>
    <n v="29778"/>
  </r>
  <r>
    <s v="White God"/>
    <n v="2014"/>
    <x v="1"/>
    <n v="121"/>
    <n v="6.8"/>
    <x v="8"/>
    <n v="0.28000000000000003"/>
    <n v="16915"/>
  </r>
  <r>
    <s v="A Pigeon Sat On A Branch Reflecting On Existence"/>
    <n v="2014"/>
    <x v="1"/>
    <n v="101"/>
    <n v="6.9"/>
    <x v="8"/>
    <n v="0.22"/>
    <n v="19301"/>
  </r>
  <r>
    <s v="Amira &amp; Sam"/>
    <n v="2014"/>
    <x v="0"/>
    <n v="90"/>
    <n v="6.2"/>
    <x v="8"/>
    <n v="0.03"/>
    <n v="2697"/>
  </r>
  <r>
    <s v="To Life"/>
    <n v="2014"/>
    <x v="0"/>
    <n v="104"/>
    <n v="6.4"/>
    <x v="8"/>
    <n v="2.46"/>
    <n v="237"/>
  </r>
  <r>
    <s v="Sold"/>
    <n v="2014"/>
    <x v="1"/>
    <n v="94"/>
    <n v="6.8"/>
    <x v="8"/>
    <n v="2.46"/>
    <n v="1973"/>
  </r>
  <r>
    <s v="Beyond The Lights"/>
    <n v="2014"/>
    <x v="0"/>
    <n v="116"/>
    <n v="6.8"/>
    <x v="8"/>
    <n v="14.62"/>
    <n v="17175"/>
  </r>
  <r>
    <s v="August Winds"/>
    <n v="2014"/>
    <x v="0"/>
    <n v="77"/>
    <n v="6.3"/>
    <x v="8"/>
    <n v="2.46"/>
    <n v="607"/>
  </r>
  <r>
    <s v="Iris"/>
    <n v="2014"/>
    <x v="0"/>
    <n v="79"/>
    <n v="7.1"/>
    <x v="8"/>
    <n v="1.31"/>
    <n v="4570"/>
  </r>
  <r>
    <s v="Blackbird"/>
    <n v="2014"/>
    <x v="0"/>
    <n v="99"/>
    <n v="5.6"/>
    <x v="8"/>
    <n v="2.46"/>
    <n v="1115"/>
  </r>
  <r>
    <s v="Casa Grande"/>
    <n v="2014"/>
    <x v="1"/>
    <n v="115"/>
    <n v="6.8"/>
    <x v="8"/>
    <n v="2.46"/>
    <n v="3008"/>
  </r>
  <r>
    <s v="Appropriate Behaviour"/>
    <n v="2014"/>
    <x v="0"/>
    <n v="86"/>
    <n v="6.5"/>
    <x v="8"/>
    <n v="2.46"/>
    <n v="4617"/>
  </r>
  <r>
    <s v="When Animals Dream"/>
    <n v="2014"/>
    <x v="0"/>
    <n v="84"/>
    <n v="5.8"/>
    <x v="8"/>
    <n v="2.46"/>
    <n v="4003"/>
  </r>
  <r>
    <s v="Hockney"/>
    <n v="2014"/>
    <x v="1"/>
    <n v="112"/>
    <n v="6.8"/>
    <x v="8"/>
    <n v="0.12"/>
    <n v="369"/>
  </r>
  <r>
    <s v="East Side Sushi"/>
    <n v="2014"/>
    <x v="0"/>
    <n v="106"/>
    <n v="7.1"/>
    <x v="8"/>
    <n v="3.5"/>
    <n v="4521"/>
  </r>
  <r>
    <s v="Unfreedom"/>
    <n v="2014"/>
    <x v="0"/>
    <n v="102"/>
    <n v="5"/>
    <x v="8"/>
    <n v="2.46"/>
    <n v="1990"/>
  </r>
  <r>
    <s v="Affluenza"/>
    <n v="2014"/>
    <x v="0"/>
    <n v="85"/>
    <n v="4.8"/>
    <x v="8"/>
    <n v="2.46"/>
    <n v="765"/>
  </r>
  <r>
    <s v="Collection"/>
    <n v="2014"/>
    <x v="0"/>
    <n v="95"/>
    <n v="4.9000000000000004"/>
    <x v="8"/>
    <n v="2.46"/>
    <n v="3189"/>
  </r>
  <r>
    <s v="Rocks In My Pockets"/>
    <n v="2014"/>
    <x v="0"/>
    <n v="88"/>
    <n v="7.4"/>
    <x v="8"/>
    <n v="0.02"/>
    <n v="888"/>
  </r>
  <r>
    <s v="Horse Money"/>
    <n v="2014"/>
    <x v="0"/>
    <n v="103"/>
    <n v="6.9"/>
    <x v="8"/>
    <n v="2.46"/>
    <n v="1908"/>
  </r>
  <r>
    <s v="Heaven Is For Real"/>
    <n v="2014"/>
    <x v="0"/>
    <n v="99"/>
    <n v="5.8"/>
    <x v="8"/>
    <n v="91.44"/>
    <n v="28153"/>
  </r>
  <r>
    <s v="Zero Motivation"/>
    <n v="2014"/>
    <x v="0"/>
    <n v="97"/>
    <n v="7.2"/>
    <x v="8"/>
    <n v="0.1"/>
    <n v="4461"/>
  </r>
  <r>
    <s v="Battlefield Of Lost Souls"/>
    <n v="2015"/>
    <x v="0"/>
    <n v="96"/>
    <n v="5.7"/>
    <x v="8"/>
    <n v="2.46"/>
    <n v="2049"/>
  </r>
  <r>
    <s v="Wild Card"/>
    <n v="2015"/>
    <x v="0"/>
    <n v="92"/>
    <n v="5.6"/>
    <x v="8"/>
    <n v="0"/>
    <n v="58859"/>
  </r>
  <r>
    <s v="Time Traveller"/>
    <n v="2015"/>
    <x v="1"/>
    <n v="109"/>
    <n v="4.5999999999999996"/>
    <x v="8"/>
    <n v="2.46"/>
    <n v="3390"/>
  </r>
  <r>
    <s v="Jupiter Ascending"/>
    <n v="2015"/>
    <x v="0"/>
    <n v="127"/>
    <n v="5.3"/>
    <x v="8"/>
    <n v="47.39"/>
    <n v="192841"/>
  </r>
  <r>
    <s v="Dragon Blade"/>
    <n v="2015"/>
    <x v="2"/>
    <n v="127"/>
    <n v="5.9"/>
    <x v="8"/>
    <n v="7.0000000000000007E-2"/>
    <n v="20950"/>
  </r>
  <r>
    <s v="The Boy Next Door"/>
    <n v="2015"/>
    <x v="0"/>
    <n v="91"/>
    <n v="4.7"/>
    <x v="8"/>
    <n v="35.39"/>
    <n v="44590"/>
  </r>
  <r>
    <s v="Kidnapping Freddy Heineken"/>
    <n v="2015"/>
    <x v="0"/>
    <n v="95"/>
    <n v="6.1"/>
    <x v="8"/>
    <n v="2.46"/>
    <n v="21479"/>
  </r>
  <r>
    <s v="The Longest Ride"/>
    <n v="2015"/>
    <x v="0"/>
    <n v="123"/>
    <n v="7"/>
    <x v="8"/>
    <n v="37.450000000000003"/>
    <n v="87080"/>
  </r>
  <r>
    <s v="Last Knights"/>
    <n v="2015"/>
    <x v="0"/>
    <n v="115"/>
    <n v="6.2"/>
    <x v="8"/>
    <n v="2.46"/>
    <n v="44935"/>
  </r>
  <r>
    <s v="Fifty Shades Of Grey"/>
    <n v="2015"/>
    <x v="0"/>
    <n v="125"/>
    <n v="4.2"/>
    <x v="8"/>
    <n v="166.17"/>
    <n v="330856"/>
  </r>
  <r>
    <s v="Walter"/>
    <n v="2015"/>
    <x v="0"/>
    <n v="94"/>
    <n v="5.4"/>
    <x v="8"/>
    <n v="2.46"/>
    <n v="2075"/>
  </r>
  <r>
    <s v="Vice"/>
    <n v="2015"/>
    <x v="0"/>
    <n v="96"/>
    <n v="4.2"/>
    <x v="8"/>
    <n v="2.46"/>
    <n v="16945"/>
  </r>
  <r>
    <s v="Blackhat"/>
    <n v="2015"/>
    <x v="0"/>
    <n v="133"/>
    <n v="5.5"/>
    <x v="8"/>
    <n v="7.1"/>
    <n v="63099"/>
  </r>
  <r>
    <s v="Maggie"/>
    <n v="2015"/>
    <x v="0"/>
    <n v="95"/>
    <n v="5.6"/>
    <x v="8"/>
    <n v="0.19"/>
    <n v="46078"/>
  </r>
  <r>
    <s v="Mcfarland"/>
    <n v="2015"/>
    <x v="2"/>
    <n v="129"/>
    <n v="7.4"/>
    <x v="8"/>
    <n v="44.47"/>
    <n v="41291"/>
  </r>
  <r>
    <s v="The Age Of Adaline"/>
    <n v="2015"/>
    <x v="0"/>
    <n v="112"/>
    <n v="7.2"/>
    <x v="8"/>
    <n v="42.48"/>
    <n v="196317"/>
  </r>
  <r>
    <s v="Spare Parts"/>
    <n v="2015"/>
    <x v="0"/>
    <n v="114"/>
    <n v="7.2"/>
    <x v="8"/>
    <n v="3.61"/>
    <n v="11684"/>
  </r>
  <r>
    <s v="Run All Night"/>
    <n v="2015"/>
    <x v="0"/>
    <n v="114"/>
    <n v="6.6"/>
    <x v="8"/>
    <n v="26.46"/>
    <n v="113591"/>
  </r>
  <r>
    <s v="The Lazarus Effect"/>
    <n v="2015"/>
    <x v="0"/>
    <n v="83"/>
    <n v="5.2"/>
    <x v="8"/>
    <n v="25.8"/>
    <n v="45552"/>
  </r>
  <r>
    <s v="Chappie"/>
    <n v="2015"/>
    <x v="0"/>
    <n v="120"/>
    <n v="6.8"/>
    <x v="8"/>
    <n v="31.57"/>
    <n v="264981"/>
  </r>
  <r>
    <s v="Survivor"/>
    <n v="2015"/>
    <x v="0"/>
    <n v="96"/>
    <n v="5.6"/>
    <x v="8"/>
    <n v="2.46"/>
    <n v="35276"/>
  </r>
  <r>
    <s v="Danny Collins"/>
    <n v="2015"/>
    <x v="0"/>
    <n v="106"/>
    <n v="7"/>
    <x v="8"/>
    <n v="5.35"/>
    <n v="32812"/>
  </r>
  <r>
    <s v="Wild Horses"/>
    <n v="2015"/>
    <x v="0"/>
    <n v="100"/>
    <n v="4.8"/>
    <x v="8"/>
    <n v="2.46"/>
    <n v="3867"/>
  </r>
  <r>
    <s v="Woman In Gold"/>
    <n v="2015"/>
    <x v="0"/>
    <n v="109"/>
    <n v="7.3"/>
    <x v="8"/>
    <n v="33.31"/>
    <n v="62045"/>
  </r>
  <r>
    <s v="Insurgent"/>
    <n v="2015"/>
    <x v="0"/>
    <n v="119"/>
    <n v="6.2"/>
    <x v="8"/>
    <n v="130.18"/>
    <n v="249902"/>
  </r>
  <r>
    <s v="Results"/>
    <n v="2015"/>
    <x v="0"/>
    <n v="105"/>
    <n v="5.5"/>
    <x v="8"/>
    <n v="0.1"/>
    <n v="7609"/>
  </r>
  <r>
    <s v="Cobain: Montage Of Heck"/>
    <n v="2015"/>
    <x v="0"/>
    <n v="132"/>
    <n v="7.5"/>
    <x v="8"/>
    <n v="2.46"/>
    <n v="31642"/>
  </r>
  <r>
    <s v="Cinderella"/>
    <n v="2015"/>
    <x v="0"/>
    <n v="105"/>
    <n v="6.9"/>
    <x v="8"/>
    <n v="201.15"/>
    <n v="186922"/>
  </r>
  <r>
    <s v="Fighting Demons"/>
    <n v="2015"/>
    <x v="0"/>
    <n v="100"/>
    <n v="4.9000000000000004"/>
    <x v="8"/>
    <n v="2.46"/>
    <n v="1319"/>
  </r>
  <r>
    <s v="Fast &amp; Furious 7"/>
    <n v="2015"/>
    <x v="0"/>
    <n v="137"/>
    <n v="7.1"/>
    <x v="8"/>
    <n v="353.01"/>
    <n v="408496"/>
  </r>
  <r>
    <s v="Home Sweet Hell"/>
    <n v="2015"/>
    <x v="0"/>
    <n v="98"/>
    <n v="5.5"/>
    <x v="8"/>
    <n v="2.46"/>
    <n v="16300"/>
  </r>
  <r>
    <s v="The Gunman"/>
    <n v="2015"/>
    <x v="0"/>
    <n v="115"/>
    <n v="5.8"/>
    <x v="8"/>
    <n v="10.64"/>
    <n v="42959"/>
  </r>
  <r>
    <s v="Mortdecai"/>
    <n v="2015"/>
    <x v="0"/>
    <n v="107"/>
    <n v="5.5"/>
    <x v="8"/>
    <n v="7.61"/>
    <n v="75889"/>
  </r>
  <r>
    <s v="Child 44"/>
    <n v="2015"/>
    <x v="1"/>
    <n v="137"/>
    <n v="6.4"/>
    <x v="8"/>
    <n v="1.21"/>
    <n v="74772"/>
  </r>
  <r>
    <s v="Far From The Madding Crowd"/>
    <n v="2015"/>
    <x v="0"/>
    <n v="119"/>
    <n v="7.1"/>
    <x v="8"/>
    <n v="12.23"/>
    <n v="52527"/>
  </r>
  <r>
    <s v="True Story"/>
    <n v="2015"/>
    <x v="0"/>
    <n v="99"/>
    <n v="6.3"/>
    <x v="8"/>
    <n v="4.72"/>
    <n v="71638"/>
  </r>
  <r>
    <s v="Hot Pursuit"/>
    <n v="2015"/>
    <x v="0"/>
    <n v="87"/>
    <n v="5.0999999999999996"/>
    <x v="8"/>
    <n v="34.51"/>
    <n v="53382"/>
  </r>
  <r>
    <s v="Bravetown"/>
    <n v="2015"/>
    <x v="0"/>
    <n v="112"/>
    <n v="6.1"/>
    <x v="8"/>
    <n v="2.46"/>
    <n v="4291"/>
  </r>
  <r>
    <s v="The World Made Straight"/>
    <n v="2015"/>
    <x v="2"/>
    <n v="119"/>
    <n v="5.5"/>
    <x v="8"/>
    <n v="2.46"/>
    <n v="2029"/>
  </r>
  <r>
    <s v="Mad Max: Fury Road"/>
    <n v="2015"/>
    <x v="0"/>
    <n v="120"/>
    <n v="8.1"/>
    <x v="8"/>
    <n v="154.06"/>
    <n v="1055728"/>
  </r>
  <r>
    <s v="Jenny'S Wedding"/>
    <n v="2015"/>
    <x v="0"/>
    <n v="94"/>
    <n v="5.6"/>
    <x v="8"/>
    <n v="0"/>
    <n v="11754"/>
  </r>
  <r>
    <s v="Slow West"/>
    <n v="2015"/>
    <x v="2"/>
    <n v="84"/>
    <n v="6.9"/>
    <x v="8"/>
    <n v="0.23"/>
    <n v="47237"/>
  </r>
  <r>
    <s v="Extinction"/>
    <n v="2015"/>
    <x v="0"/>
    <n v="112"/>
    <n v="5.8"/>
    <x v="8"/>
    <n v="2.46"/>
    <n v="17663"/>
  </r>
  <r>
    <s v="Jurassic World"/>
    <n v="2015"/>
    <x v="0"/>
    <n v="124"/>
    <n v="6.9"/>
    <x v="8"/>
    <n v="652.27"/>
    <n v="668605"/>
  </r>
  <r>
    <s v="Strangerland"/>
    <n v="2015"/>
    <x v="1"/>
    <n v="112"/>
    <n v="5.2"/>
    <x v="8"/>
    <n v="0.02"/>
    <n v="9909"/>
  </r>
  <r>
    <s v="Lila &amp; Eve"/>
    <n v="2015"/>
    <x v="0"/>
    <n v="94"/>
    <n v="5.8"/>
    <x v="8"/>
    <n v="0.04"/>
    <n v="8954"/>
  </r>
  <r>
    <s v="Stung"/>
    <n v="2015"/>
    <x v="0"/>
    <n v="87"/>
    <n v="5.0999999999999996"/>
    <x v="8"/>
    <n v="2.46"/>
    <n v="5202"/>
  </r>
  <r>
    <s v="Aloha"/>
    <n v="2015"/>
    <x v="1"/>
    <n v="105"/>
    <n v="5.4"/>
    <x v="8"/>
    <n v="20.99"/>
    <n v="69932"/>
  </r>
  <r>
    <s v="Dark Places"/>
    <n v="2015"/>
    <x v="2"/>
    <n v="113"/>
    <n v="6.2"/>
    <x v="8"/>
    <n v="2.46"/>
    <n v="47259"/>
  </r>
  <r>
    <s v="Mia Madre"/>
    <n v="2015"/>
    <x v="0"/>
    <n v="106"/>
    <n v="6.8"/>
    <x v="8"/>
    <n v="0.3"/>
    <n v="7680"/>
  </r>
  <r>
    <s v="I'Ll See You In My Dreams"/>
    <n v="2015"/>
    <x v="2"/>
    <n v="92"/>
    <n v="6.7"/>
    <x v="8"/>
    <n v="7.43"/>
    <n v="7841"/>
  </r>
  <r>
    <s v="Straight Outta Compton"/>
    <n v="2015"/>
    <x v="0"/>
    <n v="147"/>
    <n v="7.8"/>
    <x v="8"/>
    <n v="161.19999999999999"/>
    <n v="213821"/>
  </r>
  <r>
    <s v="Z For Zachariah"/>
    <n v="2015"/>
    <x v="0"/>
    <n v="98"/>
    <n v="6"/>
    <x v="8"/>
    <n v="0.12"/>
    <n v="32242"/>
  </r>
  <r>
    <s v="Self/Less"/>
    <n v="2015"/>
    <x v="1"/>
    <n v="117"/>
    <n v="6.5"/>
    <x v="8"/>
    <n v="12.28"/>
    <n v="102863"/>
  </r>
  <r>
    <s v="Avengers: Age Of Ultron"/>
    <n v="2015"/>
    <x v="0"/>
    <n v="141"/>
    <n v="7.3"/>
    <x v="8"/>
    <n v="459.01"/>
    <n v="904606"/>
  </r>
  <r>
    <s v="A Royal Night Out"/>
    <n v="2015"/>
    <x v="0"/>
    <n v="97"/>
    <n v="6.5"/>
    <x v="8"/>
    <n v="0.2"/>
    <n v="10905"/>
  </r>
  <r>
    <s v="Fantastic Four"/>
    <n v="2015"/>
    <x v="0"/>
    <n v="100"/>
    <n v="4.3"/>
    <x v="8"/>
    <n v="56.12"/>
    <n v="173776"/>
  </r>
  <r>
    <s v="Steve Jobs: The Man In The Machine"/>
    <n v="2015"/>
    <x v="1"/>
    <n v="128"/>
    <n v="6.9"/>
    <x v="8"/>
    <n v="0.49"/>
    <n v="6427"/>
  </r>
  <r>
    <s v="Unexpected"/>
    <n v="2015"/>
    <x v="0"/>
    <n v="90"/>
    <n v="5.8"/>
    <x v="8"/>
    <n v="2.46"/>
    <n v="3228"/>
  </r>
  <r>
    <s v="Spooks: The Greater Good"/>
    <n v="2015"/>
    <x v="0"/>
    <n v="104"/>
    <n v="6.2"/>
    <x v="8"/>
    <n v="2.46"/>
    <n v="23569"/>
  </r>
  <r>
    <s v="San Andreas"/>
    <n v="2015"/>
    <x v="0"/>
    <n v="114"/>
    <n v="6.1"/>
    <x v="8"/>
    <n v="155.19"/>
    <n v="251655"/>
  </r>
  <r>
    <s v="Magic Mike Xxl"/>
    <n v="2015"/>
    <x v="1"/>
    <n v="115"/>
    <n v="5.6"/>
    <x v="8"/>
    <n v="66.010000000000005"/>
    <n v="60603"/>
  </r>
  <r>
    <s v="Stockholm, Pennsylvania"/>
    <n v="2015"/>
    <x v="0"/>
    <n v="99"/>
    <n v="6"/>
    <x v="8"/>
    <n v="2.46"/>
    <n v="2528"/>
  </r>
  <r>
    <s v="Return To Sender"/>
    <n v="2015"/>
    <x v="0"/>
    <n v="92"/>
    <n v="5.0999999999999996"/>
    <x v="8"/>
    <n v="2.46"/>
    <n v="14337"/>
  </r>
  <r>
    <s v="The Second Best Exotic Marigold Hotel"/>
    <n v="2015"/>
    <x v="0"/>
    <n v="122"/>
    <n v="6.5"/>
    <x v="8"/>
    <n v="33.08"/>
    <n v="35375"/>
  </r>
  <r>
    <s v="Me And Earl And The Dying Girl"/>
    <n v="2015"/>
    <x v="0"/>
    <n v="105"/>
    <n v="7.7"/>
    <x v="8"/>
    <n v="6.74"/>
    <n v="136558"/>
  </r>
  <r>
    <s v="Mission: Impossible - Rogue Nation"/>
    <n v="2015"/>
    <x v="0"/>
    <n v="131"/>
    <n v="7.4"/>
    <x v="8"/>
    <n v="195.04"/>
    <n v="402662"/>
  </r>
  <r>
    <s v="Tomorrowland: A World Beyond"/>
    <n v="2015"/>
    <x v="0"/>
    <n v="130"/>
    <n v="6.4"/>
    <x v="8"/>
    <n v="93.44"/>
    <n v="188668"/>
  </r>
  <r>
    <s v="10,000 Saints"/>
    <n v="2015"/>
    <x v="2"/>
    <n v="113"/>
    <n v="5.9"/>
    <x v="8"/>
    <n v="0.06"/>
    <n v="5936"/>
  </r>
  <r>
    <s v="Reckless"/>
    <n v="2015"/>
    <x v="0"/>
    <n v="112"/>
    <n v="5.8"/>
    <x v="8"/>
    <n v="2.46"/>
    <n v="8009"/>
  </r>
  <r>
    <s v="Southpaw"/>
    <n v="2015"/>
    <x v="1"/>
    <n v="124"/>
    <n v="7.3"/>
    <x v="8"/>
    <n v="52.42"/>
    <n v="252691"/>
  </r>
  <r>
    <s v="Dope"/>
    <n v="2015"/>
    <x v="0"/>
    <n v="103"/>
    <n v="7.2"/>
    <x v="8"/>
    <n v="17.510000000000002"/>
    <n v="88541"/>
  </r>
  <r>
    <s v="Paper Towns"/>
    <n v="2015"/>
    <x v="0"/>
    <n v="109"/>
    <n v="6.2"/>
    <x v="8"/>
    <n v="32"/>
    <n v="106807"/>
  </r>
  <r>
    <s v="Big Sky"/>
    <n v="2015"/>
    <x v="0"/>
    <n v="90"/>
    <n v="4.4000000000000004"/>
    <x v="8"/>
    <n v="2.46"/>
    <n v="1636"/>
  </r>
  <r>
    <s v="Mr. Holmes"/>
    <n v="2015"/>
    <x v="0"/>
    <n v="104"/>
    <n v="6.8"/>
    <x v="8"/>
    <n v="17.739999999999998"/>
    <n v="66703"/>
  </r>
  <r>
    <s v="Digging For Fire"/>
    <n v="2015"/>
    <x v="0"/>
    <n v="85"/>
    <n v="5.8"/>
    <x v="8"/>
    <n v="0.12"/>
    <n v="6673"/>
  </r>
  <r>
    <s v="People Places Things"/>
    <n v="2015"/>
    <x v="1"/>
    <n v="85"/>
    <n v="6.8"/>
    <x v="8"/>
    <n v="2.46"/>
    <n v="10911"/>
  </r>
  <r>
    <s v="Ashby"/>
    <n v="2015"/>
    <x v="0"/>
    <n v="100"/>
    <n v="6.4"/>
    <x v="8"/>
    <n v="0"/>
    <n v="16091"/>
  </r>
  <r>
    <s v="The Measure Of A Man"/>
    <n v="2015"/>
    <x v="0"/>
    <n v="91"/>
    <n v="6.8"/>
    <x v="8"/>
    <n v="0.11"/>
    <n v="6688"/>
  </r>
  <r>
    <s v="Tale Of Tales"/>
    <n v="2015"/>
    <x v="0"/>
    <n v="134"/>
    <n v="6.4"/>
    <x v="8"/>
    <n v="0.08"/>
    <n v="30567"/>
  </r>
  <r>
    <s v="The Runner"/>
    <n v="2015"/>
    <x v="0"/>
    <n v="90"/>
    <n v="4.7"/>
    <x v="8"/>
    <n v="2.46"/>
    <n v="5782"/>
  </r>
  <r>
    <s v="The Visit"/>
    <n v="2015"/>
    <x v="2"/>
    <n v="94"/>
    <n v="6.2"/>
    <x v="8"/>
    <n v="65.209999999999994"/>
    <n v="146584"/>
  </r>
  <r>
    <s v="Entourage"/>
    <n v="2015"/>
    <x v="0"/>
    <n v="104"/>
    <n v="6.5"/>
    <x v="8"/>
    <n v="32.36"/>
    <n v="82297"/>
  </r>
  <r>
    <s v="Every Thing Will Be Fine"/>
    <n v="2015"/>
    <x v="2"/>
    <n v="118"/>
    <n v="5.4"/>
    <x v="8"/>
    <n v="2.46"/>
    <n v="6376"/>
  </r>
  <r>
    <s v="Hitman: Agent 47"/>
    <n v="2015"/>
    <x v="0"/>
    <n v="96"/>
    <n v="5.7"/>
    <x v="8"/>
    <n v="22.47"/>
    <n v="94442"/>
  </r>
  <r>
    <s v="Into The Grizzly Maze"/>
    <n v="2015"/>
    <x v="0"/>
    <n v="94"/>
    <n v="5.3"/>
    <x v="8"/>
    <n v="2.46"/>
    <n v="10567"/>
  </r>
  <r>
    <s v="Little Boy"/>
    <n v="2015"/>
    <x v="0"/>
    <n v="106"/>
    <n v="7.3"/>
    <x v="8"/>
    <n v="6.42"/>
    <n v="23997"/>
  </r>
  <r>
    <s v="Narcopolis"/>
    <n v="2015"/>
    <x v="1"/>
    <n v="96"/>
    <n v="4.4000000000000004"/>
    <x v="8"/>
    <n v="2.46"/>
    <n v="1882"/>
  </r>
  <r>
    <s v="Mississippi Grind"/>
    <n v="2015"/>
    <x v="1"/>
    <n v="108"/>
    <n v="6.4"/>
    <x v="8"/>
    <n v="0.13"/>
    <n v="25554"/>
  </r>
  <r>
    <s v="Going Clear: Scientology &amp; The Prison Of Belief"/>
    <n v="2015"/>
    <x v="0"/>
    <n v="119"/>
    <n v="8"/>
    <x v="8"/>
    <n v="2.46"/>
    <n v="40501"/>
  </r>
  <r>
    <s v="The Man From U.N.C.L.E."/>
    <n v="2015"/>
    <x v="0"/>
    <n v="116"/>
    <n v="7.2"/>
    <x v="8"/>
    <n v="45.45"/>
    <n v="326243"/>
  </r>
  <r>
    <s v="Club Life"/>
    <n v="2015"/>
    <x v="0"/>
    <n v="87"/>
    <n v="4.8"/>
    <x v="8"/>
    <n v="2.46"/>
    <n v="559"/>
  </r>
  <r>
    <s v="The Assassin"/>
    <n v="2015"/>
    <x v="0"/>
    <n v="105"/>
    <n v="6.3"/>
    <x v="8"/>
    <n v="0.61"/>
    <n v="17703"/>
  </r>
  <r>
    <s v="Love"/>
    <n v="2015"/>
    <x v="0"/>
    <n v="135"/>
    <n v="6.1"/>
    <x v="8"/>
    <n v="2.46"/>
    <n v="64779"/>
  </r>
  <r>
    <s v="Diary Of A Chambermaid"/>
    <n v="2015"/>
    <x v="0"/>
    <n v="96"/>
    <n v="5.5"/>
    <x v="8"/>
    <n v="0.05"/>
    <n v="2991"/>
  </r>
  <r>
    <s v="We Are Your Friends"/>
    <n v="2015"/>
    <x v="0"/>
    <n v="96"/>
    <n v="6.2"/>
    <x v="8"/>
    <n v="3.59"/>
    <n v="40062"/>
  </r>
  <r>
    <s v="Bone Tomahawk"/>
    <n v="2015"/>
    <x v="0"/>
    <n v="132"/>
    <n v="7.1"/>
    <x v="8"/>
    <n v="2.46"/>
    <n v="113299"/>
  </r>
  <r>
    <s v="Ricki And The Flash"/>
    <n v="2015"/>
    <x v="0"/>
    <n v="101"/>
    <n v="6"/>
    <x v="8"/>
    <n v="26.82"/>
    <n v="24514"/>
  </r>
  <r>
    <s v="Mistress America"/>
    <n v="2015"/>
    <x v="0"/>
    <n v="84"/>
    <n v="6.7"/>
    <x v="8"/>
    <n v="2.46"/>
    <n v="28256"/>
  </r>
  <r>
    <s v="Spy"/>
    <n v="2015"/>
    <x v="1"/>
    <n v="120"/>
    <n v="7"/>
    <x v="8"/>
    <n v="110.83"/>
    <n v="254796"/>
  </r>
  <r>
    <s v="The Gift"/>
    <n v="2015"/>
    <x v="0"/>
    <n v="108"/>
    <n v="7"/>
    <x v="8"/>
    <n v="43.77"/>
    <n v="167779"/>
  </r>
  <r>
    <s v="Absolutely Anything"/>
    <n v="2015"/>
    <x v="0"/>
    <n v="85"/>
    <n v="6"/>
    <x v="8"/>
    <n v="2.46"/>
    <n v="46772"/>
  </r>
  <r>
    <s v="Crimson Peak"/>
    <n v="2015"/>
    <x v="0"/>
    <n v="119"/>
    <n v="6.5"/>
    <x v="8"/>
    <n v="31.09"/>
    <n v="155905"/>
  </r>
  <r>
    <s v="Experimenter"/>
    <n v="2015"/>
    <x v="0"/>
    <n v="98"/>
    <n v="6.6"/>
    <x v="8"/>
    <n v="0.16"/>
    <n v="19411"/>
  </r>
  <r>
    <s v="The Martian"/>
    <n v="2015"/>
    <x v="0"/>
    <n v="144"/>
    <n v="8"/>
    <x v="8"/>
    <n v="228.43"/>
    <n v="900381"/>
  </r>
  <r>
    <s v="Momentum"/>
    <n v="2015"/>
    <x v="1"/>
    <n v="96"/>
    <n v="5.5"/>
    <x v="8"/>
    <n v="2.46"/>
    <n v="16646"/>
  </r>
  <r>
    <s v="Ant-Man"/>
    <n v="2015"/>
    <x v="0"/>
    <n v="117"/>
    <n v="7.3"/>
    <x v="8"/>
    <n v="180.2"/>
    <n v="707890"/>
  </r>
  <r>
    <s v="Everest"/>
    <n v="2015"/>
    <x v="0"/>
    <n v="121"/>
    <n v="7.1"/>
    <x v="8"/>
    <n v="43.48"/>
    <n v="227505"/>
  </r>
  <r>
    <s v="Mustang"/>
    <n v="2015"/>
    <x v="0"/>
    <n v="97"/>
    <n v="7.6"/>
    <x v="8"/>
    <n v="0.85"/>
    <n v="40347"/>
  </r>
  <r>
    <s v="Minions"/>
    <n v="2015"/>
    <x v="0"/>
    <n v="91"/>
    <n v="6.4"/>
    <x v="8"/>
    <n v="336.05"/>
    <n v="253065"/>
  </r>
  <r>
    <s v="No Escape"/>
    <n v="2015"/>
    <x v="0"/>
    <n v="103"/>
    <n v="6.7"/>
    <x v="8"/>
    <n v="27.29"/>
    <n v="91184"/>
  </r>
  <r>
    <s v="Standing Tall"/>
    <n v="2015"/>
    <x v="0"/>
    <n v="120"/>
    <n v="6.9"/>
    <x v="8"/>
    <n v="0.02"/>
    <n v="3785"/>
  </r>
  <r>
    <s v="90 Minutes In Heaven"/>
    <n v="2015"/>
    <x v="0"/>
    <n v="121"/>
    <n v="4.9000000000000004"/>
    <x v="8"/>
    <n v="4.7"/>
    <n v="4232"/>
  </r>
  <r>
    <s v="Amy"/>
    <n v="2015"/>
    <x v="0"/>
    <n v="128"/>
    <n v="7.8"/>
    <x v="8"/>
    <n v="8.41"/>
    <n v="54110"/>
  </r>
  <r>
    <s v="Maze Runner: The Scorch Trials"/>
    <n v="2015"/>
    <x v="0"/>
    <n v="131"/>
    <n v="6.3"/>
    <x v="8"/>
    <n v="81.7"/>
    <n v="267917"/>
  </r>
  <r>
    <s v="Beasts Of No Nation"/>
    <n v="2015"/>
    <x v="0"/>
    <n v="137"/>
    <n v="7.7"/>
    <x v="8"/>
    <n v="0.08"/>
    <n v="85460"/>
  </r>
  <r>
    <s v="Meadowland"/>
    <n v="2015"/>
    <x v="0"/>
    <n v="105"/>
    <n v="5.8"/>
    <x v="8"/>
    <n v="2.46"/>
    <n v="4140"/>
  </r>
  <r>
    <s v="Partisan"/>
    <n v="2015"/>
    <x v="0"/>
    <n v="94"/>
    <n v="5.8"/>
    <x v="8"/>
    <n v="2.46"/>
    <n v="4147"/>
  </r>
  <r>
    <s v="Black Mass"/>
    <n v="2015"/>
    <x v="0"/>
    <n v="123"/>
    <n v="6.9"/>
    <x v="8"/>
    <n v="62.58"/>
    <n v="189474"/>
  </r>
  <r>
    <s v="The Wannabe"/>
    <n v="2015"/>
    <x v="1"/>
    <n v="90"/>
    <n v="5.0999999999999996"/>
    <x v="8"/>
    <n v="2.46"/>
    <n v="1786"/>
  </r>
  <r>
    <s v="The 33"/>
    <n v="2015"/>
    <x v="0"/>
    <n v="127"/>
    <n v="6.9"/>
    <x v="8"/>
    <n v="12.19"/>
    <n v="39294"/>
  </r>
  <r>
    <s v="Focus"/>
    <n v="2015"/>
    <x v="0"/>
    <n v="105"/>
    <n v="6.6"/>
    <x v="8"/>
    <n v="53.86"/>
    <n v="267781"/>
  </r>
  <r>
    <s v="Knock Knock"/>
    <n v="2015"/>
    <x v="0"/>
    <n v="99"/>
    <n v="4.9000000000000004"/>
    <x v="8"/>
    <n v="0.04"/>
    <n v="102007"/>
  </r>
  <r>
    <s v="Terminator Genisys"/>
    <n v="2015"/>
    <x v="0"/>
    <n v="126"/>
    <n v="6.3"/>
    <x v="8"/>
    <n v="89.76"/>
    <n v="289082"/>
  </r>
  <r>
    <s v="Pixels"/>
    <n v="2015"/>
    <x v="0"/>
    <n v="105"/>
    <n v="5.6"/>
    <x v="8"/>
    <n v="78.75"/>
    <n v="155037"/>
  </r>
  <r>
    <s v="The Girl King"/>
    <n v="2015"/>
    <x v="0"/>
    <n v="106"/>
    <n v="5.8"/>
    <x v="8"/>
    <n v="2.46"/>
    <n v="4366"/>
  </r>
  <r>
    <s v="Carol"/>
    <n v="2015"/>
    <x v="0"/>
    <n v="118"/>
    <n v="7.2"/>
    <x v="8"/>
    <n v="12.71"/>
    <n v="138497"/>
  </r>
  <r>
    <s v="The End Of The Tour"/>
    <n v="2015"/>
    <x v="0"/>
    <n v="106"/>
    <n v="7.2"/>
    <x v="8"/>
    <n v="2.99"/>
    <n v="32194"/>
  </r>
  <r>
    <s v="Bridge Of Spies"/>
    <n v="2015"/>
    <x v="0"/>
    <n v="142"/>
    <n v="7.6"/>
    <x v="8"/>
    <n v="72.31"/>
    <n v="323289"/>
  </r>
  <r>
    <s v="The Walk"/>
    <n v="2015"/>
    <x v="0"/>
    <n v="123"/>
    <n v="7.3"/>
    <x v="8"/>
    <n v="10.14"/>
    <n v="133630"/>
  </r>
  <r>
    <s v="Spectre"/>
    <n v="2015"/>
    <x v="0"/>
    <n v="148"/>
    <n v="6.8"/>
    <x v="8"/>
    <n v="200.07"/>
    <n v="458505"/>
  </r>
  <r>
    <s v="Chloe &amp; Theo"/>
    <n v="2015"/>
    <x v="0"/>
    <n v="81"/>
    <n v="5.7"/>
    <x v="8"/>
    <n v="2.46"/>
    <n v="1774"/>
  </r>
  <r>
    <s v="Extraction"/>
    <n v="2015"/>
    <x v="0"/>
    <n v="92"/>
    <n v="4.0999999999999996"/>
    <x v="8"/>
    <n v="2.46"/>
    <n v="11883"/>
  </r>
  <r>
    <s v="Youth"/>
    <n v="2015"/>
    <x v="0"/>
    <n v="124"/>
    <n v="7.3"/>
    <x v="8"/>
    <n v="2.7"/>
    <n v="81946"/>
  </r>
  <r>
    <s v="Valley Of Love"/>
    <n v="2015"/>
    <x v="1"/>
    <n v="91"/>
    <n v="6.1"/>
    <x v="8"/>
    <n v="0.03"/>
    <n v="2293"/>
  </r>
  <r>
    <s v="A Walk In The Woods"/>
    <n v="2015"/>
    <x v="0"/>
    <n v="104"/>
    <n v="6.4"/>
    <x v="8"/>
    <n v="29.47"/>
    <n v="28465"/>
  </r>
  <r>
    <s v="Brooklyn"/>
    <n v="2015"/>
    <x v="0"/>
    <n v="117"/>
    <n v="7.5"/>
    <x v="8"/>
    <n v="38.32"/>
    <n v="148056"/>
  </r>
  <r>
    <s v="Room"/>
    <n v="2015"/>
    <x v="0"/>
    <n v="118"/>
    <n v="8.1"/>
    <x v="8"/>
    <n v="14.68"/>
    <n v="441193"/>
  </r>
  <r>
    <s v="The Lobster"/>
    <n v="2015"/>
    <x v="0"/>
    <n v="119"/>
    <n v="7.1"/>
    <x v="8"/>
    <n v="8.6999999999999993"/>
    <n v="278781"/>
  </r>
  <r>
    <s v="The Girl In The Book"/>
    <n v="2015"/>
    <x v="0"/>
    <n v="86"/>
    <n v="6.1"/>
    <x v="8"/>
    <n v="0.01"/>
    <n v="4636"/>
  </r>
  <r>
    <s v="The Intern"/>
    <n v="2015"/>
    <x v="0"/>
    <n v="121"/>
    <n v="7.1"/>
    <x v="8"/>
    <n v="75.760000000000005"/>
    <n v="267804"/>
  </r>
  <r>
    <s v="Legend"/>
    <n v="2015"/>
    <x v="0"/>
    <n v="132"/>
    <n v="6.9"/>
    <x v="8"/>
    <n v="1.87"/>
    <n v="196667"/>
  </r>
  <r>
    <s v="The Danish Girl"/>
    <n v="2015"/>
    <x v="0"/>
    <n v="119"/>
    <n v="7.1"/>
    <x v="8"/>
    <n v="11.11"/>
    <n v="196289"/>
  </r>
  <r>
    <s v="Heist"/>
    <n v="2015"/>
    <x v="0"/>
    <n v="93"/>
    <n v="6.1"/>
    <x v="8"/>
    <n v="2.46"/>
    <n v="32136"/>
  </r>
  <r>
    <s v="In The Heart Of The Sea"/>
    <n v="2015"/>
    <x v="0"/>
    <n v="122"/>
    <n v="6.9"/>
    <x v="8"/>
    <n v="25.02"/>
    <n v="146224"/>
  </r>
  <r>
    <s v="The Ridiculous 6"/>
    <n v="2015"/>
    <x v="0"/>
    <n v="119"/>
    <n v="4.8"/>
    <x v="8"/>
    <n v="2.46"/>
    <n v="52478"/>
  </r>
  <r>
    <s v="Concussion"/>
    <n v="2015"/>
    <x v="0"/>
    <n v="123"/>
    <n v="7.1"/>
    <x v="8"/>
    <n v="34.54"/>
    <n v="99331"/>
  </r>
  <r>
    <s v="Spotlight"/>
    <n v="2015"/>
    <x v="0"/>
    <n v="129"/>
    <n v="8.1"/>
    <x v="8"/>
    <n v="45.06"/>
    <n v="492406"/>
  </r>
  <r>
    <s v="Captive"/>
    <n v="2015"/>
    <x v="0"/>
    <n v="97"/>
    <n v="5.4"/>
    <x v="8"/>
    <n v="2.56"/>
    <n v="7176"/>
  </r>
  <r>
    <s v="I Smile Back"/>
    <n v="2015"/>
    <x v="0"/>
    <n v="85"/>
    <n v="6.2"/>
    <x v="8"/>
    <n v="0.06"/>
    <n v="5624"/>
  </r>
  <r>
    <s v="Victoria"/>
    <n v="2015"/>
    <x v="0"/>
    <n v="138"/>
    <n v="7.6"/>
    <x v="8"/>
    <n v="2.46"/>
    <n v="61971"/>
  </r>
  <r>
    <s v="Woodlawn"/>
    <n v="2015"/>
    <x v="0"/>
    <n v="123"/>
    <n v="6.4"/>
    <x v="8"/>
    <n v="14.39"/>
    <n v="7705"/>
  </r>
  <r>
    <s v="Goosebumps"/>
    <n v="2015"/>
    <x v="0"/>
    <n v="103"/>
    <n v="6.3"/>
    <x v="8"/>
    <n v="80.08"/>
    <n v="94090"/>
  </r>
  <r>
    <s v="Life"/>
    <n v="2015"/>
    <x v="0"/>
    <n v="111"/>
    <n v="6"/>
    <x v="8"/>
    <n v="2.46"/>
    <n v="8768"/>
  </r>
  <r>
    <s v="Sicario"/>
    <n v="2015"/>
    <x v="0"/>
    <n v="121"/>
    <n v="7.7"/>
    <x v="8"/>
    <n v="46.89"/>
    <n v="459410"/>
  </r>
  <r>
    <s v="The Big Short"/>
    <n v="2015"/>
    <x v="2"/>
    <n v="130"/>
    <n v="7.8"/>
    <x v="8"/>
    <n v="70.260000000000005"/>
    <n v="468747"/>
  </r>
  <r>
    <s v="Joy"/>
    <n v="2015"/>
    <x v="0"/>
    <n v="124"/>
    <n v="6.6"/>
    <x v="8"/>
    <n v="56.45"/>
    <n v="142790"/>
  </r>
  <r>
    <s v="Creed"/>
    <n v="2015"/>
    <x v="0"/>
    <n v="133"/>
    <n v="7.6"/>
    <x v="8"/>
    <n v="109.77"/>
    <n v="304665"/>
  </r>
  <r>
    <s v="Steve Jobs"/>
    <n v="2015"/>
    <x v="0"/>
    <n v="122"/>
    <n v="7.2"/>
    <x v="8"/>
    <n v="17.77"/>
    <n v="176108"/>
  </r>
  <r>
    <s v="Unfinished Business"/>
    <n v="2015"/>
    <x v="2"/>
    <n v="91"/>
    <n v="5.4"/>
    <x v="8"/>
    <n v="10.210000000000001"/>
    <n v="34581"/>
  </r>
  <r>
    <s v="45 Years"/>
    <n v="2015"/>
    <x v="1"/>
    <n v="95"/>
    <n v="7.1"/>
    <x v="8"/>
    <n v="4.25"/>
    <n v="34472"/>
  </r>
  <r>
    <s v="Solace"/>
    <n v="2015"/>
    <x v="0"/>
    <n v="101"/>
    <n v="6.4"/>
    <x v="8"/>
    <n v="2.46"/>
    <n v="67477"/>
  </r>
  <r>
    <s v="Suffragette"/>
    <n v="2015"/>
    <x v="0"/>
    <n v="106"/>
    <n v="6.9"/>
    <x v="8"/>
    <n v="4.6900000000000004"/>
    <n v="43999"/>
  </r>
  <r>
    <s v="The Hateful Eight"/>
    <n v="2015"/>
    <x v="0"/>
    <n v="168"/>
    <n v="7.8"/>
    <x v="8"/>
    <n v="54.12"/>
    <n v="641591"/>
  </r>
  <r>
    <s v="Queen Of Earth"/>
    <n v="2015"/>
    <x v="0"/>
    <n v="90"/>
    <n v="6.2"/>
    <x v="8"/>
    <n v="0.08"/>
    <n v="6773"/>
  </r>
  <r>
    <s v="The Benefactor"/>
    <n v="2015"/>
    <x v="0"/>
    <n v="93"/>
    <n v="5.2"/>
    <x v="8"/>
    <n v="2.46"/>
    <n v="5161"/>
  </r>
  <r>
    <s v="Our Brand Is Crisis"/>
    <n v="2015"/>
    <x v="0"/>
    <n v="107"/>
    <n v="6.1"/>
    <x v="8"/>
    <n v="7"/>
    <n v="23086"/>
  </r>
  <r>
    <s v="Freeheld"/>
    <n v="2015"/>
    <x v="0"/>
    <n v="103"/>
    <n v="6.6"/>
    <x v="8"/>
    <n v="0.53"/>
    <n v="13067"/>
  </r>
  <r>
    <s v="A Perfect Day"/>
    <n v="2015"/>
    <x v="0"/>
    <n v="106"/>
    <n v="6.8"/>
    <x v="8"/>
    <n v="2.46"/>
    <n v="23198"/>
  </r>
  <r>
    <s v="Burnt"/>
    <n v="2015"/>
    <x v="0"/>
    <n v="101"/>
    <n v="6.6"/>
    <x v="8"/>
    <n v="13.65"/>
    <n v="129516"/>
  </r>
  <r>
    <s v="Irrational Man"/>
    <n v="2015"/>
    <x v="0"/>
    <n v="95"/>
    <n v="6.6"/>
    <x v="8"/>
    <n v="4.03"/>
    <n v="65899"/>
  </r>
  <r>
    <s v="Turbo Kid"/>
    <n v="2015"/>
    <x v="0"/>
    <n v="93"/>
    <n v="6.7"/>
    <x v="8"/>
    <n v="0.05"/>
    <n v="29311"/>
  </r>
  <r>
    <s v="Truth"/>
    <n v="2015"/>
    <x v="0"/>
    <n v="125"/>
    <n v="6.8"/>
    <x v="8"/>
    <n v="2.54"/>
    <n v="21015"/>
  </r>
  <r>
    <s v="Trumbo"/>
    <n v="2015"/>
    <x v="1"/>
    <n v="124"/>
    <n v="7.4"/>
    <x v="8"/>
    <n v="7.86"/>
    <n v="83997"/>
  </r>
  <r>
    <s v="Summertime"/>
    <n v="2015"/>
    <x v="0"/>
    <n v="105"/>
    <n v="6.7"/>
    <x v="8"/>
    <n v="0.04"/>
    <n v="5544"/>
  </r>
  <r>
    <s v="The Summer Of Sangaile"/>
    <n v="2015"/>
    <x v="1"/>
    <n v="90"/>
    <n v="6.4"/>
    <x v="8"/>
    <n v="0"/>
    <n v="3341"/>
  </r>
  <r>
    <s v="Grandma"/>
    <n v="2015"/>
    <x v="1"/>
    <n v="79"/>
    <n v="6.7"/>
    <x v="8"/>
    <n v="6.98"/>
    <n v="16547"/>
  </r>
  <r>
    <s v="The Program"/>
    <n v="2015"/>
    <x v="0"/>
    <n v="99"/>
    <n v="6.5"/>
    <x v="8"/>
    <n v="2.46"/>
    <n v="19075"/>
  </r>
  <r>
    <s v="Regression"/>
    <n v="2015"/>
    <x v="0"/>
    <n v="106"/>
    <n v="5.6"/>
    <x v="8"/>
    <n v="0.05"/>
    <n v="42029"/>
  </r>
  <r>
    <s v="Star Wars: Episode Vii - The Force Awakens"/>
    <n v="2015"/>
    <x v="0"/>
    <n v="138"/>
    <n v="7.8"/>
    <x v="8"/>
    <n v="936.66"/>
    <n v="960553"/>
  </r>
  <r>
    <s v="Secret In Their Eyes"/>
    <n v="2015"/>
    <x v="1"/>
    <n v="111"/>
    <n v="6.3"/>
    <x v="8"/>
    <n v="20.18"/>
    <n v="50468"/>
  </r>
  <r>
    <s v="Miss You Already"/>
    <n v="2015"/>
    <x v="0"/>
    <n v="112"/>
    <n v="6.8"/>
    <x v="8"/>
    <n v="1.1599999999999999"/>
    <n v="19669"/>
  </r>
  <r>
    <s v="My All-American"/>
    <n v="2015"/>
    <x v="0"/>
    <n v="118"/>
    <n v="7.1"/>
    <x v="8"/>
    <n v="2.25"/>
    <n v="7075"/>
  </r>
  <r>
    <s v="The Last Witch Hunter"/>
    <n v="2015"/>
    <x v="0"/>
    <n v="106"/>
    <n v="5.9"/>
    <x v="8"/>
    <n v="27.37"/>
    <n v="108167"/>
  </r>
  <r>
    <s v="Backtrack"/>
    <n v="2015"/>
    <x v="0"/>
    <n v="90"/>
    <n v="5.9"/>
    <x v="8"/>
    <n v="2.46"/>
    <n v="13231"/>
  </r>
  <r>
    <s v="The Revenant"/>
    <n v="2015"/>
    <x v="0"/>
    <n v="156"/>
    <n v="8"/>
    <x v="8"/>
    <n v="183.64"/>
    <n v="850374"/>
  </r>
  <r>
    <s v="Knight Of Cups"/>
    <n v="2015"/>
    <x v="0"/>
    <n v="118"/>
    <n v="5.6"/>
    <x v="8"/>
    <n v="0.56000000000000005"/>
    <n v="28821"/>
  </r>
  <r>
    <s v="Klovn Forever"/>
    <n v="2015"/>
    <x v="0"/>
    <n v="99"/>
    <n v="6.2"/>
    <x v="8"/>
    <n v="2.46"/>
    <n v="5070"/>
  </r>
  <r>
    <s v="Anomalisa"/>
    <n v="2015"/>
    <x v="0"/>
    <n v="90"/>
    <n v="7.3"/>
    <x v="8"/>
    <n v="3.76"/>
    <n v="74434"/>
  </r>
  <r>
    <s v="Dheepan"/>
    <n v="2015"/>
    <x v="0"/>
    <n v="115"/>
    <n v="7.2"/>
    <x v="8"/>
    <n v="0.25"/>
    <n v="16603"/>
  </r>
  <r>
    <s v="Macbeth"/>
    <n v="2015"/>
    <x v="1"/>
    <n v="113"/>
    <n v="6.6"/>
    <x v="8"/>
    <n v="1.1100000000000001"/>
    <n v="58863"/>
  </r>
  <r>
    <s v="The Dressmaker"/>
    <n v="2015"/>
    <x v="1"/>
    <n v="119"/>
    <n v="7"/>
    <x v="8"/>
    <n v="2.02"/>
    <n v="64257"/>
  </r>
  <r>
    <s v="Remember"/>
    <n v="2015"/>
    <x v="0"/>
    <n v="94"/>
    <n v="7.5"/>
    <x v="8"/>
    <n v="0.64"/>
    <n v="27235"/>
  </r>
  <r>
    <s v="Fathers &amp; Daughters"/>
    <n v="2015"/>
    <x v="1"/>
    <n v="116"/>
    <n v="7"/>
    <x v="8"/>
    <n v="2.46"/>
    <n v="28177"/>
  </r>
  <r>
    <s v="Listen To Me Marlon"/>
    <n v="2015"/>
    <x v="0"/>
    <n v="103"/>
    <n v="8.1"/>
    <x v="8"/>
    <n v="0.43"/>
    <n v="7839"/>
  </r>
  <r>
    <s v="A Ballerina'S Tale"/>
    <n v="2015"/>
    <x v="0"/>
    <n v="85"/>
    <n v="6.4"/>
    <x v="8"/>
    <n v="0.1"/>
    <n v="706"/>
  </r>
  <r>
    <s v="What Happened, Miss Simone?"/>
    <n v="2015"/>
    <x v="0"/>
    <n v="101"/>
    <n v="7.6"/>
    <x v="8"/>
    <n v="2.46"/>
    <n v="14610"/>
  </r>
  <r>
    <s v="A War"/>
    <n v="2015"/>
    <x v="1"/>
    <n v="115"/>
    <n v="7"/>
    <x v="8"/>
    <n v="0.12"/>
    <n v="11046"/>
  </r>
  <r>
    <s v="Victor Frankenstein"/>
    <n v="2015"/>
    <x v="0"/>
    <n v="110"/>
    <n v="5.9"/>
    <x v="8"/>
    <n v="5.78"/>
    <n v="59278"/>
  </r>
  <r>
    <s v="The Club"/>
    <n v="2015"/>
    <x v="2"/>
    <n v="98"/>
    <n v="7.2"/>
    <x v="8"/>
    <n v="0.03"/>
    <n v="11756"/>
  </r>
  <r>
    <s v="Christmas With The Coopers"/>
    <n v="2015"/>
    <x v="0"/>
    <n v="107"/>
    <n v="5.8"/>
    <x v="8"/>
    <n v="26.28"/>
    <n v="25731"/>
  </r>
  <r>
    <s v="The Wakhan Front"/>
    <n v="2015"/>
    <x v="0"/>
    <n v="100"/>
    <n v="6.3"/>
    <x v="8"/>
    <n v="0.01"/>
    <n v="1176"/>
  </r>
  <r>
    <s v="Pan"/>
    <n v="2015"/>
    <x v="0"/>
    <n v="111"/>
    <n v="5.7"/>
    <x v="8"/>
    <n v="35.090000000000003"/>
    <n v="66558"/>
  </r>
  <r>
    <s v="The Hunger Games: Mockingjay - Part 2"/>
    <n v="2015"/>
    <x v="1"/>
    <n v="137"/>
    <n v="6.5"/>
    <x v="8"/>
    <n v="281.72000000000003"/>
    <n v="354403"/>
  </r>
  <r>
    <s v="Winter On Fire: Ukraine'S Fight For Freedom"/>
    <n v="2015"/>
    <x v="0"/>
    <n v="102"/>
    <n v="8.3000000000000007"/>
    <x v="8"/>
    <n v="2.46"/>
    <n v="20217"/>
  </r>
  <r>
    <s v="The Hunting Ground"/>
    <n v="2015"/>
    <x v="0"/>
    <n v="103"/>
    <n v="7.4"/>
    <x v="8"/>
    <n v="0.41"/>
    <n v="6444"/>
  </r>
  <r>
    <s v="Tumbledown"/>
    <n v="2015"/>
    <x v="0"/>
    <n v="105"/>
    <n v="6.2"/>
    <x v="8"/>
    <n v="0.14000000000000001"/>
    <n v="7884"/>
  </r>
  <r>
    <s v="Cartel Land"/>
    <n v="2015"/>
    <x v="0"/>
    <n v="100"/>
    <n v="7.3"/>
    <x v="8"/>
    <n v="0.7"/>
    <n v="18735"/>
  </r>
  <r>
    <s v="The Brand New Testament"/>
    <n v="2015"/>
    <x v="1"/>
    <n v="114"/>
    <n v="7.1"/>
    <x v="8"/>
    <n v="0.09"/>
    <n v="34298"/>
  </r>
  <r>
    <s v="The Wave"/>
    <n v="2015"/>
    <x v="0"/>
    <n v="105"/>
    <n v="6.6"/>
    <x v="8"/>
    <n v="0.18"/>
    <n v="41631"/>
  </r>
  <r>
    <s v="Forsaken"/>
    <n v="2015"/>
    <x v="1"/>
    <n v="90"/>
    <n v="6.4"/>
    <x v="8"/>
    <n v="2.46"/>
    <n v="13472"/>
  </r>
  <r>
    <s v="Right Now, Wrong Then"/>
    <n v="2015"/>
    <x v="0"/>
    <n v="121"/>
    <n v="7.1"/>
    <x v="8"/>
    <n v="2.46"/>
    <n v="4805"/>
  </r>
  <r>
    <s v="The Fencer"/>
    <n v="2015"/>
    <x v="0"/>
    <n v="99"/>
    <n v="7.1"/>
    <x v="8"/>
    <n v="0.1"/>
    <n v="5180"/>
  </r>
  <r>
    <s v="Marguerite"/>
    <n v="2015"/>
    <x v="0"/>
    <n v="129"/>
    <n v="6.9"/>
    <x v="8"/>
    <n v="0.51"/>
    <n v="5615"/>
  </r>
  <r>
    <s v="L'Attesa"/>
    <n v="2015"/>
    <x v="0"/>
    <n v="100"/>
    <n v="6.5"/>
    <x v="8"/>
    <n v="0.05"/>
    <n v="2536"/>
  </r>
  <r>
    <s v="Point Break"/>
    <n v="2015"/>
    <x v="0"/>
    <n v="114"/>
    <n v="5.3"/>
    <x v="8"/>
    <n v="28.78"/>
    <n v="65390"/>
  </r>
  <r>
    <s v="Eisenstein In Guanajuato"/>
    <n v="2015"/>
    <x v="0"/>
    <n v="105"/>
    <n v="6.3"/>
    <x v="8"/>
    <n v="0.03"/>
    <n v="3059"/>
  </r>
  <r>
    <s v="The Preppie Connection"/>
    <n v="2015"/>
    <x v="0"/>
    <n v="95"/>
    <n v="6.1"/>
    <x v="8"/>
    <n v="2.46"/>
    <n v="3853"/>
  </r>
  <r>
    <s v="Jane Got A Gun"/>
    <n v="2015"/>
    <x v="0"/>
    <n v="98"/>
    <n v="5.9"/>
    <x v="8"/>
    <n v="1.51"/>
    <n v="23381"/>
  </r>
  <r>
    <s v="Rams"/>
    <n v="2015"/>
    <x v="0"/>
    <n v="93"/>
    <n v="7.2"/>
    <x v="8"/>
    <n v="0.14000000000000001"/>
    <n v="14974"/>
  </r>
  <r>
    <s v="Queen Of The Desert"/>
    <n v="2015"/>
    <x v="0"/>
    <n v="128"/>
    <n v="5.7"/>
    <x v="8"/>
    <n v="2.46"/>
    <n v="12292"/>
  </r>
  <r>
    <s v="No Home Movie"/>
    <n v="2015"/>
    <x v="0"/>
    <n v="115"/>
    <n v="6.6"/>
    <x v="8"/>
    <n v="0.02"/>
    <n v="1062"/>
  </r>
  <r>
    <s v="Cemetery Of Splendour"/>
    <n v="2015"/>
    <x v="0"/>
    <n v="122"/>
    <n v="6.8"/>
    <x v="8"/>
    <n v="0.05"/>
    <n v="5287"/>
  </r>
  <r>
    <s v="The Overnight"/>
    <n v="2015"/>
    <x v="0"/>
    <n v="79"/>
    <n v="6.1"/>
    <x v="8"/>
    <n v="1.1000000000000001"/>
    <n v="17439"/>
  </r>
  <r>
    <s v="Sweet Bean"/>
    <n v="2015"/>
    <x v="0"/>
    <n v="113"/>
    <n v="7.4"/>
    <x v="8"/>
    <n v="0.12"/>
    <n v="12399"/>
  </r>
  <r>
    <s v="Everything Is Copy"/>
    <n v="2015"/>
    <x v="0"/>
    <n v="89"/>
    <n v="7.4"/>
    <x v="8"/>
    <n v="2.46"/>
    <n v="1108"/>
  </r>
  <r>
    <s v="Kill Your Friends"/>
    <n v="2015"/>
    <x v="0"/>
    <n v="103"/>
    <n v="6"/>
    <x v="8"/>
    <n v="2.46"/>
    <n v="9940"/>
  </r>
  <r>
    <s v="The Invitation"/>
    <n v="2015"/>
    <x v="0"/>
    <n v="100"/>
    <n v="6.6"/>
    <x v="8"/>
    <n v="0.23"/>
    <n v="116955"/>
  </r>
  <r>
    <s v="Truman"/>
    <n v="2015"/>
    <x v="0"/>
    <n v="108"/>
    <n v="7.3"/>
    <x v="8"/>
    <n v="0.21"/>
    <n v="13718"/>
  </r>
  <r>
    <s v="Louder Than Bombs"/>
    <n v="2015"/>
    <x v="0"/>
    <n v="109"/>
    <n v="6.6"/>
    <x v="8"/>
    <n v="0.16"/>
    <n v="14010"/>
  </r>
  <r>
    <s v="The Forbidden Room"/>
    <n v="2015"/>
    <x v="0"/>
    <n v="130"/>
    <n v="6.1"/>
    <x v="8"/>
    <n v="0.03"/>
    <n v="3370"/>
  </r>
  <r>
    <s v="Our Little Sister"/>
    <n v="2015"/>
    <x v="0"/>
    <n v="127"/>
    <n v="7.5"/>
    <x v="8"/>
    <n v="0.46"/>
    <n v="16399"/>
  </r>
  <r>
    <s v="Sky"/>
    <n v="2015"/>
    <x v="0"/>
    <n v="100"/>
    <n v="5.8"/>
    <x v="8"/>
    <n v="2.46"/>
    <n v="2390"/>
  </r>
  <r>
    <s v="One More Time"/>
    <n v="2015"/>
    <x v="1"/>
    <n v="98"/>
    <n v="5.0999999999999996"/>
    <x v="8"/>
    <n v="2.46"/>
    <n v="3442"/>
  </r>
  <r>
    <s v="Land Of Mine"/>
    <n v="2015"/>
    <x v="0"/>
    <n v="100"/>
    <n v="7.8"/>
    <x v="8"/>
    <n v="0.44"/>
    <n v="44568"/>
  </r>
  <r>
    <s v="The Second Mother"/>
    <n v="2015"/>
    <x v="0"/>
    <n v="112"/>
    <n v="7.7"/>
    <x v="8"/>
    <n v="0.38"/>
    <n v="16290"/>
  </r>
  <r>
    <s v="He Never Died"/>
    <n v="2015"/>
    <x v="2"/>
    <n v="99"/>
    <n v="6.3"/>
    <x v="8"/>
    <n v="2.46"/>
    <n v="21925"/>
  </r>
  <r>
    <s v="Mon Roi"/>
    <n v="2015"/>
    <x v="1"/>
    <n v="124"/>
    <n v="7.1"/>
    <x v="8"/>
    <n v="0.05"/>
    <n v="13896"/>
  </r>
  <r>
    <s v="Courted"/>
    <n v="2015"/>
    <x v="0"/>
    <n v="98"/>
    <n v="6.6"/>
    <x v="8"/>
    <n v="2.46"/>
    <n v="2375"/>
  </r>
  <r>
    <s v="The Treasure"/>
    <n v="2015"/>
    <x v="0"/>
    <n v="89"/>
    <n v="6.7"/>
    <x v="8"/>
    <n v="0.03"/>
    <n v="3174"/>
  </r>
  <r>
    <s v="Hardcore Henry"/>
    <n v="2015"/>
    <x v="0"/>
    <n v="96"/>
    <n v="6.7"/>
    <x v="8"/>
    <n v="9.25"/>
    <n v="100288"/>
  </r>
  <r>
    <s v="High-Rise"/>
    <n v="2015"/>
    <x v="0"/>
    <n v="119"/>
    <n v="5.5"/>
    <x v="8"/>
    <n v="0.34"/>
    <n v="44562"/>
  </r>
  <r>
    <s v="True Deception"/>
    <n v="2015"/>
    <x v="1"/>
    <n v="87"/>
    <n v="5.2"/>
    <x v="8"/>
    <n v="0.01"/>
    <n v="5984"/>
  </r>
  <r>
    <s v="Creative Control"/>
    <n v="2015"/>
    <x v="0"/>
    <n v="97"/>
    <n v="5.4"/>
    <x v="8"/>
    <n v="0.06"/>
    <n v="2264"/>
  </r>
  <r>
    <s v="My Golden Days"/>
    <n v="2015"/>
    <x v="0"/>
    <n v="123"/>
    <n v="6.7"/>
    <x v="8"/>
    <n v="0.27"/>
    <n v="3754"/>
  </r>
  <r>
    <s v="Eddie The Eagle"/>
    <n v="2015"/>
    <x v="0"/>
    <n v="106"/>
    <n v="7.3"/>
    <x v="8"/>
    <n v="15.79"/>
    <n v="98526"/>
  </r>
  <r>
    <s v="February"/>
    <n v="2015"/>
    <x v="0"/>
    <n v="93"/>
    <n v="5.9"/>
    <x v="8"/>
    <n v="0.02"/>
    <n v="24983"/>
  </r>
  <r>
    <s v="Miles Ahead"/>
    <n v="2015"/>
    <x v="0"/>
    <n v="100"/>
    <n v="6.4"/>
    <x v="8"/>
    <n v="2.61"/>
    <n v="10432"/>
  </r>
  <r>
    <s v="The Family Fang"/>
    <n v="2015"/>
    <x v="0"/>
    <n v="105"/>
    <n v="6.1"/>
    <x v="8"/>
    <n v="0.24"/>
    <n v="9797"/>
  </r>
  <r>
    <s v="Born To Be Blue"/>
    <n v="2015"/>
    <x v="0"/>
    <n v="97"/>
    <n v="6.8"/>
    <x v="8"/>
    <n v="0.83"/>
    <n v="9141"/>
  </r>
  <r>
    <s v="Best Of Enemies"/>
    <n v="2015"/>
    <x v="0"/>
    <n v="87"/>
    <n v="7.6"/>
    <x v="8"/>
    <n v="0.89"/>
    <n v="6451"/>
  </r>
  <r>
    <s v="Mr. Right"/>
    <n v="2015"/>
    <x v="0"/>
    <n v="95"/>
    <n v="6.3"/>
    <x v="8"/>
    <n v="0.03"/>
    <n v="59448"/>
  </r>
  <r>
    <s v="The Lady In The Van"/>
    <n v="2015"/>
    <x v="1"/>
    <n v="104"/>
    <n v="6.7"/>
    <x v="8"/>
    <n v="10.02"/>
    <n v="31259"/>
  </r>
  <r>
    <s v="A Bigger Splash"/>
    <n v="2015"/>
    <x v="1"/>
    <n v="125"/>
    <n v="6.4"/>
    <x v="8"/>
    <n v="1.98"/>
    <n v="32125"/>
  </r>
  <r>
    <s v="Miss Hokusai"/>
    <n v="2015"/>
    <x v="0"/>
    <n v="93"/>
    <n v="6.7"/>
    <x v="8"/>
    <n v="0.22"/>
    <n v="3435"/>
  </r>
  <r>
    <s v="The Little Prince"/>
    <n v="2015"/>
    <x v="1"/>
    <n v="108"/>
    <n v="7.7"/>
    <x v="8"/>
    <n v="1.34"/>
    <n v="65409"/>
  </r>
  <r>
    <s v="The Good Dinosaur"/>
    <n v="2015"/>
    <x v="0"/>
    <n v="93"/>
    <n v="6.7"/>
    <x v="8"/>
    <n v="123.09"/>
    <n v="124306"/>
  </r>
  <r>
    <s v="The Man Who Knew Infinity"/>
    <n v="2015"/>
    <x v="0"/>
    <n v="108"/>
    <n v="7.2"/>
    <x v="8"/>
    <n v="3.87"/>
    <n v="60797"/>
  </r>
  <r>
    <s v="Eye In The Sky"/>
    <n v="2015"/>
    <x v="2"/>
    <n v="102"/>
    <n v="7.3"/>
    <x v="8"/>
    <n v="18.7"/>
    <n v="90214"/>
  </r>
  <r>
    <s v="The Colony"/>
    <n v="2015"/>
    <x v="0"/>
    <n v="110"/>
    <n v="7"/>
    <x v="8"/>
    <n v="2.46"/>
    <n v="56367"/>
  </r>
  <r>
    <s v="Equals"/>
    <n v="2015"/>
    <x v="0"/>
    <n v="101"/>
    <n v="6"/>
    <x v="8"/>
    <n v="0.03"/>
    <n v="32316"/>
  </r>
  <r>
    <s v="Demolition"/>
    <n v="2015"/>
    <x v="0"/>
    <n v="101"/>
    <n v="7"/>
    <x v="8"/>
    <n v="1.98"/>
    <n v="107663"/>
  </r>
  <r>
    <s v="Anesthesia"/>
    <n v="2015"/>
    <x v="0"/>
    <n v="90"/>
    <n v="6.1"/>
    <x v="8"/>
    <n v="0.02"/>
    <n v="4958"/>
  </r>
  <r>
    <s v="Accidental Love"/>
    <n v="2015"/>
    <x v="0"/>
    <n v="100"/>
    <n v="4.0999999999999996"/>
    <x v="8"/>
    <n v="2.46"/>
    <n v="8954"/>
  </r>
  <r>
    <s v="Five Nights In Maine"/>
    <n v="2015"/>
    <x v="0"/>
    <n v="82"/>
    <n v="4.9000000000000004"/>
    <x v="8"/>
    <n v="0.02"/>
    <n v="916"/>
  </r>
  <r>
    <s v="American Ultra"/>
    <n v="2015"/>
    <x v="0"/>
    <n v="96"/>
    <n v="6.1"/>
    <x v="8"/>
    <n v="14.43"/>
    <n v="94850"/>
  </r>
  <r>
    <s v="Septembers Of Shiraz"/>
    <n v="2015"/>
    <x v="0"/>
    <n v="110"/>
    <n v="6.2"/>
    <x v="8"/>
    <n v="2.46"/>
    <n v="5705"/>
  </r>
  <r>
    <s v="Green Room"/>
    <n v="2015"/>
    <x v="2"/>
    <n v="95"/>
    <n v="7"/>
    <x v="8"/>
    <n v="3.22"/>
    <n v="135921"/>
  </r>
  <r>
    <s v="Hello, My Name Is Doris"/>
    <n v="2015"/>
    <x v="0"/>
    <n v="90"/>
    <n v="6.6"/>
    <x v="8"/>
    <n v="14.44"/>
    <n v="22306"/>
  </r>
  <r>
    <s v="Ingrid Bergman: In Her Own Words"/>
    <n v="2015"/>
    <x v="0"/>
    <n v="114"/>
    <n v="7.4"/>
    <x v="8"/>
    <n v="0.14000000000000001"/>
    <n v="2448"/>
  </r>
  <r>
    <s v="The Ones Below"/>
    <n v="2015"/>
    <x v="0"/>
    <n v="87"/>
    <n v="6.1"/>
    <x v="8"/>
    <n v="0.01"/>
    <n v="10942"/>
  </r>
  <r>
    <s v="Last Days In The Desert"/>
    <n v="2015"/>
    <x v="0"/>
    <n v="98"/>
    <n v="5.6"/>
    <x v="8"/>
    <n v="2.46"/>
    <n v="4379"/>
  </r>
  <r>
    <s v="Into The Forest"/>
    <n v="2015"/>
    <x v="0"/>
    <n v="101"/>
    <n v="5.8"/>
    <x v="8"/>
    <n v="0.01"/>
    <n v="21871"/>
  </r>
  <r>
    <s v="The Witch"/>
    <n v="2015"/>
    <x v="0"/>
    <n v="92"/>
    <n v="7"/>
    <x v="8"/>
    <n v="25.14"/>
    <n v="289517"/>
  </r>
  <r>
    <s v="The Sea Of Trees"/>
    <n v="2015"/>
    <x v="0"/>
    <n v="110"/>
    <n v="6.1"/>
    <x v="8"/>
    <n v="0.02"/>
    <n v="17347"/>
  </r>
  <r>
    <s v="The Meddler"/>
    <n v="2015"/>
    <x v="2"/>
    <n v="103"/>
    <n v="6.3"/>
    <x v="8"/>
    <n v="4.2699999999999996"/>
    <n v="13722"/>
  </r>
  <r>
    <s v="Ithaca"/>
    <n v="2015"/>
    <x v="0"/>
    <n v="96"/>
    <n v="5.5"/>
    <x v="8"/>
    <n v="2.46"/>
    <n v="3068"/>
  </r>
  <r>
    <s v="The Childhood Of A Leader"/>
    <n v="2015"/>
    <x v="0"/>
    <n v="115"/>
    <n v="6.1"/>
    <x v="8"/>
    <n v="2.46"/>
    <n v="6376"/>
  </r>
  <r>
    <s v="Bare"/>
    <n v="2015"/>
    <x v="0"/>
    <n v="90"/>
    <n v="5.0999999999999996"/>
    <x v="8"/>
    <n v="2.46"/>
    <n v="2488"/>
  </r>
  <r>
    <s v="De Palma"/>
    <n v="2015"/>
    <x v="0"/>
    <n v="110"/>
    <n v="7.4"/>
    <x v="8"/>
    <n v="0.16"/>
    <n v="6064"/>
  </r>
  <r>
    <s v="Being Charlie"/>
    <n v="2015"/>
    <x v="1"/>
    <n v="97"/>
    <n v="6.2"/>
    <x v="8"/>
    <n v="0.01"/>
    <n v="4732"/>
  </r>
  <r>
    <s v="Bolshoi Babylon"/>
    <n v="2015"/>
    <x v="0"/>
    <n v="86"/>
    <n v="6.3"/>
    <x v="8"/>
    <n v="2.46"/>
    <n v="442"/>
  </r>
  <r>
    <s v="Zoom"/>
    <n v="2015"/>
    <x v="1"/>
    <n v="96"/>
    <n v="6.1"/>
    <x v="8"/>
    <n v="2.46"/>
    <n v="2972"/>
  </r>
  <r>
    <s v="Neon Bull"/>
    <n v="2015"/>
    <x v="0"/>
    <n v="101"/>
    <n v="6.8"/>
    <x v="8"/>
    <n v="0.03"/>
    <n v="3418"/>
  </r>
  <r>
    <s v="Home"/>
    <n v="2015"/>
    <x v="0"/>
    <n v="94"/>
    <n v="6.5"/>
    <x v="8"/>
    <n v="177.4"/>
    <n v="109421"/>
  </r>
  <r>
    <s v="Synchronicity"/>
    <n v="2015"/>
    <x v="1"/>
    <n v="101"/>
    <n v="5.4"/>
    <x v="8"/>
    <n v="0"/>
    <n v="11210"/>
  </r>
  <r>
    <s v="Tab Hunter Confidential"/>
    <n v="2015"/>
    <x v="0"/>
    <n v="90"/>
    <n v="7.6"/>
    <x v="8"/>
    <n v="2.46"/>
    <n v="3510"/>
  </r>
  <r>
    <s v="Sworn Virgin"/>
    <n v="2015"/>
    <x v="2"/>
    <n v="84"/>
    <n v="6.4"/>
    <x v="8"/>
    <n v="0"/>
    <n v="1223"/>
  </r>
  <r>
    <s v="Son Of Saul"/>
    <n v="2015"/>
    <x v="2"/>
    <n v="107"/>
    <n v="7.4"/>
    <x v="8"/>
    <n v="1.78"/>
    <n v="50927"/>
  </r>
  <r>
    <s v="I Saw The Light"/>
    <n v="2015"/>
    <x v="0"/>
    <n v="123"/>
    <n v="5.8"/>
    <x v="8"/>
    <n v="1.65"/>
    <n v="8059"/>
  </r>
  <r>
    <s v="Advantageous"/>
    <n v="2015"/>
    <x v="0"/>
    <n v="90"/>
    <n v="6.1"/>
    <x v="8"/>
    <n v="2.46"/>
    <n v="5868"/>
  </r>
  <r>
    <s v="A Monster With A Thousand Heads"/>
    <n v="2015"/>
    <x v="0"/>
    <n v="74"/>
    <n v="6.5"/>
    <x v="8"/>
    <n v="0.02"/>
    <n v="1156"/>
  </r>
  <r>
    <s v="Too Late"/>
    <n v="2015"/>
    <x v="0"/>
    <n v="107"/>
    <n v="6.6"/>
    <x v="8"/>
    <n v="0.06"/>
    <n v="3844"/>
  </r>
  <r>
    <s v="Front Cover"/>
    <n v="2015"/>
    <x v="0"/>
    <n v="87"/>
    <n v="6.5"/>
    <x v="8"/>
    <n v="0.03"/>
    <n v="1385"/>
  </r>
  <r>
    <s v="The Great Gilly Hopkins"/>
    <n v="2015"/>
    <x v="0"/>
    <n v="99"/>
    <n v="6.5"/>
    <x v="8"/>
    <n v="2.46"/>
    <n v="5222"/>
  </r>
  <r>
    <s v="Henry Gamble'S Birthday Party"/>
    <n v="2015"/>
    <x v="0"/>
    <n v="87"/>
    <n v="6.1"/>
    <x v="8"/>
    <n v="2.46"/>
    <n v="3318"/>
  </r>
  <r>
    <s v="The People Vs. Fritz Bauer"/>
    <n v="2015"/>
    <x v="0"/>
    <n v="105"/>
    <n v="7.1"/>
    <x v="8"/>
    <n v="0.28000000000000003"/>
    <n v="6042"/>
  </r>
  <r>
    <s v="Aferim!"/>
    <n v="2015"/>
    <x v="0"/>
    <n v="108"/>
    <n v="7.6"/>
    <x v="8"/>
    <n v="0.1"/>
    <n v="7635"/>
  </r>
  <r>
    <s v="Inside Out"/>
    <n v="2015"/>
    <x v="0"/>
    <n v="95"/>
    <n v="8.1"/>
    <x v="8"/>
    <n v="356.46"/>
    <n v="761041"/>
  </r>
  <r>
    <s v="Desierto"/>
    <n v="2015"/>
    <x v="0"/>
    <n v="88"/>
    <n v="6.1"/>
    <x v="8"/>
    <n v="1.83"/>
    <n v="10478"/>
  </r>
  <r>
    <s v="The Automatic Hate"/>
    <n v="2015"/>
    <x v="0"/>
    <n v="97"/>
    <n v="6.3"/>
    <x v="8"/>
    <n v="0"/>
    <n v="1245"/>
  </r>
  <r>
    <s v="My Scientology Movie"/>
    <n v="2015"/>
    <x v="1"/>
    <n v="99"/>
    <n v="6.6"/>
    <x v="8"/>
    <n v="0.02"/>
    <n v="13409"/>
  </r>
  <r>
    <s v="Tanna"/>
    <n v="2015"/>
    <x v="0"/>
    <n v="104"/>
    <n v="6.9"/>
    <x v="8"/>
    <n v="0.01"/>
    <n v="4626"/>
  </r>
  <r>
    <s v="The Ardennes"/>
    <n v="2015"/>
    <x v="0"/>
    <n v="96"/>
    <n v="6.7"/>
    <x v="8"/>
    <n v="0.01"/>
    <n v="5509"/>
  </r>
  <r>
    <s v="A Man Called Ove"/>
    <n v="2015"/>
    <x v="2"/>
    <n v="116"/>
    <n v="7.7"/>
    <x v="8"/>
    <n v="3.48"/>
    <n v="66469"/>
  </r>
  <r>
    <s v="Papa Hemingway In Cuba"/>
    <n v="2015"/>
    <x v="2"/>
    <n v="110"/>
    <n v="6.3"/>
    <x v="8"/>
    <n v="1.1200000000000001"/>
    <n v="1654"/>
  </r>
  <r>
    <s v="3 Generations"/>
    <n v="2015"/>
    <x v="0"/>
    <n v="92"/>
    <n v="6"/>
    <x v="8"/>
    <n v="7.0000000000000007E-2"/>
    <n v="6881"/>
  </r>
  <r>
    <s v="I Am Michael"/>
    <n v="2015"/>
    <x v="0"/>
    <n v="98"/>
    <n v="5.6"/>
    <x v="8"/>
    <n v="2.46"/>
    <n v="5840"/>
  </r>
  <r>
    <s v="Call Me Lucky"/>
    <n v="2015"/>
    <x v="0"/>
    <n v="106"/>
    <n v="7.5"/>
    <x v="8"/>
    <n v="2.46"/>
    <n v="2136"/>
  </r>
  <r>
    <s v="Closet Monster"/>
    <n v="2015"/>
    <x v="1"/>
    <n v="90"/>
    <n v="7"/>
    <x v="8"/>
    <n v="0.04"/>
    <n v="9089"/>
  </r>
  <r>
    <s v="The Transporter Refuelled"/>
    <n v="2015"/>
    <x v="0"/>
    <n v="96"/>
    <n v="5.2"/>
    <x v="8"/>
    <n v="16.03"/>
    <n v="44081"/>
  </r>
  <r>
    <s v="By The Sea"/>
    <n v="2015"/>
    <x v="1"/>
    <n v="122"/>
    <n v="5.3"/>
    <x v="8"/>
    <n v="0.53"/>
    <n v="22274"/>
  </r>
  <r>
    <s v="Mifune: The Last Samurai"/>
    <n v="2015"/>
    <x v="0"/>
    <n v="80"/>
    <n v="7.2"/>
    <x v="8"/>
    <n v="0.06"/>
    <n v="1350"/>
  </r>
  <r>
    <s v="Amnesia"/>
    <n v="2015"/>
    <x v="0"/>
    <n v="96"/>
    <n v="6.1"/>
    <x v="8"/>
    <n v="2.46"/>
    <n v="1196"/>
  </r>
  <r>
    <s v="By Sidney Lumet"/>
    <n v="2015"/>
    <x v="0"/>
    <n v="103"/>
    <n v="7.2"/>
    <x v="8"/>
    <n v="2.46"/>
    <n v="443"/>
  </r>
  <r>
    <s v="6 Years"/>
    <n v="2015"/>
    <x v="0"/>
    <n v="79"/>
    <n v="5.6"/>
    <x v="8"/>
    <n v="2.46"/>
    <n v="13078"/>
  </r>
  <r>
    <s v="Chronic"/>
    <n v="2015"/>
    <x v="0"/>
    <n v="93"/>
    <n v="6.6"/>
    <x v="8"/>
    <n v="0.01"/>
    <n v="3522"/>
  </r>
  <r>
    <s v="Mr. Gaga"/>
    <n v="2015"/>
    <x v="0"/>
    <n v="100"/>
    <n v="7.5"/>
    <x v="8"/>
    <n v="0.17"/>
    <n v="949"/>
  </r>
  <r>
    <s v="Lamb"/>
    <n v="2015"/>
    <x v="0"/>
    <n v="97"/>
    <n v="6.3"/>
    <x v="8"/>
    <n v="0.01"/>
    <n v="2283"/>
  </r>
  <r>
    <s v="Honeyglue"/>
    <n v="2015"/>
    <x v="0"/>
    <n v="107"/>
    <n v="6"/>
    <x v="8"/>
    <n v="2.46"/>
    <n v="621"/>
  </r>
  <r>
    <s v="Sun Choke"/>
    <n v="2015"/>
    <x v="0"/>
    <n v="83"/>
    <n v="5.5"/>
    <x v="8"/>
    <n v="2.46"/>
    <n v="1290"/>
  </r>
  <r>
    <s v="Girls Lost"/>
    <n v="2015"/>
    <x v="0"/>
    <n v="106"/>
    <n v="6.1"/>
    <x v="8"/>
    <n v="2.46"/>
    <n v="1297"/>
  </r>
  <r>
    <s v="Janis: Little Girl Blue"/>
    <n v="2015"/>
    <x v="0"/>
    <n v="103"/>
    <n v="7.4"/>
    <x v="8"/>
    <n v="0.41"/>
    <n v="5587"/>
  </r>
  <r>
    <s v="The Forest"/>
    <n v="2016"/>
    <x v="0"/>
    <n v="93"/>
    <n v="4.8"/>
    <x v="8"/>
    <n v="26.58"/>
    <n v="45180"/>
  </r>
  <r>
    <s v="Becoming Mike Nichols"/>
    <n v="2016"/>
    <x v="0"/>
    <n v="72"/>
    <n v="7.1"/>
    <x v="8"/>
    <n v="2.46"/>
    <n v="613"/>
  </r>
  <r>
    <s v="Exposed"/>
    <n v="2016"/>
    <x v="0"/>
    <n v="102"/>
    <n v="4.3"/>
    <x v="8"/>
    <n v="2.46"/>
    <n v="16500"/>
  </r>
  <r>
    <s v="Misconduct"/>
    <n v="2016"/>
    <x v="1"/>
    <n v="106"/>
    <n v="5.3"/>
    <x v="8"/>
    <n v="2.46"/>
    <n v="17460"/>
  </r>
  <r>
    <s v="The 5Th Wave"/>
    <n v="2016"/>
    <x v="0"/>
    <n v="112"/>
    <n v="5.2"/>
    <x v="8"/>
    <n v="34.92"/>
    <n v="115262"/>
  </r>
  <r>
    <s v="Deadpool"/>
    <n v="2016"/>
    <x v="0"/>
    <n v="108"/>
    <n v="8"/>
    <x v="8"/>
    <n v="363.07"/>
    <n v="1095532"/>
  </r>
  <r>
    <s v="Pride And Prejudice And Zombies"/>
    <n v="2016"/>
    <x v="1"/>
    <n v="108"/>
    <n v="5.8"/>
    <x v="8"/>
    <n v="10.91"/>
    <n v="59350"/>
  </r>
  <r>
    <s v="Pandemic"/>
    <n v="2016"/>
    <x v="0"/>
    <n v="91"/>
    <n v="4.4000000000000004"/>
    <x v="8"/>
    <n v="2.46"/>
    <n v="8402"/>
  </r>
  <r>
    <s v="Hail, Caesar!"/>
    <n v="2016"/>
    <x v="0"/>
    <n v="106"/>
    <n v="6.3"/>
    <x v="8"/>
    <n v="30.5"/>
    <n v="141016"/>
  </r>
  <r>
    <s v="The Confirmation"/>
    <n v="2016"/>
    <x v="0"/>
    <n v="101"/>
    <n v="6.4"/>
    <x v="8"/>
    <n v="2.46"/>
    <n v="7154"/>
  </r>
  <r>
    <s v="London Has Fallen"/>
    <n v="2016"/>
    <x v="0"/>
    <n v="99"/>
    <n v="5.9"/>
    <x v="8"/>
    <n v="62.68"/>
    <n v="166668"/>
  </r>
  <r>
    <s v="Nina"/>
    <n v="2016"/>
    <x v="0"/>
    <n v="90"/>
    <n v="5.4"/>
    <x v="8"/>
    <n v="2.46"/>
    <n v="3001"/>
  </r>
  <r>
    <s v="Precious Cargo"/>
    <n v="2016"/>
    <x v="0"/>
    <n v="90"/>
    <n v="4.5999999999999996"/>
    <x v="8"/>
    <n v="2.46"/>
    <n v="9821"/>
  </r>
  <r>
    <s v="The Finest Hours"/>
    <n v="2016"/>
    <x v="0"/>
    <n v="117"/>
    <n v="6.7"/>
    <x v="8"/>
    <n v="27.57"/>
    <n v="69714"/>
  </r>
  <r>
    <s v="The Choice"/>
    <n v="2016"/>
    <x v="0"/>
    <n v="111"/>
    <n v="6.5"/>
    <x v="8"/>
    <n v="18.71"/>
    <n v="44638"/>
  </r>
  <r>
    <s v="Risen"/>
    <n v="2016"/>
    <x v="0"/>
    <n v="107"/>
    <n v="6.3"/>
    <x v="8"/>
    <n v="36.869999999999997"/>
    <n v="30022"/>
  </r>
  <r>
    <s v="The Trust"/>
    <n v="2016"/>
    <x v="0"/>
    <n v="92"/>
    <n v="5.4"/>
    <x v="8"/>
    <n v="2.46"/>
    <n v="20341"/>
  </r>
  <r>
    <s v="Triple 9"/>
    <n v="2016"/>
    <x v="2"/>
    <n v="115"/>
    <n v="6.3"/>
    <x v="8"/>
    <n v="12.63"/>
    <n v="75439"/>
  </r>
  <r>
    <s v="Crazy About Tiffany'S"/>
    <n v="2016"/>
    <x v="1"/>
    <n v="86"/>
    <n v="5.7"/>
    <x v="8"/>
    <n v="2.46"/>
    <n v="306"/>
  </r>
  <r>
    <s v="Cell"/>
    <n v="2016"/>
    <x v="0"/>
    <n v="98"/>
    <n v="4.4000000000000004"/>
    <x v="8"/>
    <n v="2.46"/>
    <n v="29873"/>
  </r>
  <r>
    <s v="Race"/>
    <n v="2016"/>
    <x v="0"/>
    <n v="134"/>
    <n v="7.1"/>
    <x v="8"/>
    <n v="19.100000000000001"/>
    <n v="40110"/>
  </r>
  <r>
    <s v="10 Cloverfield Lane"/>
    <n v="2016"/>
    <x v="0"/>
    <n v="103"/>
    <n v="7.2"/>
    <x v="8"/>
    <n v="72.08"/>
    <n v="347206"/>
  </r>
  <r>
    <s v="Dirty Grandpa"/>
    <n v="2016"/>
    <x v="0"/>
    <n v="102"/>
    <n v="5.9"/>
    <x v="8"/>
    <n v="35.590000000000003"/>
    <n v="130805"/>
  </r>
  <r>
    <s v="Midnight Special"/>
    <n v="2016"/>
    <x v="0"/>
    <n v="112"/>
    <n v="6.6"/>
    <x v="8"/>
    <n v="3.71"/>
    <n v="83250"/>
  </r>
  <r>
    <s v="Allegiant"/>
    <n v="2016"/>
    <x v="0"/>
    <n v="120"/>
    <n v="5.7"/>
    <x v="8"/>
    <n v="66.180000000000007"/>
    <n v="130517"/>
  </r>
  <r>
    <s v="Criminal"/>
    <n v="2016"/>
    <x v="0"/>
    <n v="113"/>
    <n v="6.3"/>
    <x v="8"/>
    <n v="14.27"/>
    <n v="69277"/>
  </r>
  <r>
    <s v="Gods Of Egypt"/>
    <n v="2016"/>
    <x v="0"/>
    <n v="127"/>
    <n v="5.4"/>
    <x v="8"/>
    <n v="31.15"/>
    <n v="123381"/>
  </r>
  <r>
    <s v="Elvis &amp; Nixon"/>
    <n v="2016"/>
    <x v="1"/>
    <n v="86"/>
    <n v="6.4"/>
    <x v="8"/>
    <n v="1.03"/>
    <n v="14881"/>
  </r>
  <r>
    <s v="Money Monster"/>
    <n v="2016"/>
    <x v="0"/>
    <n v="98"/>
    <n v="6.5"/>
    <x v="8"/>
    <n v="41.01"/>
    <n v="103390"/>
  </r>
  <r>
    <s v="Me Before You"/>
    <n v="2016"/>
    <x v="0"/>
    <n v="110"/>
    <n v="7.4"/>
    <x v="8"/>
    <n v="56.25"/>
    <n v="277084"/>
  </r>
  <r>
    <s v="The Purge: Election Year"/>
    <n v="2016"/>
    <x v="0"/>
    <n v="108"/>
    <n v="6"/>
    <x v="8"/>
    <n v="79.209999999999994"/>
    <n v="107836"/>
  </r>
  <r>
    <s v="X-Men: Apocalypse"/>
    <n v="2016"/>
    <x v="0"/>
    <n v="144"/>
    <n v="6.9"/>
    <x v="8"/>
    <n v="155.44"/>
    <n v="453505"/>
  </r>
  <r>
    <s v="Manhattan Night"/>
    <n v="2016"/>
    <x v="0"/>
    <n v="113"/>
    <n v="6.2"/>
    <x v="8"/>
    <n v="2.46"/>
    <n v="13583"/>
  </r>
  <r>
    <s v="Tallulah"/>
    <n v="2016"/>
    <x v="0"/>
    <n v="111"/>
    <n v="6.7"/>
    <x v="8"/>
    <n v="2.46"/>
    <n v="21243"/>
  </r>
  <r>
    <s v="Mother'S Day"/>
    <n v="2016"/>
    <x v="0"/>
    <n v="118"/>
    <n v="5.6"/>
    <x v="8"/>
    <n v="32.46"/>
    <n v="39115"/>
  </r>
  <r>
    <s v="Mothers And Daughters"/>
    <n v="2016"/>
    <x v="0"/>
    <n v="90"/>
    <n v="4.9000000000000004"/>
    <x v="8"/>
    <n v="2.46"/>
    <n v="3260"/>
  </r>
  <r>
    <s v="Whiskey Tango Foxtrot"/>
    <n v="2016"/>
    <x v="0"/>
    <n v="112"/>
    <n v="6.6"/>
    <x v="8"/>
    <n v="23.05"/>
    <n v="54825"/>
  </r>
  <r>
    <s v="The Duel"/>
    <n v="2016"/>
    <x v="0"/>
    <n v="110"/>
    <n v="5.8"/>
    <x v="8"/>
    <n v="0.06"/>
    <n v="11637"/>
  </r>
  <r>
    <s v="Independence Day: Resurgence"/>
    <n v="2016"/>
    <x v="0"/>
    <n v="120"/>
    <n v="5.2"/>
    <x v="8"/>
    <n v="103.14"/>
    <n v="186340"/>
  </r>
  <r>
    <s v="Rage"/>
    <n v="2016"/>
    <x v="0"/>
    <n v="88"/>
    <n v="5.2"/>
    <x v="8"/>
    <n v="2.46"/>
    <n v="2351"/>
  </r>
  <r>
    <s v="Belgica"/>
    <n v="2016"/>
    <x v="1"/>
    <n v="127"/>
    <n v="6.7"/>
    <x v="8"/>
    <n v="2.46"/>
    <n v="4718"/>
  </r>
  <r>
    <s v="Warcraft: The Beginning"/>
    <n v="2016"/>
    <x v="0"/>
    <n v="123"/>
    <n v="6.7"/>
    <x v="8"/>
    <n v="47.37"/>
    <n v="274518"/>
  </r>
  <r>
    <s v="Batman V Superman: Dawn Of Justice"/>
    <n v="2016"/>
    <x v="2"/>
    <n v="151"/>
    <n v="6.5"/>
    <x v="8"/>
    <n v="330.36"/>
    <n v="742599"/>
  </r>
  <r>
    <s v="The Huntsman: Winter'S War"/>
    <n v="2016"/>
    <x v="0"/>
    <n v="114"/>
    <n v="6.1"/>
    <x v="8"/>
    <n v="48.39"/>
    <n v="117120"/>
  </r>
  <r>
    <s v="Pelã©: Birth Of A Legend"/>
    <n v="2016"/>
    <x v="0"/>
    <n v="107"/>
    <n v="7.1"/>
    <x v="8"/>
    <n v="0.03"/>
    <n v="20519"/>
  </r>
  <r>
    <s v="A Hologram For The King"/>
    <n v="2016"/>
    <x v="0"/>
    <n v="98"/>
    <n v="6.1"/>
    <x v="8"/>
    <n v="4.2"/>
    <n v="46915"/>
  </r>
  <r>
    <s v="The Angry Birds Movie"/>
    <n v="2016"/>
    <x v="0"/>
    <n v="97"/>
    <n v="6.3"/>
    <x v="8"/>
    <n v="107.51"/>
    <n v="100931"/>
  </r>
  <r>
    <s v="Marauders"/>
    <n v="2016"/>
    <x v="0"/>
    <n v="107"/>
    <n v="5.5"/>
    <x v="8"/>
    <n v="2.46"/>
    <n v="23530"/>
  </r>
  <r>
    <s v="Genius"/>
    <n v="2016"/>
    <x v="0"/>
    <n v="104"/>
    <n v="6.5"/>
    <x v="8"/>
    <n v="1.36"/>
    <n v="20898"/>
  </r>
  <r>
    <s v="The American Side"/>
    <n v="2016"/>
    <x v="1"/>
    <n v="90"/>
    <n v="4.9000000000000004"/>
    <x v="8"/>
    <n v="2.46"/>
    <n v="2252"/>
  </r>
  <r>
    <s v="The Whole Truth"/>
    <n v="2016"/>
    <x v="1"/>
    <n v="93"/>
    <n v="6.2"/>
    <x v="8"/>
    <n v="2.46"/>
    <n v="31903"/>
  </r>
  <r>
    <s v="The Fundamentals Of Caring"/>
    <n v="2016"/>
    <x v="0"/>
    <n v="97"/>
    <n v="7.3"/>
    <x v="8"/>
    <n v="2.46"/>
    <n v="77836"/>
  </r>
  <r>
    <s v="Love &amp; Friendship"/>
    <n v="2016"/>
    <x v="0"/>
    <n v="90"/>
    <n v="6.4"/>
    <x v="8"/>
    <n v="14.01"/>
    <n v="26057"/>
  </r>
  <r>
    <s v="The Young Messiah"/>
    <n v="2016"/>
    <x v="0"/>
    <n v="111"/>
    <n v="5.7"/>
    <x v="8"/>
    <n v="6.46"/>
    <n v="3811"/>
  </r>
  <r>
    <s v="Approaching The Unknown"/>
    <n v="2016"/>
    <x v="0"/>
    <n v="90"/>
    <n v="4.9000000000000004"/>
    <x v="8"/>
    <n v="2.46"/>
    <n v="9090"/>
  </r>
  <r>
    <s v="The Nice Guys"/>
    <n v="2016"/>
    <x v="0"/>
    <n v="116"/>
    <n v="7.4"/>
    <x v="8"/>
    <n v="36.26"/>
    <n v="358748"/>
  </r>
  <r>
    <s v="Free State Of Jones"/>
    <n v="2016"/>
    <x v="0"/>
    <n v="139"/>
    <n v="6.9"/>
    <x v="8"/>
    <n v="20.76"/>
    <n v="61072"/>
  </r>
  <r>
    <s v="The Neon Demon"/>
    <n v="2016"/>
    <x v="2"/>
    <n v="117"/>
    <n v="6.1"/>
    <x v="8"/>
    <n v="1.33"/>
    <n v="102035"/>
  </r>
  <r>
    <s v="Our Kind Of Traitor"/>
    <n v="2016"/>
    <x v="2"/>
    <n v="108"/>
    <n v="6.2"/>
    <x v="8"/>
    <n v="3.15"/>
    <n v="23301"/>
  </r>
  <r>
    <s v="Altamira"/>
    <n v="2016"/>
    <x v="2"/>
    <n v="97"/>
    <n v="6"/>
    <x v="8"/>
    <n v="2.46"/>
    <n v="3015"/>
  </r>
  <r>
    <s v="Cardboard Boxer"/>
    <n v="2016"/>
    <x v="0"/>
    <n v="88"/>
    <n v="6.3"/>
    <x v="8"/>
    <n v="2.46"/>
    <n v="2929"/>
  </r>
  <r>
    <s v="Captain America: Civil War"/>
    <n v="2016"/>
    <x v="0"/>
    <n v="147"/>
    <n v="7.8"/>
    <x v="8"/>
    <n v="408.08"/>
    <n v="831755"/>
  </r>
  <r>
    <s v="The Land"/>
    <n v="2016"/>
    <x v="2"/>
    <n v="104"/>
    <n v="6.4"/>
    <x v="8"/>
    <n v="0.02"/>
    <n v="1840"/>
  </r>
  <r>
    <s v="Blood Father"/>
    <n v="2016"/>
    <x v="0"/>
    <n v="88"/>
    <n v="6.4"/>
    <x v="8"/>
    <n v="2.46"/>
    <n v="66928"/>
  </r>
  <r>
    <s v="Kingsglaive: Final Fantasy Xv"/>
    <n v="2016"/>
    <x v="0"/>
    <n v="110"/>
    <n v="6.7"/>
    <x v="8"/>
    <n v="0.23"/>
    <n v="22837"/>
  </r>
  <r>
    <s v="The Intervention"/>
    <n v="2016"/>
    <x v="2"/>
    <n v="90"/>
    <n v="6"/>
    <x v="8"/>
    <n v="0.03"/>
    <n v="6483"/>
  </r>
  <r>
    <s v="Mechanic: Resurrection"/>
    <n v="2016"/>
    <x v="0"/>
    <n v="98"/>
    <n v="5.7"/>
    <x v="8"/>
    <n v="21.22"/>
    <n v="90912"/>
  </r>
  <r>
    <s v="Transpecos"/>
    <n v="2016"/>
    <x v="0"/>
    <n v="86"/>
    <n v="5.8"/>
    <x v="8"/>
    <n v="2.46"/>
    <n v="2913"/>
  </r>
  <r>
    <s v="Train To Busan"/>
    <n v="2016"/>
    <x v="1"/>
    <n v="118"/>
    <n v="7.6"/>
    <x v="8"/>
    <n v="2.13"/>
    <n v="245996"/>
  </r>
  <r>
    <s v="The Shallows"/>
    <n v="2016"/>
    <x v="0"/>
    <n v="86"/>
    <n v="6.3"/>
    <x v="8"/>
    <n v="55.12"/>
    <n v="141258"/>
  </r>
  <r>
    <s v="Other People"/>
    <n v="2016"/>
    <x v="2"/>
    <n v="97"/>
    <n v="6.8"/>
    <x v="8"/>
    <n v="0.09"/>
    <n v="12323"/>
  </r>
  <r>
    <s v="The Legend Of Tarzan"/>
    <n v="2016"/>
    <x v="0"/>
    <n v="110"/>
    <n v="6.2"/>
    <x v="8"/>
    <n v="126.64"/>
    <n v="184314"/>
  </r>
  <r>
    <s v="Jason Bourne"/>
    <n v="2016"/>
    <x v="0"/>
    <n v="123"/>
    <n v="6.6"/>
    <x v="8"/>
    <n v="162.43"/>
    <n v="237960"/>
  </r>
  <r>
    <s v="Hunt For The Wilderpeople"/>
    <n v="2016"/>
    <x v="1"/>
    <n v="101"/>
    <n v="7.8"/>
    <x v="8"/>
    <n v="5.2"/>
    <n v="138308"/>
  </r>
  <r>
    <s v="Florence Foster Jenkins"/>
    <n v="2016"/>
    <x v="0"/>
    <n v="111"/>
    <n v="6.8"/>
    <x v="8"/>
    <n v="27.38"/>
    <n v="58644"/>
  </r>
  <r>
    <s v="Despite The Falling Snow"/>
    <n v="2016"/>
    <x v="0"/>
    <n v="93"/>
    <n v="5.8"/>
    <x v="8"/>
    <n v="2.46"/>
    <n v="3423"/>
  </r>
  <r>
    <s v="The Infiltrator"/>
    <n v="2016"/>
    <x v="0"/>
    <n v="127"/>
    <n v="7"/>
    <x v="8"/>
    <n v="15.43"/>
    <n v="77479"/>
  </r>
  <r>
    <s v="The Free World"/>
    <n v="2016"/>
    <x v="1"/>
    <n v="100"/>
    <n v="6.1"/>
    <x v="8"/>
    <n v="2.46"/>
    <n v="2035"/>
  </r>
  <r>
    <s v="Mr. Church"/>
    <n v="2016"/>
    <x v="0"/>
    <n v="104"/>
    <n v="7.6"/>
    <x v="8"/>
    <n v="0.69"/>
    <n v="30643"/>
  </r>
  <r>
    <s v="Anthropoid"/>
    <n v="2016"/>
    <x v="1"/>
    <n v="120"/>
    <n v="7.2"/>
    <x v="8"/>
    <n v="2.96"/>
    <n v="52631"/>
  </r>
  <r>
    <s v="Goldstone"/>
    <n v="2016"/>
    <x v="0"/>
    <n v="110"/>
    <n v="6.6"/>
    <x v="8"/>
    <n v="0.09"/>
    <n v="6138"/>
  </r>
  <r>
    <s v="I.T."/>
    <n v="2016"/>
    <x v="0"/>
    <n v="95"/>
    <n v="5.5"/>
    <x v="8"/>
    <n v="2.46"/>
    <n v="16709"/>
  </r>
  <r>
    <s v="Complete Unknown"/>
    <n v="2016"/>
    <x v="0"/>
    <n v="91"/>
    <n v="5.4"/>
    <x v="8"/>
    <n v="0.17"/>
    <n v="6465"/>
  </r>
  <r>
    <s v="Norman Lear: Just Another Version Of You"/>
    <n v="2016"/>
    <x v="1"/>
    <n v="91"/>
    <n v="7.3"/>
    <x v="8"/>
    <n v="7.0000000000000007E-2"/>
    <n v="462"/>
  </r>
  <r>
    <s v="Sausage Party"/>
    <n v="2016"/>
    <x v="1"/>
    <n v="89"/>
    <n v="6.1"/>
    <x v="8"/>
    <n v="97.69"/>
    <n v="205916"/>
  </r>
  <r>
    <s v="For The Love Of Spock"/>
    <n v="2016"/>
    <x v="1"/>
    <n v="111"/>
    <n v="7.6"/>
    <x v="8"/>
    <n v="0.08"/>
    <n v="4787"/>
  </r>
  <r>
    <s v="Miss Peregrine'S Home For Peculiar Children"/>
    <n v="2016"/>
    <x v="0"/>
    <n v="127"/>
    <n v="6.7"/>
    <x v="8"/>
    <n v="87.24"/>
    <n v="184368"/>
  </r>
  <r>
    <s v="Captain Fantastic"/>
    <n v="2016"/>
    <x v="0"/>
    <n v="118"/>
    <n v="7.8"/>
    <x v="8"/>
    <n v="5.88"/>
    <n v="230155"/>
  </r>
  <r>
    <s v="The Monster"/>
    <n v="2016"/>
    <x v="0"/>
    <n v="91"/>
    <n v="5.4"/>
    <x v="8"/>
    <n v="2.46"/>
    <n v="18944"/>
  </r>
  <r>
    <s v="Come And Find Me"/>
    <n v="2016"/>
    <x v="1"/>
    <n v="112"/>
    <n v="5.7"/>
    <x v="8"/>
    <n v="2.46"/>
    <n v="9687"/>
  </r>
  <r>
    <s v="Dog Eat Dog"/>
    <n v="2016"/>
    <x v="0"/>
    <n v="93"/>
    <n v="4.8"/>
    <x v="8"/>
    <n v="2.46"/>
    <n v="9456"/>
  </r>
  <r>
    <s v="Sully"/>
    <n v="2016"/>
    <x v="0"/>
    <n v="96"/>
    <n v="7.4"/>
    <x v="8"/>
    <n v="125.07"/>
    <n v="291391"/>
  </r>
  <r>
    <s v="Pete'S Dragon"/>
    <n v="2016"/>
    <x v="1"/>
    <n v="102"/>
    <n v="6.7"/>
    <x v="8"/>
    <n v="76.23"/>
    <n v="60908"/>
  </r>
  <r>
    <s v="London Town"/>
    <n v="2016"/>
    <x v="0"/>
    <n v="92"/>
    <n v="6.4"/>
    <x v="8"/>
    <n v="2.46"/>
    <n v="2519"/>
  </r>
  <r>
    <s v="Things To Come"/>
    <n v="2016"/>
    <x v="0"/>
    <n v="102"/>
    <n v="6.9"/>
    <x v="8"/>
    <n v="0.28000000000000003"/>
    <n v="14517"/>
  </r>
  <r>
    <s v="Divines"/>
    <n v="2016"/>
    <x v="0"/>
    <n v="105"/>
    <n v="7.4"/>
    <x v="8"/>
    <n v="2.46"/>
    <n v="10387"/>
  </r>
  <r>
    <s v="Alice Through The Looking Glass"/>
    <n v="2016"/>
    <x v="0"/>
    <n v="113"/>
    <n v="6.2"/>
    <x v="8"/>
    <n v="77.040000000000006"/>
    <n v="118650"/>
  </r>
  <r>
    <s v="Finding Dory"/>
    <n v="2016"/>
    <x v="0"/>
    <n v="97"/>
    <n v="7.2"/>
    <x v="8"/>
    <n v="486.3"/>
    <n v="295164"/>
  </r>
  <r>
    <s v="Equity"/>
    <n v="2016"/>
    <x v="0"/>
    <n v="100"/>
    <n v="5.6"/>
    <x v="8"/>
    <n v="1.6"/>
    <n v="3819"/>
  </r>
  <r>
    <s v="The Accountant"/>
    <n v="2016"/>
    <x v="0"/>
    <n v="128"/>
    <n v="7.3"/>
    <x v="8"/>
    <n v="86.26"/>
    <n v="311601"/>
  </r>
  <r>
    <s v="Ben-Hur"/>
    <n v="2016"/>
    <x v="0"/>
    <n v="123"/>
    <n v="5.7"/>
    <x v="8"/>
    <n v="26.41"/>
    <n v="45890"/>
  </r>
  <r>
    <s v="Inferno"/>
    <n v="2016"/>
    <x v="1"/>
    <n v="121"/>
    <n v="6.2"/>
    <x v="8"/>
    <n v="34.340000000000003"/>
    <n v="186093"/>
  </r>
  <r>
    <s v="Morgan"/>
    <n v="2016"/>
    <x v="0"/>
    <n v="92"/>
    <n v="5.8"/>
    <x v="8"/>
    <n v="3.91"/>
    <n v="45588"/>
  </r>
  <r>
    <s v="The Wailing"/>
    <n v="2016"/>
    <x v="0"/>
    <n v="156"/>
    <n v="7.4"/>
    <x v="8"/>
    <n v="2.46"/>
    <n v="77869"/>
  </r>
  <r>
    <s v="Elle"/>
    <n v="2016"/>
    <x v="0"/>
    <n v="130"/>
    <n v="7.1"/>
    <x v="8"/>
    <n v="2.46"/>
    <n v="70084"/>
  </r>
  <r>
    <s v="The Good Neighbor"/>
    <n v="2016"/>
    <x v="0"/>
    <n v="98"/>
    <n v="6.3"/>
    <x v="8"/>
    <n v="2.46"/>
    <n v="17975"/>
  </r>
  <r>
    <s v="Denial"/>
    <n v="2016"/>
    <x v="0"/>
    <n v="109"/>
    <n v="6.8"/>
    <x v="8"/>
    <n v="4.07"/>
    <n v="22968"/>
  </r>
  <r>
    <s v="Nerve"/>
    <n v="2016"/>
    <x v="0"/>
    <n v="96"/>
    <n v="6.5"/>
    <x v="8"/>
    <n v="38.58"/>
    <n v="138137"/>
  </r>
  <r>
    <s v="Ghostbusters"/>
    <n v="2016"/>
    <x v="0"/>
    <n v="117"/>
    <n v="6.8"/>
    <x v="8"/>
    <n v="128.34"/>
    <n v="241077"/>
  </r>
  <r>
    <s v="Always Shine"/>
    <n v="2016"/>
    <x v="0"/>
    <n v="85"/>
    <n v="5.6"/>
    <x v="8"/>
    <n v="0.01"/>
    <n v="5440"/>
  </r>
  <r>
    <s v="Suicide Squad"/>
    <n v="2016"/>
    <x v="0"/>
    <n v="123"/>
    <n v="5.9"/>
    <x v="8"/>
    <n v="325.10000000000002"/>
    <n v="711143"/>
  </r>
  <r>
    <s v="Swiss Army Man"/>
    <n v="2016"/>
    <x v="0"/>
    <n v="97"/>
    <n v="6.9"/>
    <x v="8"/>
    <n v="4.21"/>
    <n v="131031"/>
  </r>
  <r>
    <s v="Indignation"/>
    <n v="2016"/>
    <x v="0"/>
    <n v="110"/>
    <n v="6.7"/>
    <x v="8"/>
    <n v="3.4"/>
    <n v="12508"/>
  </r>
  <r>
    <s v="Lo And Behold, Reveries Of The Connected World"/>
    <n v="2016"/>
    <x v="0"/>
    <n v="98"/>
    <n v="7"/>
    <x v="8"/>
    <n v="0.59"/>
    <n v="13300"/>
  </r>
  <r>
    <s v="Snowden"/>
    <n v="2016"/>
    <x v="1"/>
    <n v="134"/>
    <n v="7.3"/>
    <x v="8"/>
    <n v="21.59"/>
    <n v="159994"/>
  </r>
  <r>
    <s v="Storks"/>
    <n v="2016"/>
    <x v="0"/>
    <n v="87"/>
    <n v="6.8"/>
    <x v="8"/>
    <n v="72.680000000000007"/>
    <n v="66143"/>
  </r>
  <r>
    <s v="Kubo And The Two Strings"/>
    <n v="2016"/>
    <x v="1"/>
    <n v="101"/>
    <n v="7.7"/>
    <x v="8"/>
    <n v="48.02"/>
    <n v="136479"/>
  </r>
  <r>
    <s v="The Secret Life Of Pets"/>
    <n v="2016"/>
    <x v="0"/>
    <n v="87"/>
    <n v="6.5"/>
    <x v="8"/>
    <n v="368.38"/>
    <n v="212981"/>
  </r>
  <r>
    <s v="Zootropolis"/>
    <n v="2016"/>
    <x v="0"/>
    <n v="108"/>
    <n v="8"/>
    <x v="8"/>
    <n v="341.27"/>
    <n v="531068"/>
  </r>
  <r>
    <s v="The Jungle Book"/>
    <n v="2016"/>
    <x v="0"/>
    <n v="106"/>
    <n v="7.4"/>
    <x v="8"/>
    <n v="364"/>
    <n v="287881"/>
  </r>
  <r>
    <s v="Trolls"/>
    <n v="2016"/>
    <x v="0"/>
    <n v="92"/>
    <n v="6.4"/>
    <x v="8"/>
    <n v="153.71"/>
    <n v="88637"/>
  </r>
  <r>
    <s v="In A Valley Of Violence"/>
    <n v="2016"/>
    <x v="0"/>
    <n v="104"/>
    <n v="6.1"/>
    <x v="8"/>
    <n v="0.05"/>
    <n v="20430"/>
  </r>
  <r>
    <s v="I Am The Pretty Thing That Lives In The House"/>
    <n v="2016"/>
    <x v="0"/>
    <n v="89"/>
    <n v="4.5999999999999996"/>
    <x v="8"/>
    <n v="2.46"/>
    <n v="15601"/>
  </r>
  <r>
    <s v="Toni Erdmann"/>
    <n v="2016"/>
    <x v="0"/>
    <n v="162"/>
    <n v="7.3"/>
    <x v="8"/>
    <n v="1.48"/>
    <n v="50585"/>
  </r>
  <r>
    <s v="Christine"/>
    <n v="2016"/>
    <x v="0"/>
    <n v="119"/>
    <n v="6.9"/>
    <x v="8"/>
    <n v="0.3"/>
    <n v="16508"/>
  </r>
  <r>
    <s v="Queen Of Katwe"/>
    <n v="2016"/>
    <x v="0"/>
    <n v="124"/>
    <n v="7.4"/>
    <x v="8"/>
    <n v="8.81"/>
    <n v="18393"/>
  </r>
  <r>
    <s v="Arrival"/>
    <n v="2016"/>
    <x v="0"/>
    <n v="116"/>
    <n v="7.9"/>
    <x v="8"/>
    <n v="100.55"/>
    <n v="743318"/>
  </r>
  <r>
    <s v="Fantastic Beasts And Where To Find Them"/>
    <n v="2016"/>
    <x v="0"/>
    <n v="132"/>
    <n v="7.2"/>
    <x v="8"/>
    <n v="234.04"/>
    <n v="497645"/>
  </r>
  <r>
    <s v="The Girl On The Train"/>
    <n v="2016"/>
    <x v="0"/>
    <n v="112"/>
    <n v="6.5"/>
    <x v="8"/>
    <n v="75.400000000000006"/>
    <n v="196007"/>
  </r>
  <r>
    <s v="Uss Indianapolis: Men Of Courage"/>
    <n v="2016"/>
    <x v="1"/>
    <n v="128"/>
    <n v="5.3"/>
    <x v="8"/>
    <n v="2.46"/>
    <n v="13993"/>
  </r>
  <r>
    <s v="The Handmaiden"/>
    <n v="2016"/>
    <x v="0"/>
    <n v="145"/>
    <n v="8.1"/>
    <x v="8"/>
    <n v="2.0099999999999998"/>
    <n v="165167"/>
  </r>
  <r>
    <s v="Being 17"/>
    <n v="2016"/>
    <x v="0"/>
    <n v="114"/>
    <n v="7.2"/>
    <x v="8"/>
    <n v="0.05"/>
    <n v="7096"/>
  </r>
  <r>
    <s v="While Paris Was Sleeping"/>
    <n v="2016"/>
    <x v="1"/>
    <n v="97"/>
    <n v="7"/>
    <x v="8"/>
    <n v="2.46"/>
    <n v="3749"/>
  </r>
  <r>
    <s v="Trespass Against Us"/>
    <n v="2016"/>
    <x v="0"/>
    <n v="99"/>
    <n v="5.8"/>
    <x v="8"/>
    <n v="2.46"/>
    <n v="8881"/>
  </r>
  <r>
    <s v="A Kind Of Murder"/>
    <n v="2016"/>
    <x v="0"/>
    <n v="95"/>
    <n v="5.3"/>
    <x v="8"/>
    <n v="0"/>
    <n v="8454"/>
  </r>
  <r>
    <s v="Hands Of Stone"/>
    <n v="2016"/>
    <x v="0"/>
    <n v="111"/>
    <n v="6.6"/>
    <x v="8"/>
    <n v="4.71"/>
    <n v="17303"/>
  </r>
  <r>
    <s v="Alone In Berlin"/>
    <n v="2016"/>
    <x v="2"/>
    <n v="103"/>
    <n v="6.5"/>
    <x v="8"/>
    <n v="2.46"/>
    <n v="9799"/>
  </r>
  <r>
    <s v="Hacksaw Ridge"/>
    <n v="2016"/>
    <x v="0"/>
    <n v="139"/>
    <n v="8.1"/>
    <x v="8"/>
    <n v="67.209999999999994"/>
    <n v="573639"/>
  </r>
  <r>
    <s v="The King'S Choice"/>
    <n v="2016"/>
    <x v="0"/>
    <n v="133"/>
    <n v="7.1"/>
    <x v="8"/>
    <n v="0.11"/>
    <n v="9778"/>
  </r>
  <r>
    <s v="After The Storm"/>
    <n v="2016"/>
    <x v="0"/>
    <n v="118"/>
    <n v="7.4"/>
    <x v="8"/>
    <n v="0.27"/>
    <n v="12373"/>
  </r>
  <r>
    <s v="Outlaws And Angels"/>
    <n v="2016"/>
    <x v="2"/>
    <n v="120"/>
    <n v="5.4"/>
    <x v="8"/>
    <n v="2.46"/>
    <n v="3541"/>
  </r>
  <r>
    <s v="Keeping Up With The Joneses"/>
    <n v="2016"/>
    <x v="0"/>
    <n v="105"/>
    <n v="5.9"/>
    <x v="8"/>
    <n v="14.9"/>
    <n v="66290"/>
  </r>
  <r>
    <s v="Little Men"/>
    <n v="2016"/>
    <x v="0"/>
    <n v="85"/>
    <n v="6.7"/>
    <x v="8"/>
    <n v="0.7"/>
    <n v="7721"/>
  </r>
  <r>
    <s v="The Birth Of A Nation"/>
    <n v="2016"/>
    <x v="0"/>
    <n v="120"/>
    <n v="6.5"/>
    <x v="8"/>
    <n v="15.86"/>
    <n v="21655"/>
  </r>
  <r>
    <s v="Hidden Figures"/>
    <n v="2016"/>
    <x v="2"/>
    <n v="127"/>
    <n v="7.8"/>
    <x v="8"/>
    <n v="169.61"/>
    <n v="247892"/>
  </r>
  <r>
    <s v="Nocturnal Animals"/>
    <n v="2016"/>
    <x v="0"/>
    <n v="116"/>
    <n v="7.5"/>
    <x v="8"/>
    <n v="10.66"/>
    <n v="296837"/>
  </r>
  <r>
    <s v="Barry"/>
    <n v="2016"/>
    <x v="0"/>
    <n v="104"/>
    <n v="6"/>
    <x v="8"/>
    <n v="2.46"/>
    <n v="7595"/>
  </r>
  <r>
    <s v="Cafe Society"/>
    <n v="2016"/>
    <x v="0"/>
    <n v="96"/>
    <n v="6.6"/>
    <x v="8"/>
    <n v="11.1"/>
    <n v="80182"/>
  </r>
  <r>
    <s v="Southside With You"/>
    <n v="2016"/>
    <x v="0"/>
    <n v="84"/>
    <n v="6.3"/>
    <x v="8"/>
    <n v="6.3"/>
    <n v="10074"/>
  </r>
  <r>
    <s v="Burn Country"/>
    <n v="2016"/>
    <x v="0"/>
    <n v="102"/>
    <n v="4.7"/>
    <x v="8"/>
    <n v="2.46"/>
    <n v="893"/>
  </r>
  <r>
    <s v="Moana"/>
    <n v="2016"/>
    <x v="0"/>
    <n v="107"/>
    <n v="7.6"/>
    <x v="8"/>
    <n v="248.76"/>
    <n v="364588"/>
  </r>
  <r>
    <s v="Manchester By The Sea"/>
    <n v="2016"/>
    <x v="1"/>
    <n v="137"/>
    <n v="7.8"/>
    <x v="8"/>
    <n v="47.7"/>
    <n v="302797"/>
  </r>
  <r>
    <s v="White Girl"/>
    <n v="2016"/>
    <x v="0"/>
    <n v="88"/>
    <n v="5.7"/>
    <x v="8"/>
    <n v="0.2"/>
    <n v="11530"/>
  </r>
  <r>
    <s v="Silence"/>
    <n v="2016"/>
    <x v="1"/>
    <n v="161"/>
    <n v="7.2"/>
    <x v="8"/>
    <n v="7.1"/>
    <n v="119908"/>
  </r>
  <r>
    <s v="American Honey"/>
    <n v="2016"/>
    <x v="0"/>
    <n v="163"/>
    <n v="7"/>
    <x v="8"/>
    <n v="0.66"/>
    <n v="45649"/>
  </r>
  <r>
    <s v="Claire In Motion"/>
    <n v="2016"/>
    <x v="1"/>
    <n v="83"/>
    <n v="4.5"/>
    <x v="8"/>
    <n v="2.46"/>
    <n v="704"/>
  </r>
  <r>
    <s v="Miss Sloane"/>
    <n v="2016"/>
    <x v="1"/>
    <n v="132"/>
    <n v="7.5"/>
    <x v="8"/>
    <n v="3.5"/>
    <n v="80589"/>
  </r>
  <r>
    <s v="The 9Th Life Of Louis Drax"/>
    <n v="2016"/>
    <x v="0"/>
    <n v="108"/>
    <n v="6.3"/>
    <x v="8"/>
    <n v="2.46"/>
    <n v="15030"/>
  </r>
  <r>
    <s v="The Edge Of Seventeen"/>
    <n v="2016"/>
    <x v="0"/>
    <n v="104"/>
    <n v="7.3"/>
    <x v="8"/>
    <n v="14.43"/>
    <n v="137191"/>
  </r>
  <r>
    <s v="Bleed For This"/>
    <n v="2016"/>
    <x v="0"/>
    <n v="117"/>
    <n v="6.8"/>
    <x v="8"/>
    <n v="4.8499999999999996"/>
    <n v="29122"/>
  </r>
  <r>
    <s v="Shepherds And Butchers"/>
    <n v="2016"/>
    <x v="0"/>
    <n v="102"/>
    <n v="6.8"/>
    <x v="8"/>
    <n v="2.46"/>
    <n v="3046"/>
  </r>
  <r>
    <s v="The Girl With All The Gifts"/>
    <n v="2016"/>
    <x v="1"/>
    <n v="111"/>
    <n v="6.6"/>
    <x v="8"/>
    <n v="2.46"/>
    <n v="63398"/>
  </r>
  <r>
    <s v="Jack Reacher: Never Go Back"/>
    <n v="2016"/>
    <x v="0"/>
    <n v="118"/>
    <n v="6.1"/>
    <x v="8"/>
    <n v="58.7"/>
    <n v="170619"/>
  </r>
  <r>
    <s v="Operation Avalanche"/>
    <n v="2016"/>
    <x v="0"/>
    <n v="94"/>
    <n v="6.1"/>
    <x v="8"/>
    <n v="0.06"/>
    <n v="7804"/>
  </r>
  <r>
    <s v="The Autopsy Of Jane Doe"/>
    <n v="2016"/>
    <x v="0"/>
    <n v="86"/>
    <n v="6.8"/>
    <x v="8"/>
    <n v="0.01"/>
    <n v="133482"/>
  </r>
  <r>
    <s v="Billy Lynn'S Long Halftime Walk"/>
    <n v="2016"/>
    <x v="0"/>
    <n v="113"/>
    <n v="6.2"/>
    <x v="8"/>
    <n v="1.74"/>
    <n v="23718"/>
  </r>
  <r>
    <s v="Passengers"/>
    <n v="2016"/>
    <x v="0"/>
    <n v="116"/>
    <n v="7"/>
    <x v="8"/>
    <n v="100.01"/>
    <n v="433338"/>
  </r>
  <r>
    <s v="Greater"/>
    <n v="2016"/>
    <x v="0"/>
    <n v="130"/>
    <n v="7.3"/>
    <x v="8"/>
    <n v="1.99"/>
    <n v="7114"/>
  </r>
  <r>
    <s v="Like Crazy"/>
    <n v="2016"/>
    <x v="1"/>
    <n v="116"/>
    <n v="7.2"/>
    <x v="8"/>
    <n v="0.11"/>
    <n v="10184"/>
  </r>
  <r>
    <s v="Lights Out"/>
    <n v="2016"/>
    <x v="0"/>
    <n v="81"/>
    <n v="6.3"/>
    <x v="8"/>
    <n v="67.27"/>
    <n v="139497"/>
  </r>
  <r>
    <s v="All We Had"/>
    <n v="2016"/>
    <x v="1"/>
    <n v="105"/>
    <n v="5.9"/>
    <x v="8"/>
    <n v="2.46"/>
    <n v="2888"/>
  </r>
  <r>
    <s v="Doctor Strange"/>
    <n v="2016"/>
    <x v="0"/>
    <n v="115"/>
    <n v="7.5"/>
    <x v="8"/>
    <n v="232.64"/>
    <n v="785811"/>
  </r>
  <r>
    <s v="Lion"/>
    <n v="2016"/>
    <x v="0"/>
    <n v="118"/>
    <n v="8"/>
    <x v="8"/>
    <n v="51.74"/>
    <n v="246551"/>
  </r>
  <r>
    <s v="Jackie"/>
    <n v="2016"/>
    <x v="1"/>
    <n v="100"/>
    <n v="6.7"/>
    <x v="8"/>
    <n v="13.96"/>
    <n v="82493"/>
  </r>
  <r>
    <s v="The Founder"/>
    <n v="2016"/>
    <x v="0"/>
    <n v="115"/>
    <n v="7.2"/>
    <x v="8"/>
    <n v="12.79"/>
    <n v="169692"/>
  </r>
  <r>
    <s v="The Hollow Point"/>
    <n v="2016"/>
    <x v="0"/>
    <n v="97"/>
    <n v="5.4"/>
    <x v="8"/>
    <n v="2.46"/>
    <n v="6068"/>
  </r>
  <r>
    <s v="Deepwater Horizon"/>
    <n v="2016"/>
    <x v="0"/>
    <n v="107"/>
    <n v="7.1"/>
    <x v="8"/>
    <n v="61.43"/>
    <n v="178060"/>
  </r>
  <r>
    <s v="The Confessions"/>
    <n v="2016"/>
    <x v="0"/>
    <n v="108"/>
    <n v="6.1"/>
    <x v="8"/>
    <n v="2.46"/>
    <n v="1900"/>
  </r>
  <r>
    <s v="The Bfg"/>
    <n v="2016"/>
    <x v="0"/>
    <n v="117"/>
    <n v="6.3"/>
    <x v="8"/>
    <n v="55.48"/>
    <n v="91452"/>
  </r>
  <r>
    <s v="A Monster Calls"/>
    <n v="2016"/>
    <x v="0"/>
    <n v="108"/>
    <n v="7.4"/>
    <x v="8"/>
    <n v="3.74"/>
    <n v="92084"/>
  </r>
  <r>
    <s v="Fire At Sea"/>
    <n v="2016"/>
    <x v="1"/>
    <n v="114"/>
    <n v="6.7"/>
    <x v="8"/>
    <n v="0.12"/>
    <n v="6011"/>
  </r>
  <r>
    <s v="Life, Animated"/>
    <n v="2016"/>
    <x v="0"/>
    <n v="92"/>
    <n v="7.4"/>
    <x v="8"/>
    <n v="0.26"/>
    <n v="6127"/>
  </r>
  <r>
    <s v="Collateral Beauty"/>
    <n v="2016"/>
    <x v="0"/>
    <n v="97"/>
    <n v="6.8"/>
    <x v="8"/>
    <n v="31.02"/>
    <n v="103829"/>
  </r>
  <r>
    <s v="Sing Street"/>
    <n v="2016"/>
    <x v="0"/>
    <n v="106"/>
    <n v="7.9"/>
    <x v="8"/>
    <n v="3.24"/>
    <n v="99163"/>
  </r>
  <r>
    <s v="Assassin'S Creed"/>
    <n v="2016"/>
    <x v="1"/>
    <n v="115"/>
    <n v="5.6"/>
    <x v="8"/>
    <n v="54.65"/>
    <n v="206127"/>
  </r>
  <r>
    <s v="Aquarius"/>
    <n v="2016"/>
    <x v="0"/>
    <n v="146"/>
    <n v="7.4"/>
    <x v="8"/>
    <n v="0.28999999999999998"/>
    <n v="20521"/>
  </r>
  <r>
    <s v="Certain Women"/>
    <n v="2016"/>
    <x v="0"/>
    <n v="107"/>
    <n v="6.4"/>
    <x v="8"/>
    <n v="1.03"/>
    <n v="14773"/>
  </r>
  <r>
    <s v="The Red Turtle"/>
    <n v="2016"/>
    <x v="0"/>
    <n v="80"/>
    <n v="7.5"/>
    <x v="8"/>
    <n v="0.92"/>
    <n v="37644"/>
  </r>
  <r>
    <s v="War On Everyone"/>
    <n v="2016"/>
    <x v="0"/>
    <n v="98"/>
    <n v="5.8"/>
    <x v="8"/>
    <n v="2.46"/>
    <n v="20047"/>
  </r>
  <r>
    <s v="The Magnificent Seven"/>
    <n v="2016"/>
    <x v="0"/>
    <n v="132"/>
    <n v="6.9"/>
    <x v="8"/>
    <n v="93.43"/>
    <n v="224047"/>
  </r>
  <r>
    <s v="The Salesman"/>
    <n v="2016"/>
    <x v="0"/>
    <n v="124"/>
    <n v="7.7"/>
    <x v="8"/>
    <n v="2.4"/>
    <n v="63634"/>
  </r>
  <r>
    <s v="20Th Century Women"/>
    <n v="2016"/>
    <x v="0"/>
    <n v="119"/>
    <n v="7.3"/>
    <x v="8"/>
    <n v="5.66"/>
    <n v="48389"/>
  </r>
  <r>
    <s v="Underworld: Blood Wars"/>
    <n v="2016"/>
    <x v="0"/>
    <n v="91"/>
    <n v="5.7"/>
    <x v="8"/>
    <n v="30.35"/>
    <n v="79710"/>
  </r>
  <r>
    <s v="Live By Night"/>
    <n v="2016"/>
    <x v="1"/>
    <n v="129"/>
    <n v="6.4"/>
    <x v="8"/>
    <n v="10.38"/>
    <n v="59182"/>
  </r>
  <r>
    <s v="Neruda"/>
    <n v="2016"/>
    <x v="0"/>
    <n v="107"/>
    <n v="6.8"/>
    <x v="8"/>
    <n v="0.94"/>
    <n v="10913"/>
  </r>
  <r>
    <s v="Nine Lives"/>
    <n v="2016"/>
    <x v="0"/>
    <n v="87"/>
    <n v="5.3"/>
    <x v="8"/>
    <n v="19.64"/>
    <n v="23931"/>
  </r>
  <r>
    <s v="Fences"/>
    <n v="2016"/>
    <x v="0"/>
    <n v="139"/>
    <n v="7.2"/>
    <x v="8"/>
    <n v="57.68"/>
    <n v="115118"/>
  </r>
  <r>
    <s v="Julieta"/>
    <n v="2016"/>
    <x v="0"/>
    <n v="99"/>
    <n v="7.1"/>
    <x v="8"/>
    <n v="1.49"/>
    <n v="33452"/>
  </r>
  <r>
    <s v="Star Trek Beyond"/>
    <n v="2016"/>
    <x v="1"/>
    <n v="122"/>
    <n v="7"/>
    <x v="8"/>
    <n v="158.85"/>
    <n v="255207"/>
  </r>
  <r>
    <s v="Rogue One"/>
    <n v="2016"/>
    <x v="2"/>
    <n v="133"/>
    <n v="7.8"/>
    <x v="8"/>
    <n v="532.17999999999995"/>
    <n v="672386"/>
  </r>
  <r>
    <s v="Incarnate"/>
    <n v="2016"/>
    <x v="2"/>
    <n v="87"/>
    <n v="5.3"/>
    <x v="8"/>
    <n v="4.79"/>
    <n v="13978"/>
  </r>
  <r>
    <s v="I, Daniel Blake"/>
    <n v="2016"/>
    <x v="0"/>
    <n v="100"/>
    <n v="7.8"/>
    <x v="8"/>
    <n v="0.26"/>
    <n v="63438"/>
  </r>
  <r>
    <s v="Gold"/>
    <n v="2016"/>
    <x v="0"/>
    <n v="120"/>
    <n v="6.7"/>
    <x v="8"/>
    <n v="7.23"/>
    <n v="67930"/>
  </r>
  <r>
    <s v="Hell Or High Water"/>
    <n v="2016"/>
    <x v="0"/>
    <n v="102"/>
    <n v="7.6"/>
    <x v="8"/>
    <n v="27.01"/>
    <n v="245508"/>
  </r>
  <r>
    <s v="13Th"/>
    <n v="2016"/>
    <x v="0"/>
    <n v="100"/>
    <n v="8.1999999999999993"/>
    <x v="8"/>
    <n v="2.46"/>
    <n v="37112"/>
  </r>
  <r>
    <s v="100 Streets"/>
    <n v="2016"/>
    <x v="0"/>
    <n v="93"/>
    <n v="5.8"/>
    <x v="8"/>
    <n v="2.46"/>
    <n v="4411"/>
  </r>
  <r>
    <s v="American Fable"/>
    <n v="2016"/>
    <x v="0"/>
    <n v="96"/>
    <n v="5.8"/>
    <x v="8"/>
    <n v="2.46"/>
    <n v="4651"/>
  </r>
  <r>
    <s v="American Pastoral"/>
    <n v="2016"/>
    <x v="0"/>
    <n v="108"/>
    <n v="6.1"/>
    <x v="8"/>
    <n v="0.54"/>
    <n v="17804"/>
  </r>
  <r>
    <s v="A Street Cat Named Bob"/>
    <n v="2016"/>
    <x v="0"/>
    <n v="103"/>
    <n v="7.3"/>
    <x v="8"/>
    <n v="0.04"/>
    <n v="32998"/>
  </r>
  <r>
    <s v="Loving"/>
    <n v="2016"/>
    <x v="0"/>
    <n v="123"/>
    <n v="7"/>
    <x v="8"/>
    <n v="7.7"/>
    <n v="36002"/>
  </r>
  <r>
    <s v="The Unknown Girl"/>
    <n v="2016"/>
    <x v="2"/>
    <n v="113"/>
    <n v="6.5"/>
    <x v="8"/>
    <n v="0.15"/>
    <n v="10201"/>
  </r>
  <r>
    <s v="Moonlight"/>
    <n v="2016"/>
    <x v="0"/>
    <n v="111"/>
    <n v="7.4"/>
    <x v="8"/>
    <n v="27.85"/>
    <n v="324773"/>
  </r>
  <r>
    <s v="In Dubious Battle"/>
    <n v="2016"/>
    <x v="0"/>
    <n v="110"/>
    <n v="6"/>
    <x v="8"/>
    <n v="2.46"/>
    <n v="4433"/>
  </r>
  <r>
    <s v="La La Land"/>
    <n v="2016"/>
    <x v="0"/>
    <n v="128"/>
    <n v="8"/>
    <x v="8"/>
    <n v="151.1"/>
    <n v="640972"/>
  </r>
  <r>
    <s v="It'S Only The End Of The World"/>
    <n v="2016"/>
    <x v="0"/>
    <n v="97"/>
    <n v="6.8"/>
    <x v="8"/>
    <n v="2.46"/>
    <n v="24823"/>
  </r>
  <r>
    <s v="Paterson"/>
    <n v="2016"/>
    <x v="0"/>
    <n v="118"/>
    <n v="7.3"/>
    <x v="8"/>
    <n v="2.14"/>
    <n v="87026"/>
  </r>
  <r>
    <s v="The Light Between Oceans"/>
    <n v="2016"/>
    <x v="0"/>
    <n v="133"/>
    <n v="7.2"/>
    <x v="8"/>
    <n v="12.55"/>
    <n v="59330"/>
  </r>
  <r>
    <s v="Rules Don'T Apply"/>
    <n v="2016"/>
    <x v="0"/>
    <n v="127"/>
    <n v="5.7"/>
    <x v="8"/>
    <n v="3.65"/>
    <n v="11531"/>
  </r>
  <r>
    <s v="Sophie And The Rising Sun"/>
    <n v="2016"/>
    <x v="0"/>
    <n v="105"/>
    <n v="6.6"/>
    <x v="8"/>
    <n v="0.03"/>
    <n v="1442"/>
  </r>
  <r>
    <s v="Youth In Oregon"/>
    <n v="2016"/>
    <x v="2"/>
    <n v="105"/>
    <n v="5.8"/>
    <x v="8"/>
    <n v="2.46"/>
    <n v="1381"/>
  </r>
  <r>
    <s v="Bright Lights: Starring Carrie Fisher And Debbie Reynolds"/>
    <n v="2016"/>
    <x v="0"/>
    <n v="95"/>
    <n v="7.9"/>
    <x v="8"/>
    <n v="2.46"/>
    <n v="3551"/>
  </r>
  <r>
    <s v="Wolves"/>
    <n v="2016"/>
    <x v="0"/>
    <n v="109"/>
    <n v="5.7"/>
    <x v="8"/>
    <n v="2.46"/>
    <n v="1337"/>
  </r>
  <r>
    <s v="After Love"/>
    <n v="2016"/>
    <x v="0"/>
    <n v="100"/>
    <n v="6.5"/>
    <x v="8"/>
    <n v="0.01"/>
    <n v="2396"/>
  </r>
  <r>
    <s v="Resident Evil: The Final Chapter"/>
    <n v="2016"/>
    <x v="0"/>
    <n v="107"/>
    <n v="5.5"/>
    <x v="8"/>
    <n v="26.83"/>
    <n v="99163"/>
  </r>
  <r>
    <s v="Trauma"/>
    <n v="2016"/>
    <x v="2"/>
    <n v="92"/>
    <n v="5.4"/>
    <x v="8"/>
    <n v="2.46"/>
    <n v="8473"/>
  </r>
  <r>
    <s v="A United Kingdom"/>
    <n v="2016"/>
    <x v="1"/>
    <n v="111"/>
    <n v="6.9"/>
    <x v="8"/>
    <n v="3.9"/>
    <n v="16816"/>
  </r>
  <r>
    <s v="Brimstone"/>
    <n v="2016"/>
    <x v="0"/>
    <n v="148"/>
    <n v="7"/>
    <x v="8"/>
    <n v="2.46"/>
    <n v="44180"/>
  </r>
  <r>
    <s v="Tomboy"/>
    <n v="2016"/>
    <x v="0"/>
    <n v="95"/>
    <n v="4.7"/>
    <x v="8"/>
    <n v="2.46"/>
    <n v="9114"/>
  </r>
  <r>
    <s v="Mine"/>
    <n v="2016"/>
    <x v="0"/>
    <n v="106"/>
    <n v="5.8"/>
    <x v="8"/>
    <n v="2.46"/>
    <n v="20772"/>
  </r>
  <r>
    <s v="First Girl I Loved"/>
    <n v="2016"/>
    <x v="0"/>
    <n v="90"/>
    <n v="6.2"/>
    <x v="8"/>
    <n v="2.46"/>
    <n v="3937"/>
  </r>
  <r>
    <s v="Allied"/>
    <n v="2016"/>
    <x v="1"/>
    <n v="124"/>
    <n v="7.1"/>
    <x v="8"/>
    <n v="40.1"/>
    <n v="165409"/>
  </r>
  <r>
    <s v="Apprentice"/>
    <n v="2016"/>
    <x v="0"/>
    <n v="90"/>
    <n v="6.6"/>
    <x v="8"/>
    <n v="0"/>
    <n v="1799"/>
  </r>
  <r>
    <s v="The Vessel"/>
    <n v="2016"/>
    <x v="2"/>
    <n v="86"/>
    <n v="5.4"/>
    <x v="8"/>
    <n v="2.46"/>
    <n v="1179"/>
  </r>
  <r>
    <s v="Bridget Jones'S Baby"/>
    <n v="2016"/>
    <x v="0"/>
    <n v="123"/>
    <n v="6.5"/>
    <x v="8"/>
    <n v="24.25"/>
    <n v="80395"/>
  </r>
  <r>
    <s v="Why Him?"/>
    <n v="2016"/>
    <x v="2"/>
    <n v="111"/>
    <n v="6.2"/>
    <x v="8"/>
    <n v="60.32"/>
    <n v="121071"/>
  </r>
  <r>
    <s v="Below Her Mouth"/>
    <n v="2016"/>
    <x v="0"/>
    <n v="94"/>
    <n v="5.5"/>
    <x v="8"/>
    <n v="2.46"/>
    <n v="13855"/>
  </r>
  <r>
    <s v="The Great Wall"/>
    <n v="2016"/>
    <x v="0"/>
    <n v="103"/>
    <n v="5.9"/>
    <x v="8"/>
    <n v="45.54"/>
    <n v="143539"/>
  </r>
  <r>
    <s v="Lovesong"/>
    <n v="2016"/>
    <x v="0"/>
    <n v="84"/>
    <n v="6.3"/>
    <x v="8"/>
    <n v="0.01"/>
    <n v="5298"/>
  </r>
  <r>
    <s v="Blue Jay"/>
    <n v="2016"/>
    <x v="0"/>
    <n v="80"/>
    <n v="7.3"/>
    <x v="8"/>
    <n v="0.01"/>
    <n v="19880"/>
  </r>
  <r>
    <s v="Silicon Cowboys"/>
    <n v="2016"/>
    <x v="0"/>
    <n v="77"/>
    <n v="6.9"/>
    <x v="8"/>
    <n v="0.01"/>
    <n v="2090"/>
  </r>
  <r>
    <s v="Patriots Day"/>
    <n v="2016"/>
    <x v="0"/>
    <n v="133"/>
    <n v="7.3"/>
    <x v="8"/>
    <n v="31.89"/>
    <n v="110160"/>
  </r>
  <r>
    <s v="Lazy Eye"/>
    <n v="2016"/>
    <x v="0"/>
    <n v="87"/>
    <n v="6.4"/>
    <x v="8"/>
    <n v="2.46"/>
    <n v="1912"/>
  </r>
  <r>
    <s v="Personal Shopper"/>
    <n v="2016"/>
    <x v="0"/>
    <n v="105"/>
    <n v="6.1"/>
    <x v="8"/>
    <n v="1.31"/>
    <n v="42391"/>
  </r>
  <r>
    <s v="The Last Family"/>
    <n v="2016"/>
    <x v="0"/>
    <n v="123"/>
    <n v="7.4"/>
    <x v="8"/>
    <n v="2.46"/>
    <n v="4737"/>
  </r>
  <r>
    <s v="The Pass"/>
    <n v="2016"/>
    <x v="1"/>
    <n v="88"/>
    <n v="6.5"/>
    <x v="8"/>
    <n v="2.46"/>
    <n v="4217"/>
  </r>
  <r>
    <s v="I, Olga"/>
    <n v="2016"/>
    <x v="0"/>
    <n v="105"/>
    <n v="6.6"/>
    <x v="8"/>
    <n v="2.46"/>
    <n v="2672"/>
  </r>
  <r>
    <s v="Betting On Zero"/>
    <n v="2016"/>
    <x v="0"/>
    <n v="99"/>
    <n v="7.2"/>
    <x v="8"/>
    <n v="2.46"/>
    <n v="5554"/>
  </r>
  <r>
    <s v="Sieranevada"/>
    <n v="2016"/>
    <x v="0"/>
    <n v="173"/>
    <n v="7.3"/>
    <x v="8"/>
    <n v="2.46"/>
    <n v="5604"/>
  </r>
  <r>
    <s v="Nocturama"/>
    <n v="2016"/>
    <x v="1"/>
    <n v="130"/>
    <n v="6.4"/>
    <x v="8"/>
    <n v="0.03"/>
    <n v="5225"/>
  </r>
  <r>
    <s v="The Love Witch"/>
    <n v="2016"/>
    <x v="0"/>
    <n v="120"/>
    <n v="6.2"/>
    <x v="8"/>
    <n v="0.23"/>
    <n v="19042"/>
  </r>
  <r>
    <s v="I Am Not Your Negro"/>
    <n v="2016"/>
    <x v="0"/>
    <n v="93"/>
    <n v="7.9"/>
    <x v="8"/>
    <n v="7.12"/>
    <n v="23109"/>
  </r>
  <r>
    <s v="The Ornithologist"/>
    <n v="2016"/>
    <x v="0"/>
    <n v="117"/>
    <n v="6.3"/>
    <x v="8"/>
    <n v="0.05"/>
    <n v="3690"/>
  </r>
  <r>
    <s v="The Exception"/>
    <n v="2016"/>
    <x v="0"/>
    <n v="107"/>
    <n v="6.8"/>
    <x v="8"/>
    <n v="0.61"/>
    <n v="14897"/>
  </r>
  <r>
    <s v="Max Steel"/>
    <n v="2016"/>
    <x v="0"/>
    <n v="92"/>
    <n v="4.5999999999999996"/>
    <x v="8"/>
    <n v="3.82"/>
    <n v="20366"/>
  </r>
  <r>
    <s v="Richard Linklater: Dream Is Destiny"/>
    <n v="2016"/>
    <x v="0"/>
    <n v="90"/>
    <n v="7.3"/>
    <x v="8"/>
    <n v="2.46"/>
    <n v="419"/>
  </r>
  <r>
    <s v="The Levelling"/>
    <n v="2016"/>
    <x v="0"/>
    <n v="83"/>
    <n v="6.4"/>
    <x v="8"/>
    <n v="0"/>
    <n v="2768"/>
  </r>
  <r>
    <s v="4 Days In France"/>
    <n v="2016"/>
    <x v="0"/>
    <n v="137"/>
    <n v="5.8"/>
    <x v="8"/>
    <n v="0.01"/>
    <n v="590"/>
  </r>
  <r>
    <s v="Frank &amp; Lola"/>
    <n v="2016"/>
    <x v="0"/>
    <n v="88"/>
    <n v="5.9"/>
    <x v="8"/>
    <n v="2.46"/>
    <n v="6435"/>
  </r>
  <r>
    <s v="Frantz"/>
    <n v="2016"/>
    <x v="0"/>
    <n v="113"/>
    <n v="7.5"/>
    <x v="8"/>
    <n v="0.88"/>
    <n v="16951"/>
  </r>
  <r>
    <s v="The Void"/>
    <n v="2016"/>
    <x v="0"/>
    <n v="90"/>
    <n v="5.9"/>
    <x v="8"/>
    <n v="0.15"/>
    <n v="40385"/>
  </r>
  <r>
    <s v="A Cure For Wellness"/>
    <n v="2016"/>
    <x v="0"/>
    <n v="146"/>
    <n v="6.4"/>
    <x v="8"/>
    <n v="8.11"/>
    <n v="106960"/>
  </r>
  <r>
    <s v="Stefan Zweig: Farewell To Europe"/>
    <n v="2016"/>
    <x v="1"/>
    <n v="106"/>
    <n v="6.7"/>
    <x v="8"/>
    <n v="0.08"/>
    <n v="2582"/>
  </r>
  <r>
    <s v="The Dancer"/>
    <n v="2016"/>
    <x v="0"/>
    <n v="108"/>
    <n v="6.5"/>
    <x v="8"/>
    <n v="2.46"/>
    <n v="2708"/>
  </r>
  <r>
    <s v="The Promise"/>
    <n v="2016"/>
    <x v="0"/>
    <n v="133"/>
    <n v="6.1"/>
    <x v="8"/>
    <n v="2.46"/>
    <n v="177780"/>
  </r>
  <r>
    <s v="The Lost City Of Z"/>
    <n v="2016"/>
    <x v="0"/>
    <n v="141"/>
    <n v="6.6"/>
    <x v="8"/>
    <n v="8.58"/>
    <n v="97281"/>
  </r>
  <r>
    <s v="Between Us"/>
    <n v="2016"/>
    <x v="0"/>
    <n v="100"/>
    <n v="5.6"/>
    <x v="8"/>
    <n v="2.46"/>
    <n v="881"/>
  </r>
  <r>
    <s v="Mindhorn"/>
    <n v="2016"/>
    <x v="0"/>
    <n v="89"/>
    <n v="6.3"/>
    <x v="8"/>
    <n v="2.46"/>
    <n v="13606"/>
  </r>
  <r>
    <s v="Mean Dreams"/>
    <n v="2016"/>
    <x v="0"/>
    <n v="108"/>
    <n v="6.3"/>
    <x v="8"/>
    <n v="2.46"/>
    <n v="4776"/>
  </r>
  <r>
    <s v="Here Alone"/>
    <n v="2016"/>
    <x v="0"/>
    <n v="98"/>
    <n v="5.6"/>
    <x v="8"/>
    <n v="2.46"/>
    <n v="7780"/>
  </r>
  <r>
    <s v="Blind"/>
    <n v="2016"/>
    <x v="0"/>
    <n v="98"/>
    <n v="5.8"/>
    <x v="8"/>
    <n v="2.46"/>
    <n v="4456"/>
  </r>
  <r>
    <s v="The Comedian"/>
    <n v="2016"/>
    <x v="0"/>
    <n v="120"/>
    <n v="5.8"/>
    <x v="8"/>
    <n v="1.66"/>
    <n v="7908"/>
  </r>
  <r>
    <s v="Term Life"/>
    <n v="2016"/>
    <x v="2"/>
    <n v="93"/>
    <n v="5.6"/>
    <x v="8"/>
    <n v="0.01"/>
    <n v="8540"/>
  </r>
  <r>
    <s v="Up For Love"/>
    <n v="2016"/>
    <x v="0"/>
    <n v="98"/>
    <n v="6.3"/>
    <x v="8"/>
    <n v="2.46"/>
    <n v="8944"/>
  </r>
  <r>
    <s v="Book Of Love"/>
    <n v="2016"/>
    <x v="2"/>
    <n v="106"/>
    <n v="6"/>
    <x v="8"/>
    <n v="2.46"/>
    <n v="4661"/>
  </r>
  <r>
    <s v="Split"/>
    <n v="2016"/>
    <x v="0"/>
    <n v="117"/>
    <n v="7.3"/>
    <x v="8"/>
    <n v="138.29"/>
    <n v="534442"/>
  </r>
  <r>
    <s v="Shut In"/>
    <n v="2016"/>
    <x v="0"/>
    <n v="91"/>
    <n v="4.8"/>
    <x v="8"/>
    <n v="6.88"/>
    <n v="14554"/>
  </r>
  <r>
    <s v="The Boss"/>
    <n v="2016"/>
    <x v="0"/>
    <n v="99"/>
    <n v="5.4"/>
    <x v="8"/>
    <n v="63.29"/>
    <n v="48159"/>
  </r>
  <r>
    <s v="Pet"/>
    <n v="2016"/>
    <x v="0"/>
    <n v="94"/>
    <n v="5.7"/>
    <x v="8"/>
    <n v="0.01"/>
    <n v="18512"/>
  </r>
  <r>
    <s v="Handsome Devil"/>
    <n v="2016"/>
    <x v="0"/>
    <n v="95"/>
    <n v="7"/>
    <x v="8"/>
    <n v="2.46"/>
    <n v="16441"/>
  </r>
  <r>
    <s v="Collide"/>
    <n v="2016"/>
    <x v="0"/>
    <n v="99"/>
    <n v="5.7"/>
    <x v="8"/>
    <n v="2.2799999999999998"/>
    <n v="17133"/>
  </r>
  <r>
    <s v="Heartstone"/>
    <n v="2016"/>
    <x v="0"/>
    <n v="129"/>
    <n v="7.4"/>
    <x v="8"/>
    <n v="2.46"/>
    <n v="6023"/>
  </r>
  <r>
    <s v="Gimme Danger"/>
    <n v="2016"/>
    <x v="0"/>
    <n v="108"/>
    <n v="7.2"/>
    <x v="8"/>
    <n v="0.44"/>
    <n v="6359"/>
  </r>
  <r>
    <s v="A Quiet Passion"/>
    <n v="2016"/>
    <x v="2"/>
    <n v="125"/>
    <n v="6.5"/>
    <x v="8"/>
    <n v="1.86"/>
    <n v="6179"/>
  </r>
  <r>
    <s v="Fallen"/>
    <n v="2016"/>
    <x v="2"/>
    <n v="91"/>
    <n v="5.2"/>
    <x v="8"/>
    <n v="2.46"/>
    <n v="15675"/>
  </r>
  <r>
    <s v="Moka"/>
    <n v="2016"/>
    <x v="1"/>
    <n v="89"/>
    <n v="6.2"/>
    <x v="8"/>
    <n v="0.13"/>
    <n v="1196"/>
  </r>
  <r>
    <s v="From The Land Of The Moon"/>
    <n v="2016"/>
    <x v="0"/>
    <n v="120"/>
    <n v="6.6"/>
    <x v="8"/>
    <n v="0.04"/>
    <n v="6577"/>
  </r>
  <r>
    <s v="Graduation"/>
    <n v="2016"/>
    <x v="0"/>
    <n v="128"/>
    <n v="7.3"/>
    <x v="8"/>
    <n v="0.18"/>
    <n v="14502"/>
  </r>
  <r>
    <s v="Wakefield"/>
    <n v="2016"/>
    <x v="0"/>
    <n v="106"/>
    <n v="6.3"/>
    <x v="8"/>
    <n v="0.26"/>
    <n v="17726"/>
  </r>
  <r>
    <s v="Two Lovers And A Bear"/>
    <n v="2016"/>
    <x v="0"/>
    <n v="96"/>
    <n v="6"/>
    <x v="8"/>
    <n v="2.46"/>
    <n v="2121"/>
  </r>
  <r>
    <s v="Mapplethorpe: Look At The Pictures"/>
    <n v="2016"/>
    <x v="0"/>
    <n v="108"/>
    <n v="7.5"/>
    <x v="8"/>
    <n v="2.46"/>
    <n v="1541"/>
  </r>
  <r>
    <s v="The Bleeder"/>
    <n v="2016"/>
    <x v="0"/>
    <n v="98"/>
    <n v="6.5"/>
    <x v="8"/>
    <n v="0.32"/>
    <n v="6833"/>
  </r>
  <r>
    <s v="Science Fiction Volume One: The Osiris Child"/>
    <n v="2016"/>
    <x v="0"/>
    <n v="99"/>
    <n v="5.5"/>
    <x v="8"/>
    <n v="2.46"/>
    <n v="9059"/>
  </r>
  <r>
    <s v="Middle Man"/>
    <n v="2016"/>
    <x v="0"/>
    <n v="104"/>
    <n v="5.8"/>
    <x v="8"/>
    <n v="2.46"/>
    <n v="863"/>
  </r>
  <r>
    <s v="Norman: The Moderate Rise And Tragic Fall Of A New York Fixer"/>
    <n v="2016"/>
    <x v="0"/>
    <n v="118"/>
    <n v="6.1"/>
    <x v="8"/>
    <n v="3.81"/>
    <n v="6440"/>
  </r>
  <r>
    <s v="Strike A Pose"/>
    <n v="2016"/>
    <x v="2"/>
    <n v="83"/>
    <n v="7.2"/>
    <x v="8"/>
    <n v="2.46"/>
    <n v="1796"/>
  </r>
  <r>
    <s v="Sami Blood"/>
    <n v="2016"/>
    <x v="0"/>
    <n v="110"/>
    <n v="7.3"/>
    <x v="8"/>
    <n v="2.46"/>
    <n v="8137"/>
  </r>
  <r>
    <s v="Endless Poetry"/>
    <n v="2016"/>
    <x v="0"/>
    <n v="128"/>
    <n v="7.5"/>
    <x v="8"/>
    <n v="0.03"/>
    <n v="6476"/>
  </r>
  <r>
    <s v="A Family Man"/>
    <n v="2016"/>
    <x v="0"/>
    <n v="108"/>
    <n v="6.5"/>
    <x v="8"/>
    <n v="2.46"/>
    <n v="13180"/>
  </r>
  <r>
    <s v="Paris Can Wait"/>
    <n v="2016"/>
    <x v="0"/>
    <n v="92"/>
    <n v="5.8"/>
    <x v="8"/>
    <n v="5.62"/>
    <n v="9542"/>
  </r>
  <r>
    <s v="Staying Vertical"/>
    <n v="2016"/>
    <x v="0"/>
    <n v="98"/>
    <n v="5.9"/>
    <x v="8"/>
    <n v="0.01"/>
    <n v="2469"/>
  </r>
  <r>
    <s v="Abacus: Small Enough To Jail"/>
    <n v="2016"/>
    <x v="0"/>
    <n v="88"/>
    <n v="7.1"/>
    <x v="8"/>
    <n v="0.1"/>
    <n v="2916"/>
  </r>
  <r>
    <s v="Indivisible"/>
    <n v="2016"/>
    <x v="0"/>
    <n v="100"/>
    <n v="6.9"/>
    <x v="8"/>
    <n v="2.46"/>
    <n v="1374"/>
  </r>
  <r>
    <s v="Maudie"/>
    <n v="2016"/>
    <x v="0"/>
    <n v="115"/>
    <n v="7.6"/>
    <x v="8"/>
    <n v="6.17"/>
    <n v="20278"/>
  </r>
  <r>
    <s v="As You Are"/>
    <n v="2016"/>
    <x v="0"/>
    <n v="110"/>
    <n v="6.5"/>
    <x v="8"/>
    <n v="2.46"/>
    <n v="2711"/>
  </r>
  <r>
    <s v="Realive"/>
    <n v="2016"/>
    <x v="0"/>
    <n v="112"/>
    <n v="5.9"/>
    <x v="8"/>
    <n v="2.46"/>
    <n v="5500"/>
  </r>
  <r>
    <s v="Una"/>
    <n v="2016"/>
    <x v="0"/>
    <n v="94"/>
    <n v="6.2"/>
    <x v="8"/>
    <n v="2.46"/>
    <n v="11322"/>
  </r>
  <r>
    <s v="Through The Wall"/>
    <n v="2016"/>
    <x v="0"/>
    <n v="110"/>
    <n v="6.5"/>
    <x v="8"/>
    <n v="1.4"/>
    <n v="1497"/>
  </r>
  <r>
    <s v="My Life As A Courgette"/>
    <n v="2016"/>
    <x v="0"/>
    <n v="66"/>
    <n v="7.8"/>
    <x v="8"/>
    <n v="0.28999999999999998"/>
    <n v="28188"/>
  </r>
  <r>
    <s v="Boris Without Bã©Atrice"/>
    <n v="2016"/>
    <x v="0"/>
    <n v="93"/>
    <n v="6.1"/>
    <x v="8"/>
    <n v="2.46"/>
    <n v="446"/>
  </r>
  <r>
    <s v="The Student"/>
    <n v="2016"/>
    <x v="0"/>
    <n v="118"/>
    <n v="6.9"/>
    <x v="8"/>
    <n v="0"/>
    <n v="5980"/>
  </r>
  <r>
    <s v="Ali And Nino"/>
    <n v="2016"/>
    <x v="0"/>
    <n v="100"/>
    <n v="6.8"/>
    <x v="8"/>
    <n v="2.46"/>
    <n v="5474"/>
  </r>
  <r>
    <s v="American Anarchist"/>
    <n v="2016"/>
    <x v="0"/>
    <n v="80"/>
    <n v="5.9"/>
    <x v="8"/>
    <n v="2.46"/>
    <n v="1797"/>
  </r>
  <r>
    <s v="Cameraperson"/>
    <n v="2016"/>
    <x v="0"/>
    <n v="102"/>
    <n v="7.4"/>
    <x v="8"/>
    <n v="0.1"/>
    <n v="3118"/>
  </r>
  <r>
    <s v="The Untamed"/>
    <n v="2016"/>
    <x v="0"/>
    <n v="98"/>
    <n v="6.1"/>
    <x v="8"/>
    <n v="0.03"/>
    <n v="6413"/>
  </r>
  <r>
    <s v="Women Who Kill"/>
    <n v="2016"/>
    <x v="0"/>
    <n v="93"/>
    <n v="5.6"/>
    <x v="8"/>
    <n v="2.46"/>
    <n v="703"/>
  </r>
  <r>
    <s v="Better Watch Out"/>
    <n v="2016"/>
    <x v="0"/>
    <n v="89"/>
    <n v="6.5"/>
    <x v="8"/>
    <n v="0.02"/>
    <n v="43267"/>
  </r>
  <r>
    <s v="Score: A Film Music Documentary"/>
    <n v="2016"/>
    <x v="0"/>
    <n v="93"/>
    <n v="7.5"/>
    <x v="8"/>
    <n v="0.1"/>
    <n v="4806"/>
  </r>
  <r>
    <s v="Ballerina"/>
    <n v="2016"/>
    <x v="0"/>
    <n v="89"/>
    <n v="6.7"/>
    <x v="8"/>
    <n v="24.7"/>
    <n v="23865"/>
  </r>
  <r>
    <s v="Lbj"/>
    <n v="2016"/>
    <x v="0"/>
    <n v="98"/>
    <n v="6.5"/>
    <x v="8"/>
    <n v="2.4700000000000002"/>
    <n v="7502"/>
  </r>
  <r>
    <s v="Dancer"/>
    <n v="2016"/>
    <x v="0"/>
    <n v="85"/>
    <n v="7.8"/>
    <x v="8"/>
    <n v="0.04"/>
    <n v="3142"/>
  </r>
  <r>
    <s v="In Bed With Victoria"/>
    <n v="2016"/>
    <x v="0"/>
    <n v="97"/>
    <n v="6.1"/>
    <x v="8"/>
    <n v="2.46"/>
    <n v="4143"/>
  </r>
  <r>
    <s v="A Journey Through French Cinema"/>
    <n v="2016"/>
    <x v="0"/>
    <n v="201"/>
    <n v="7.7"/>
    <x v="8"/>
    <n v="0.04"/>
    <n v="963"/>
  </r>
  <r>
    <s v="Colossal"/>
    <n v="2016"/>
    <x v="0"/>
    <n v="109"/>
    <n v="6.2"/>
    <x v="8"/>
    <n v="3.02"/>
    <n v="68018"/>
  </r>
  <r>
    <s v="Lady Macbeth"/>
    <n v="2016"/>
    <x v="0"/>
    <n v="89"/>
    <n v="6.8"/>
    <x v="8"/>
    <n v="1.1299999999999999"/>
    <n v="26033"/>
  </r>
  <r>
    <s v="The Crash"/>
    <n v="2017"/>
    <x v="1"/>
    <n v="84"/>
    <n v="4.2"/>
    <x v="8"/>
    <n v="2.46"/>
    <n v="1710"/>
  </r>
  <r>
    <s v="Wheeler"/>
    <n v="2017"/>
    <x v="0"/>
    <n v="100"/>
    <n v="5.9"/>
    <x v="8"/>
    <n v="2.46"/>
    <n v="507"/>
  </r>
  <r>
    <s v="Beauty And The Beast"/>
    <n v="2017"/>
    <x v="0"/>
    <n v="129"/>
    <n v="7.1"/>
    <x v="8"/>
    <n v="504.01"/>
    <n v="327439"/>
  </r>
  <r>
    <s v="Iboy"/>
    <n v="2017"/>
    <x v="1"/>
    <n v="90"/>
    <n v="5.9"/>
    <x v="8"/>
    <n v="2.46"/>
    <n v="24040"/>
  </r>
  <r>
    <s v="Xx"/>
    <n v="2017"/>
    <x v="0"/>
    <n v="80"/>
    <n v="4.5999999999999996"/>
    <x v="8"/>
    <n v="0.03"/>
    <n v="12275"/>
  </r>
  <r>
    <s v="I Don'T Feel At Home In This World Anymore."/>
    <n v="2017"/>
    <x v="1"/>
    <n v="93"/>
    <n v="6.9"/>
    <x v="8"/>
    <n v="2.46"/>
    <n v="62697"/>
  </r>
  <r>
    <s v="Aftermath"/>
    <n v="2017"/>
    <x v="1"/>
    <n v="94"/>
    <n v="5.7"/>
    <x v="8"/>
    <n v="2.46"/>
    <n v="26379"/>
  </r>
  <r>
    <s v="Logan"/>
    <n v="2017"/>
    <x v="0"/>
    <n v="137"/>
    <n v="8.1"/>
    <x v="8"/>
    <n v="226.28"/>
    <n v="809547"/>
  </r>
  <r>
    <s v="A Dog'S Purpose"/>
    <n v="2017"/>
    <x v="0"/>
    <n v="100"/>
    <n v="7.2"/>
    <x v="8"/>
    <n v="64.510000000000005"/>
    <n v="77180"/>
  </r>
  <r>
    <s v="The Most Hated Woman In America"/>
    <n v="2017"/>
    <x v="0"/>
    <n v="91"/>
    <n v="6.1"/>
    <x v="8"/>
    <n v="2.46"/>
    <n v="7193"/>
  </r>
  <r>
    <s v="All Nighter"/>
    <n v="2017"/>
    <x v="0"/>
    <n v="86"/>
    <n v="5.8"/>
    <x v="8"/>
    <n v="2.46"/>
    <n v="7777"/>
  </r>
  <r>
    <s v="Lost In Florence"/>
    <n v="2017"/>
    <x v="0"/>
    <n v="97"/>
    <n v="5.0999999999999996"/>
    <x v="8"/>
    <n v="2.46"/>
    <n v="1018"/>
  </r>
  <r>
    <s v="The Discovery"/>
    <n v="2017"/>
    <x v="0"/>
    <n v="102"/>
    <n v="6.2"/>
    <x v="8"/>
    <n v="2.46"/>
    <n v="36702"/>
  </r>
  <r>
    <s v="The Space Between Us"/>
    <n v="2017"/>
    <x v="0"/>
    <n v="120"/>
    <n v="6.4"/>
    <x v="8"/>
    <n v="7.89"/>
    <n v="55508"/>
  </r>
  <r>
    <s v="This Is Everything: Gigi Gorgeous"/>
    <n v="2017"/>
    <x v="0"/>
    <n v="91"/>
    <n v="6.5"/>
    <x v="8"/>
    <n v="2.46"/>
    <n v="327"/>
  </r>
  <r>
    <s v="Ghost In The Shell"/>
    <n v="2017"/>
    <x v="1"/>
    <n v="107"/>
    <n v="6.3"/>
    <x v="8"/>
    <n v="40.56"/>
    <n v="224420"/>
  </r>
  <r>
    <s v="Bokeh"/>
    <n v="2017"/>
    <x v="0"/>
    <n v="92"/>
    <n v="5"/>
    <x v="8"/>
    <n v="2.46"/>
    <n v="7764"/>
  </r>
  <r>
    <s v="Stratton"/>
    <n v="2017"/>
    <x v="0"/>
    <n v="94"/>
    <n v="4.8"/>
    <x v="8"/>
    <n v="2.46"/>
    <n v="5521"/>
  </r>
  <r>
    <s v="I Am Heath Ledger"/>
    <n v="2017"/>
    <x v="0"/>
    <n v="90"/>
    <n v="7.3"/>
    <x v="8"/>
    <n v="2.46"/>
    <n v="6812"/>
  </r>
  <r>
    <s v="Life"/>
    <n v="2017"/>
    <x v="0"/>
    <n v="104"/>
    <n v="6.6"/>
    <x v="8"/>
    <n v="30.23"/>
    <n v="246308"/>
  </r>
  <r>
    <s v="Once Upon A Time In Venice"/>
    <n v="2017"/>
    <x v="0"/>
    <n v="94"/>
    <n v="5.3"/>
    <x v="8"/>
    <n v="2.46"/>
    <n v="20585"/>
  </r>
  <r>
    <s v="Power Rangers"/>
    <n v="2017"/>
    <x v="0"/>
    <n v="124"/>
    <n v="5.9"/>
    <x v="8"/>
    <n v="85.36"/>
    <n v="112570"/>
  </r>
  <r>
    <s v="The Hunter'S Prayer"/>
    <n v="2017"/>
    <x v="0"/>
    <n v="91"/>
    <n v="5.5"/>
    <x v="8"/>
    <n v="2.46"/>
    <n v="10217"/>
  </r>
  <r>
    <s v="Get Out"/>
    <n v="2017"/>
    <x v="0"/>
    <n v="104"/>
    <n v="7.8"/>
    <x v="8"/>
    <n v="176.04"/>
    <n v="669678"/>
  </r>
  <r>
    <s v="Sandy Wexler"/>
    <n v="2017"/>
    <x v="0"/>
    <n v="130"/>
    <n v="5.2"/>
    <x v="8"/>
    <n v="2.46"/>
    <n v="18458"/>
  </r>
  <r>
    <s v="Sand Castle"/>
    <n v="2017"/>
    <x v="0"/>
    <n v="113"/>
    <n v="6.3"/>
    <x v="8"/>
    <n v="2.46"/>
    <n v="26293"/>
  </r>
  <r>
    <s v="Kill Switch"/>
    <n v="2017"/>
    <x v="0"/>
    <n v="91"/>
    <n v="4.7"/>
    <x v="8"/>
    <n v="2.46"/>
    <n v="8436"/>
  </r>
  <r>
    <s v="Song To Song"/>
    <n v="2017"/>
    <x v="0"/>
    <n v="129"/>
    <n v="5.6"/>
    <x v="8"/>
    <n v="0.44"/>
    <n v="22093"/>
  </r>
  <r>
    <s v="Drone"/>
    <n v="2017"/>
    <x v="0"/>
    <n v="91"/>
    <n v="5.4"/>
    <x v="8"/>
    <n v="2.46"/>
    <n v="6693"/>
  </r>
  <r>
    <s v="The Zookeeper'S Wife"/>
    <n v="2017"/>
    <x v="0"/>
    <n v="127"/>
    <n v="7"/>
    <x v="8"/>
    <n v="17.45"/>
    <n v="45650"/>
  </r>
  <r>
    <s v="Sleepless"/>
    <n v="2017"/>
    <x v="1"/>
    <n v="95"/>
    <n v="5.6"/>
    <x v="8"/>
    <n v="20.78"/>
    <n v="33819"/>
  </r>
  <r>
    <s v="Voice From The Stone"/>
    <n v="2017"/>
    <x v="0"/>
    <n v="94"/>
    <n v="5.2"/>
    <x v="8"/>
    <n v="2.46"/>
    <n v="11996"/>
  </r>
  <r>
    <s v="Before I Fall"/>
    <n v="2017"/>
    <x v="2"/>
    <n v="98"/>
    <n v="6.4"/>
    <x v="8"/>
    <n v="12.24"/>
    <n v="55654"/>
  </r>
  <r>
    <s v="Black Butterfly"/>
    <n v="2017"/>
    <x v="2"/>
    <n v="93"/>
    <n v="6.1"/>
    <x v="8"/>
    <n v="2.46"/>
    <n v="14708"/>
  </r>
  <r>
    <s v="Gifted"/>
    <n v="2017"/>
    <x v="0"/>
    <n v="101"/>
    <n v="7.6"/>
    <x v="8"/>
    <n v="24.8"/>
    <n v="126826"/>
  </r>
  <r>
    <s v="Alien: Covenant"/>
    <n v="2017"/>
    <x v="1"/>
    <n v="122"/>
    <n v="6.4"/>
    <x v="8"/>
    <n v="74.260000000000005"/>
    <n v="296089"/>
  </r>
  <r>
    <s v="Becoming Bond"/>
    <n v="2017"/>
    <x v="0"/>
    <n v="95"/>
    <n v="7.5"/>
    <x v="8"/>
    <n v="2.46"/>
    <n v="3141"/>
  </r>
  <r>
    <s v="Wonder Woman"/>
    <n v="2017"/>
    <x v="1"/>
    <n v="141"/>
    <n v="7.4"/>
    <x v="8"/>
    <n v="412.56"/>
    <n v="687756"/>
  </r>
  <r>
    <s v="I Am Jane Doe"/>
    <n v="2017"/>
    <x v="0"/>
    <n v="91"/>
    <n v="6.8"/>
    <x v="8"/>
    <n v="2.46"/>
    <n v="1641"/>
  </r>
  <r>
    <s v="The Circle"/>
    <n v="2017"/>
    <x v="0"/>
    <n v="110"/>
    <n v="5.3"/>
    <x v="8"/>
    <n v="20.5"/>
    <n v="98074"/>
  </r>
  <r>
    <s v="Chips"/>
    <n v="2017"/>
    <x v="0"/>
    <n v="100"/>
    <n v="6"/>
    <x v="8"/>
    <n v="18.600000000000001"/>
    <n v="50140"/>
  </r>
  <r>
    <s v="The Shack"/>
    <n v="2017"/>
    <x v="0"/>
    <n v="132"/>
    <n v="6.3"/>
    <x v="8"/>
    <n v="57.39"/>
    <n v="38389"/>
  </r>
  <r>
    <s v="The Last Word"/>
    <n v="2017"/>
    <x v="0"/>
    <n v="108"/>
    <n v="6.6"/>
    <x v="8"/>
    <n v="1.78"/>
    <n v="8728"/>
  </r>
  <r>
    <s v="Small Crimes"/>
    <n v="2017"/>
    <x v="0"/>
    <n v="95"/>
    <n v="5.8"/>
    <x v="8"/>
    <n v="2.46"/>
    <n v="8738"/>
  </r>
  <r>
    <s v="The Sense Of An Ending"/>
    <n v="2017"/>
    <x v="0"/>
    <n v="108"/>
    <n v="6.4"/>
    <x v="8"/>
    <n v="1.24"/>
    <n v="7132"/>
  </r>
  <r>
    <s v="The Mummy"/>
    <n v="2017"/>
    <x v="0"/>
    <n v="111"/>
    <n v="5.4"/>
    <x v="8"/>
    <n v="80.099999999999994"/>
    <n v="201627"/>
  </r>
  <r>
    <s v="John Wick: Chapter 2"/>
    <n v="2017"/>
    <x v="0"/>
    <n v="122"/>
    <n v="7.4"/>
    <x v="8"/>
    <n v="92.03"/>
    <n v="495833"/>
  </r>
  <r>
    <s v="Table 19"/>
    <n v="2017"/>
    <x v="0"/>
    <n v="87"/>
    <n v="5.8"/>
    <x v="8"/>
    <n v="3.61"/>
    <n v="30471"/>
  </r>
  <r>
    <s v="Fast &amp; Furious 8"/>
    <n v="2017"/>
    <x v="0"/>
    <n v="136"/>
    <n v="6.6"/>
    <x v="8"/>
    <n v="226.01"/>
    <n v="248406"/>
  </r>
  <r>
    <s v="Wilson"/>
    <n v="2017"/>
    <x v="0"/>
    <n v="94"/>
    <n v="5.8"/>
    <x v="8"/>
    <n v="0.65"/>
    <n v="10948"/>
  </r>
  <r>
    <s v="War Machine"/>
    <n v="2017"/>
    <x v="0"/>
    <n v="122"/>
    <n v="6"/>
    <x v="8"/>
    <n v="2.46"/>
    <n v="49350"/>
  </r>
  <r>
    <s v="Kong: Skull Island"/>
    <n v="2017"/>
    <x v="0"/>
    <n v="118"/>
    <n v="6.7"/>
    <x v="8"/>
    <n v="168.05"/>
    <n v="337553"/>
  </r>
  <r>
    <s v="Xxx: Return Of Xander Cage"/>
    <n v="2017"/>
    <x v="0"/>
    <n v="107"/>
    <n v="5.2"/>
    <x v="8"/>
    <n v="44.9"/>
    <n v="96026"/>
  </r>
  <r>
    <s v="King Arthur: Legend Of The Sword"/>
    <n v="2017"/>
    <x v="0"/>
    <n v="126"/>
    <n v="6.7"/>
    <x v="8"/>
    <n v="39.18"/>
    <n v="227912"/>
  </r>
  <r>
    <s v="Kidnap"/>
    <n v="2017"/>
    <x v="0"/>
    <n v="95"/>
    <n v="5.9"/>
    <x v="8"/>
    <n v="30.72"/>
    <n v="38587"/>
  </r>
  <r>
    <s v="The Boss Baby"/>
    <n v="2017"/>
    <x v="1"/>
    <n v="97"/>
    <n v="6.3"/>
    <x v="8"/>
    <n v="175"/>
    <n v="137366"/>
  </r>
  <r>
    <s v="The Dinner"/>
    <n v="2017"/>
    <x v="0"/>
    <n v="120"/>
    <n v="4.5"/>
    <x v="8"/>
    <n v="1.32"/>
    <n v="9274"/>
  </r>
  <r>
    <s v="First Kill"/>
    <n v="2017"/>
    <x v="2"/>
    <n v="97"/>
    <n v="5"/>
    <x v="8"/>
    <n v="2.46"/>
    <n v="12265"/>
  </r>
  <r>
    <s v="The Ottoman Lieutenant"/>
    <n v="2017"/>
    <x v="1"/>
    <n v="106"/>
    <n v="6.4"/>
    <x v="8"/>
    <n v="2.46"/>
    <n v="26504"/>
  </r>
  <r>
    <s v="Viceroy'S House"/>
    <n v="2017"/>
    <x v="1"/>
    <n v="106"/>
    <n v="6.7"/>
    <x v="8"/>
    <n v="1.1100000000000001"/>
    <n v="8459"/>
  </r>
  <r>
    <s v="Eagles Of Death Metal: Nos Amis"/>
    <n v="2017"/>
    <x v="0"/>
    <n v="84"/>
    <n v="7.9"/>
    <x v="8"/>
    <n v="2.46"/>
    <n v="1001"/>
  </r>
  <r>
    <s v="Saving Banksy"/>
    <n v="2017"/>
    <x v="0"/>
    <n v="80"/>
    <n v="6.8"/>
    <x v="8"/>
    <n v="0.05"/>
    <n v="1095"/>
  </r>
  <r>
    <s v="Deidra &amp; Laney Rob A Train"/>
    <n v="2017"/>
    <x v="1"/>
    <n v="92"/>
    <n v="6"/>
    <x v="8"/>
    <n v="2.46"/>
    <n v="2057"/>
  </r>
  <r>
    <s v="T2 Trainspotting"/>
    <n v="2017"/>
    <x v="0"/>
    <n v="117"/>
    <n v="7.2"/>
    <x v="8"/>
    <n v="2.4"/>
    <n v="130721"/>
  </r>
  <r>
    <s v="Person To Person"/>
    <n v="2017"/>
    <x v="0"/>
    <n v="84"/>
    <n v="5.7"/>
    <x v="8"/>
    <n v="0.05"/>
    <n v="1770"/>
  </r>
  <r>
    <s v="Beatriz At Dinner"/>
    <n v="2017"/>
    <x v="0"/>
    <n v="82"/>
    <n v="6"/>
    <x v="8"/>
    <n v="7.12"/>
    <n v="10683"/>
  </r>
  <r>
    <s v="Shot Caller"/>
    <n v="2017"/>
    <x v="0"/>
    <n v="121"/>
    <n v="7.3"/>
    <x v="8"/>
    <n v="2.46"/>
    <n v="93776"/>
  </r>
  <r>
    <s v="My Cousin Rachel"/>
    <n v="2017"/>
    <x v="0"/>
    <n v="106"/>
    <n v="6"/>
    <x v="8"/>
    <n v="2.68"/>
    <n v="20542"/>
  </r>
  <r>
    <s v="All Eyez On Me"/>
    <n v="2017"/>
    <x v="0"/>
    <n v="139"/>
    <n v="5.9"/>
    <x v="8"/>
    <n v="44.92"/>
    <n v="24401"/>
  </r>
  <r>
    <s v="Tom Of Finland"/>
    <n v="2017"/>
    <x v="0"/>
    <n v="117"/>
    <n v="6.8"/>
    <x v="8"/>
    <n v="0.38"/>
    <n v="6317"/>
  </r>
  <r>
    <s v="6 Days"/>
    <n v="2017"/>
    <x v="0"/>
    <n v="94"/>
    <n v="6.2"/>
    <x v="8"/>
    <n v="2.46"/>
    <n v="24006"/>
  </r>
  <r>
    <s v="Gaga: Five Foot Two"/>
    <n v="2017"/>
    <x v="0"/>
    <n v="100"/>
    <n v="7"/>
    <x v="8"/>
    <n v="2.46"/>
    <n v="13535"/>
  </r>
  <r>
    <s v="Killing Gunther"/>
    <n v="2017"/>
    <x v="0"/>
    <n v="92"/>
    <n v="4.8"/>
    <x v="8"/>
    <n v="2.46"/>
    <n v="15024"/>
  </r>
  <r>
    <s v="The Little Hours"/>
    <n v="2017"/>
    <x v="0"/>
    <n v="90"/>
    <n v="5.8"/>
    <x v="8"/>
    <n v="1.65"/>
    <n v="24869"/>
  </r>
  <r>
    <s v="Death Note"/>
    <n v="2017"/>
    <x v="0"/>
    <n v="101"/>
    <n v="4.5999999999999996"/>
    <x v="8"/>
    <n v="2.46"/>
    <n v="89194"/>
  </r>
  <r>
    <s v="Unforgettable"/>
    <n v="2017"/>
    <x v="0"/>
    <n v="100"/>
    <n v="5.0999999999999996"/>
    <x v="8"/>
    <n v="11.27"/>
    <n v="16565"/>
  </r>
  <r>
    <s v="Guardians Of The Galaxy: Vol. 2"/>
    <n v="2017"/>
    <x v="0"/>
    <n v="136"/>
    <n v="7.6"/>
    <x v="8"/>
    <n v="389.81"/>
    <n v="740875"/>
  </r>
  <r>
    <s v="Speech &amp; Debate"/>
    <n v="2017"/>
    <x v="0"/>
    <n v="105"/>
    <n v="5.9"/>
    <x v="8"/>
    <n v="2.46"/>
    <n v="1450"/>
  </r>
  <r>
    <s v="Baywatch"/>
    <n v="2017"/>
    <x v="0"/>
    <n v="116"/>
    <n v="5.5"/>
    <x v="8"/>
    <n v="58.06"/>
    <n v="197900"/>
  </r>
  <r>
    <s v="Okja"/>
    <n v="2017"/>
    <x v="0"/>
    <n v="120"/>
    <n v="7.3"/>
    <x v="8"/>
    <n v="2.46"/>
    <n v="129484"/>
  </r>
  <r>
    <s v="Churchill"/>
    <n v="2017"/>
    <x v="1"/>
    <n v="105"/>
    <n v="6"/>
    <x v="8"/>
    <n v="1.28"/>
    <n v="15620"/>
  </r>
  <r>
    <s v="The Hitman'S Bodyguard"/>
    <n v="2017"/>
    <x v="0"/>
    <n v="118"/>
    <n v="6.9"/>
    <x v="8"/>
    <n v="75.47"/>
    <n v="242481"/>
  </r>
  <r>
    <s v="The Dark Tower"/>
    <n v="2017"/>
    <x v="0"/>
    <n v="95"/>
    <n v="5.6"/>
    <x v="8"/>
    <n v="50.7"/>
    <n v="143982"/>
  </r>
  <r>
    <s v="Atomic Blonde"/>
    <n v="2017"/>
    <x v="0"/>
    <n v="115"/>
    <n v="6.7"/>
    <x v="8"/>
    <n v="51.69"/>
    <n v="203206"/>
  </r>
  <r>
    <s v="The Death And Life Of Marsha P. Johnson"/>
    <n v="2017"/>
    <x v="0"/>
    <n v="105"/>
    <n v="7.2"/>
    <x v="8"/>
    <n v="2.46"/>
    <n v="3142"/>
  </r>
  <r>
    <s v="What Happened To Monday"/>
    <n v="2017"/>
    <x v="0"/>
    <n v="123"/>
    <n v="6.8"/>
    <x v="8"/>
    <n v="2.46"/>
    <n v="131249"/>
  </r>
  <r>
    <s v="Rex"/>
    <n v="2017"/>
    <x v="0"/>
    <n v="116"/>
    <n v="7.1"/>
    <x v="8"/>
    <n v="13.41"/>
    <n v="25668"/>
  </r>
  <r>
    <s v="Wind River"/>
    <n v="2017"/>
    <x v="0"/>
    <n v="107"/>
    <n v="7.7"/>
    <x v="8"/>
    <n v="33.799999999999997"/>
    <n v="271626"/>
  </r>
  <r>
    <s v="The Hero"/>
    <n v="2017"/>
    <x v="0"/>
    <n v="96"/>
    <n v="6.5"/>
    <x v="8"/>
    <n v="4.08"/>
    <n v="10286"/>
  </r>
  <r>
    <s v="Landline"/>
    <n v="2017"/>
    <x v="0"/>
    <n v="97"/>
    <n v="6.4"/>
    <x v="8"/>
    <n v="0.94"/>
    <n v="4840"/>
  </r>
  <r>
    <s v="The Only Living Boy In New York"/>
    <n v="2017"/>
    <x v="0"/>
    <n v="89"/>
    <n v="6.3"/>
    <x v="8"/>
    <n v="0.62"/>
    <n v="16618"/>
  </r>
  <r>
    <s v="Never Here"/>
    <n v="2017"/>
    <x v="0"/>
    <n v="110"/>
    <n v="4.2"/>
    <x v="8"/>
    <n v="2.46"/>
    <n v="1012"/>
  </r>
  <r>
    <s v="A Ghost Story"/>
    <n v="2017"/>
    <x v="0"/>
    <n v="92"/>
    <n v="6.8"/>
    <x v="8"/>
    <n v="1.6"/>
    <n v="77551"/>
  </r>
  <r>
    <s v="The Beguiled"/>
    <n v="2017"/>
    <x v="0"/>
    <n v="93"/>
    <n v="6.3"/>
    <x v="8"/>
    <n v="10.58"/>
    <n v="60619"/>
  </r>
  <r>
    <s v="A Very Sordid Wedding"/>
    <n v="2017"/>
    <x v="0"/>
    <n v="109"/>
    <n v="5.4"/>
    <x v="8"/>
    <n v="2.46"/>
    <n v="1665"/>
  </r>
  <r>
    <s v="Baby Driver"/>
    <n v="2017"/>
    <x v="0"/>
    <n v="113"/>
    <n v="7.6"/>
    <x v="8"/>
    <n v="107.83"/>
    <n v="587601"/>
  </r>
  <r>
    <s v="Valerian And The City Of A Thousand Planets"/>
    <n v="2017"/>
    <x v="0"/>
    <n v="136"/>
    <n v="6.4"/>
    <x v="8"/>
    <n v="41.19"/>
    <n v="193110"/>
  </r>
  <r>
    <s v="Ingrid Goes West"/>
    <n v="2017"/>
    <x v="0"/>
    <n v="98"/>
    <n v="6.6"/>
    <x v="8"/>
    <n v="3.02"/>
    <n v="47085"/>
  </r>
  <r>
    <s v="God'S Own Country"/>
    <n v="2017"/>
    <x v="0"/>
    <n v="104"/>
    <n v="7.6"/>
    <x v="8"/>
    <n v="0.34"/>
    <n v="34403"/>
  </r>
  <r>
    <s v="Gun Shy"/>
    <n v="2017"/>
    <x v="0"/>
    <n v="92"/>
    <n v="4.0999999999999996"/>
    <x v="8"/>
    <n v="2.46"/>
    <n v="3289"/>
  </r>
  <r>
    <s v="The Glass Castle"/>
    <n v="2017"/>
    <x v="0"/>
    <n v="127"/>
    <n v="7.1"/>
    <x v="8"/>
    <n v="17.27"/>
    <n v="37530"/>
  </r>
  <r>
    <s v="Acts Of Vengeance"/>
    <n v="2017"/>
    <x v="0"/>
    <n v="87"/>
    <n v="5.7"/>
    <x v="8"/>
    <n v="2.46"/>
    <n v="13347"/>
  </r>
  <r>
    <s v="American Made"/>
    <n v="2017"/>
    <x v="0"/>
    <n v="115"/>
    <n v="7.1"/>
    <x v="8"/>
    <n v="51.34"/>
    <n v="201802"/>
  </r>
  <r>
    <s v="L'Amant Double"/>
    <n v="2017"/>
    <x v="0"/>
    <n v="107"/>
    <n v="6.2"/>
    <x v="8"/>
    <n v="0.17"/>
    <n v="13346"/>
  </r>
  <r>
    <s v="Walking Out"/>
    <n v="2017"/>
    <x v="0"/>
    <n v="95"/>
    <n v="5.8"/>
    <x v="8"/>
    <n v="0.1"/>
    <n v="6613"/>
  </r>
  <r>
    <s v="Tulip Fever"/>
    <n v="2017"/>
    <x v="0"/>
    <n v="105"/>
    <n v="6.2"/>
    <x v="8"/>
    <n v="2.4300000000000002"/>
    <n v="22509"/>
  </r>
  <r>
    <s v="To The Bone"/>
    <n v="2017"/>
    <x v="0"/>
    <n v="107"/>
    <n v="6.8"/>
    <x v="8"/>
    <n v="2.46"/>
    <n v="53584"/>
  </r>
  <r>
    <s v="The Young Karl Marx"/>
    <n v="2017"/>
    <x v="0"/>
    <n v="118"/>
    <n v="6.6"/>
    <x v="8"/>
    <n v="0.13"/>
    <n v="7111"/>
  </r>
  <r>
    <s v="Whitney: Can I Be Me"/>
    <n v="2017"/>
    <x v="0"/>
    <n v="105"/>
    <n v="6.8"/>
    <x v="8"/>
    <n v="2.46"/>
    <n v="5100"/>
  </r>
  <r>
    <s v="One Of Us"/>
    <n v="2017"/>
    <x v="0"/>
    <n v="95"/>
    <n v="7"/>
    <x v="8"/>
    <n v="2.46"/>
    <n v="7044"/>
  </r>
  <r>
    <s v="War For The Planet Of The Apes"/>
    <n v="2017"/>
    <x v="0"/>
    <n v="140"/>
    <n v="7.4"/>
    <x v="8"/>
    <n v="146.88"/>
    <n v="273503"/>
  </r>
  <r>
    <s v="Unrest"/>
    <n v="2017"/>
    <x v="0"/>
    <n v="98"/>
    <n v="7.5"/>
    <x v="8"/>
    <n v="0.04"/>
    <n v="3164"/>
  </r>
  <r>
    <s v="Mudbound"/>
    <n v="2017"/>
    <x v="0"/>
    <n v="134"/>
    <n v="7.4"/>
    <x v="8"/>
    <n v="2.46"/>
    <n v="52994"/>
  </r>
  <r>
    <s v="120 Bpm"/>
    <n v="2017"/>
    <x v="0"/>
    <n v="143"/>
    <n v="7.4"/>
    <x v="8"/>
    <n v="0.13"/>
    <n v="16453"/>
  </r>
  <r>
    <s v="Victoria &amp; Abdul"/>
    <n v="2017"/>
    <x v="0"/>
    <n v="111"/>
    <n v="6.8"/>
    <x v="8"/>
    <n v="22.25"/>
    <n v="37633"/>
  </r>
  <r>
    <s v="24 Hours To Live"/>
    <n v="2017"/>
    <x v="0"/>
    <n v="93"/>
    <n v="5.8"/>
    <x v="8"/>
    <n v="2.46"/>
    <n v="15622"/>
  </r>
  <r>
    <s v="Maya Dardel"/>
    <n v="2017"/>
    <x v="0"/>
    <n v="104"/>
    <n v="5.2"/>
    <x v="8"/>
    <n v="2.46"/>
    <n v="448"/>
  </r>
  <r>
    <s v="Dream Boat"/>
    <n v="2017"/>
    <x v="0"/>
    <n v="92"/>
    <n v="5.4"/>
    <x v="8"/>
    <n v="0"/>
    <n v="1729"/>
  </r>
  <r>
    <s v="Kingsman: The Golden Circle"/>
    <n v="2017"/>
    <x v="0"/>
    <n v="141"/>
    <n v="6.7"/>
    <x v="8"/>
    <n v="100.23"/>
    <n v="353008"/>
  </r>
  <r>
    <s v="Dunkirk"/>
    <n v="2017"/>
    <x v="0"/>
    <n v="106"/>
    <n v="7.8"/>
    <x v="8"/>
    <n v="188.37"/>
    <n v="717288"/>
  </r>
  <r>
    <s v="Beach Rats"/>
    <n v="2017"/>
    <x v="0"/>
    <n v="98"/>
    <n v="6.4"/>
    <x v="8"/>
    <n v="0.47"/>
    <n v="16052"/>
  </r>
  <r>
    <s v="Geostorm"/>
    <n v="2017"/>
    <x v="0"/>
    <n v="109"/>
    <n v="5.3"/>
    <x v="8"/>
    <n v="33.700000000000003"/>
    <n v="115394"/>
  </r>
  <r>
    <s v="Rodin"/>
    <n v="2017"/>
    <x v="0"/>
    <n v="119"/>
    <n v="5"/>
    <x v="8"/>
    <n v="0.04"/>
    <n v="1405"/>
  </r>
  <r>
    <s v="The Mountain Between Us"/>
    <n v="2017"/>
    <x v="0"/>
    <n v="112"/>
    <n v="6.4"/>
    <x v="8"/>
    <n v="30.35"/>
    <n v="79508"/>
  </r>
  <r>
    <s v="The Killing Of A Sacred Deer"/>
    <n v="2017"/>
    <x v="0"/>
    <n v="121"/>
    <n v="7"/>
    <x v="8"/>
    <n v="2.29"/>
    <n v="171881"/>
  </r>
  <r>
    <s v="The Tribes Of Palos Verdes"/>
    <n v="2017"/>
    <x v="0"/>
    <n v="104"/>
    <n v="5.8"/>
    <x v="8"/>
    <n v="0"/>
    <n v="2816"/>
  </r>
  <r>
    <s v="Brawl In Cell Block 99"/>
    <n v="2017"/>
    <x v="0"/>
    <n v="132"/>
    <n v="7.1"/>
    <x v="8"/>
    <n v="2.46"/>
    <n v="72588"/>
  </r>
  <r>
    <s v="Star Wars: Episode Viii - The Last Jedi"/>
    <n v="2017"/>
    <x v="0"/>
    <n v="152"/>
    <n v="6.9"/>
    <x v="8"/>
    <n v="620.17999999999995"/>
    <n v="659896"/>
  </r>
  <r>
    <s v="Battle Of The Sexes"/>
    <n v="2017"/>
    <x v="0"/>
    <n v="121"/>
    <n v="6.7"/>
    <x v="8"/>
    <n v="12.64"/>
    <n v="58746"/>
  </r>
  <r>
    <s v="Unlocked"/>
    <n v="2017"/>
    <x v="0"/>
    <n v="98"/>
    <n v="6.3"/>
    <x v="8"/>
    <n v="2.46"/>
    <n v="37833"/>
  </r>
  <r>
    <s v="Wheelman"/>
    <n v="2017"/>
    <x v="0"/>
    <n v="82"/>
    <n v="6.4"/>
    <x v="8"/>
    <n v="2.46"/>
    <n v="21924"/>
  </r>
  <r>
    <s v="Mark Felt: The Man Who Brought Down The White House"/>
    <n v="2017"/>
    <x v="0"/>
    <n v="103"/>
    <n v="6.4"/>
    <x v="8"/>
    <n v="0.77"/>
    <n v="14415"/>
  </r>
  <r>
    <s v="Thelma"/>
    <n v="2017"/>
    <x v="0"/>
    <n v="116"/>
    <n v="7"/>
    <x v="8"/>
    <n v="0.15"/>
    <n v="35741"/>
  </r>
  <r>
    <s v="Breathe"/>
    <n v="2017"/>
    <x v="0"/>
    <n v="118"/>
    <n v="7.1"/>
    <x v="8"/>
    <n v="0.49"/>
    <n v="24232"/>
  </r>
  <r>
    <s v="Justice League"/>
    <n v="2017"/>
    <x v="0"/>
    <n v="120"/>
    <n v="6.1"/>
    <x v="8"/>
    <n v="229.02"/>
    <n v="471553"/>
  </r>
  <r>
    <s v="Mother!"/>
    <n v="2017"/>
    <x v="0"/>
    <n v="121"/>
    <n v="6.6"/>
    <x v="8"/>
    <n v="17.8"/>
    <n v="243355"/>
  </r>
  <r>
    <s v="Princess Cyd"/>
    <n v="2017"/>
    <x v="0"/>
    <n v="96"/>
    <n v="6.7"/>
    <x v="8"/>
    <n v="2.46"/>
    <n v="4316"/>
  </r>
  <r>
    <s v="Blade Runner 2049"/>
    <n v="2017"/>
    <x v="0"/>
    <n v="164"/>
    <n v="8"/>
    <x v="8"/>
    <n v="92.05"/>
    <n v="631601"/>
  </r>
  <r>
    <s v="Call Me By Your Name"/>
    <n v="2017"/>
    <x v="0"/>
    <n v="132"/>
    <n v="7.8"/>
    <x v="8"/>
    <n v="18.100000000000001"/>
    <n v="300485"/>
  </r>
  <r>
    <s v="The Adventurers"/>
    <n v="2017"/>
    <x v="0"/>
    <n v="140"/>
    <n v="5.6"/>
    <x v="8"/>
    <n v="0.22"/>
    <n v="3282"/>
  </r>
  <r>
    <s v="Rememory"/>
    <n v="2017"/>
    <x v="0"/>
    <n v="111"/>
    <n v="6.1"/>
    <x v="8"/>
    <n v="2.46"/>
    <n v="17494"/>
  </r>
  <r>
    <s v="Marjorie Prime"/>
    <n v="2017"/>
    <x v="0"/>
    <n v="99"/>
    <n v="6.3"/>
    <x v="8"/>
    <n v="0.18"/>
    <n v="6787"/>
  </r>
  <r>
    <s v="It"/>
    <n v="2017"/>
    <x v="0"/>
    <n v="135"/>
    <n v="7.3"/>
    <x v="8"/>
    <n v="327.48"/>
    <n v="589755"/>
  </r>
  <r>
    <s v="Despicable Me 3"/>
    <n v="2017"/>
    <x v="0"/>
    <n v="89"/>
    <n v="6.2"/>
    <x v="8"/>
    <n v="264.62"/>
    <n v="147878"/>
  </r>
  <r>
    <s v="I, Tonya"/>
    <n v="2017"/>
    <x v="0"/>
    <n v="119"/>
    <n v="7.5"/>
    <x v="8"/>
    <n v="30.01"/>
    <n v="235784"/>
  </r>
  <r>
    <s v="Marshall"/>
    <n v="2017"/>
    <x v="0"/>
    <n v="118"/>
    <n v="7.3"/>
    <x v="8"/>
    <n v="10.050000000000001"/>
    <n v="26078"/>
  </r>
  <r>
    <s v="Bright"/>
    <n v="2017"/>
    <x v="0"/>
    <n v="117"/>
    <n v="6.3"/>
    <x v="8"/>
    <n v="2.46"/>
    <n v="198607"/>
  </r>
  <r>
    <s v="Crooked House"/>
    <n v="2017"/>
    <x v="0"/>
    <n v="115"/>
    <n v="6.3"/>
    <x v="8"/>
    <n v="2.46"/>
    <n v="26587"/>
  </r>
  <r>
    <s v="Beyond Skyline"/>
    <n v="2017"/>
    <x v="0"/>
    <n v="106"/>
    <n v="5.3"/>
    <x v="8"/>
    <n v="2.46"/>
    <n v="23053"/>
  </r>
  <r>
    <s v="Three Billboards Outside Ebbing, Missouri"/>
    <n v="2017"/>
    <x v="0"/>
    <n v="115"/>
    <n v="8.1"/>
    <x v="8"/>
    <n v="54.51"/>
    <n v="540260"/>
  </r>
  <r>
    <s v="Lady Bird"/>
    <n v="2017"/>
    <x v="0"/>
    <n v="94"/>
    <n v="7.4"/>
    <x v="8"/>
    <n v="48.96"/>
    <n v="316455"/>
  </r>
  <r>
    <s v="Coco"/>
    <n v="2017"/>
    <x v="0"/>
    <n v="105"/>
    <n v="8.4"/>
    <x v="8"/>
    <n v="209.73"/>
    <n v="563893"/>
  </r>
  <r>
    <s v="Borg Mcenroe"/>
    <n v="2017"/>
    <x v="0"/>
    <n v="107"/>
    <n v="6.9"/>
    <x v="8"/>
    <n v="14.11"/>
    <n v="33887"/>
  </r>
  <r>
    <s v="Hangman"/>
    <n v="2017"/>
    <x v="0"/>
    <n v="98"/>
    <n v="5.2"/>
    <x v="8"/>
    <n v="2.46"/>
    <n v="18532"/>
  </r>
  <r>
    <s v="Last Flag Flying"/>
    <n v="2017"/>
    <x v="0"/>
    <n v="125"/>
    <n v="6.9"/>
    <x v="8"/>
    <n v="0.97"/>
    <n v="27308"/>
  </r>
  <r>
    <s v="The Florida Project"/>
    <n v="2017"/>
    <x v="0"/>
    <n v="111"/>
    <n v="7.6"/>
    <x v="8"/>
    <n v="5.9"/>
    <n v="123734"/>
  </r>
  <r>
    <s v="Stronger"/>
    <n v="2017"/>
    <x v="0"/>
    <n v="119"/>
    <n v="6.9"/>
    <x v="8"/>
    <n v="4.21"/>
    <n v="48520"/>
  </r>
  <r>
    <s v="Rebel In The Rye"/>
    <n v="2017"/>
    <x v="0"/>
    <n v="106"/>
    <n v="6.7"/>
    <x v="8"/>
    <n v="0.38"/>
    <n v="10551"/>
  </r>
  <r>
    <s v="Wonderstruck"/>
    <n v="2017"/>
    <x v="0"/>
    <n v="116"/>
    <n v="6.2"/>
    <x v="8"/>
    <n v="1.03"/>
    <n v="10875"/>
  </r>
  <r>
    <s v="The Snowman"/>
    <n v="2017"/>
    <x v="0"/>
    <n v="119"/>
    <n v="5.0999999999999996"/>
    <x v="8"/>
    <n v="6.67"/>
    <n v="70065"/>
  </r>
  <r>
    <s v="Professor Marston And The Wonder Women"/>
    <n v="2017"/>
    <x v="0"/>
    <n v="108"/>
    <n v="7"/>
    <x v="8"/>
    <n v="1.59"/>
    <n v="28055"/>
  </r>
  <r>
    <s v="American Assassin"/>
    <n v="2017"/>
    <x v="0"/>
    <n v="111"/>
    <n v="6.2"/>
    <x v="8"/>
    <n v="36.25"/>
    <n v="87311"/>
  </r>
  <r>
    <s v="Goodbye Christopher Robin"/>
    <n v="2017"/>
    <x v="0"/>
    <n v="107"/>
    <n v="7.1"/>
    <x v="8"/>
    <n v="1.74"/>
    <n v="29252"/>
  </r>
  <r>
    <s v="The Shape Of Water"/>
    <n v="2017"/>
    <x v="0"/>
    <n v="123"/>
    <n v="7.3"/>
    <x v="8"/>
    <n v="63.86"/>
    <n v="439549"/>
  </r>
  <r>
    <s v="Brigsby Bear"/>
    <n v="2017"/>
    <x v="0"/>
    <n v="97"/>
    <n v="7.3"/>
    <x v="8"/>
    <n v="0.53"/>
    <n v="17546"/>
  </r>
  <r>
    <s v="Bullet Head"/>
    <n v="2017"/>
    <x v="0"/>
    <n v="93"/>
    <n v="5.4"/>
    <x v="8"/>
    <n v="2.46"/>
    <n v="11111"/>
  </r>
  <r>
    <s v="Wonder Wheel"/>
    <n v="2017"/>
    <x v="0"/>
    <n v="101"/>
    <n v="6.2"/>
    <x v="8"/>
    <n v="1.4"/>
    <n v="30356"/>
  </r>
  <r>
    <s v="Darkest Hour"/>
    <n v="2017"/>
    <x v="0"/>
    <n v="125"/>
    <n v="7.4"/>
    <x v="8"/>
    <n v="56.47"/>
    <n v="215073"/>
  </r>
  <r>
    <s v="The Foreigner"/>
    <n v="2017"/>
    <x v="0"/>
    <n v="113"/>
    <n v="7"/>
    <x v="8"/>
    <n v="34.39"/>
    <n v="121070"/>
  </r>
  <r>
    <s v="The Villainess"/>
    <n v="2017"/>
    <x v="0"/>
    <n v="124"/>
    <n v="6.6"/>
    <x v="8"/>
    <n v="0.03"/>
    <n v="16331"/>
  </r>
  <r>
    <s v="Thor: Ragnarok"/>
    <n v="2017"/>
    <x v="0"/>
    <n v="130"/>
    <n v="7.9"/>
    <x v="8"/>
    <n v="315.06"/>
    <n v="798053"/>
  </r>
  <r>
    <s v="Only The Brave"/>
    <n v="2017"/>
    <x v="0"/>
    <n v="134"/>
    <n v="7.6"/>
    <x v="8"/>
    <n v="18.34"/>
    <n v="75156"/>
  </r>
  <r>
    <s v="Molly'S Game"/>
    <n v="2017"/>
    <x v="0"/>
    <n v="140"/>
    <n v="7.4"/>
    <x v="8"/>
    <n v="28.78"/>
    <n v="183312"/>
  </r>
  <r>
    <s v="Murder On The Orient Express"/>
    <n v="2017"/>
    <x v="0"/>
    <n v="114"/>
    <n v="6.5"/>
    <x v="8"/>
    <n v="102.83"/>
    <n v="282170"/>
  </r>
  <r>
    <s v="Final Portrait"/>
    <n v="2017"/>
    <x v="0"/>
    <n v="90"/>
    <n v="6.2"/>
    <x v="8"/>
    <n v="0.46"/>
    <n v="5954"/>
  </r>
  <r>
    <s v="The Post"/>
    <n v="2017"/>
    <x v="0"/>
    <n v="116"/>
    <n v="7.2"/>
    <x v="8"/>
    <n v="81.900000000000006"/>
    <n v="159263"/>
  </r>
  <r>
    <s v="Suburbicon"/>
    <n v="2017"/>
    <x v="0"/>
    <n v="105"/>
    <n v="5.8"/>
    <x v="8"/>
    <n v="5.78"/>
    <n v="46546"/>
  </r>
  <r>
    <s v="Newness"/>
    <n v="2017"/>
    <x v="0"/>
    <n v="117"/>
    <n v="6.3"/>
    <x v="8"/>
    <n v="2.46"/>
    <n v="17769"/>
  </r>
  <r>
    <s v="Columbus"/>
    <n v="2017"/>
    <x v="0"/>
    <n v="104"/>
    <n v="7.2"/>
    <x v="8"/>
    <n v="1.02"/>
    <n v="20251"/>
  </r>
  <r>
    <s v="The Nile Hilton Incident"/>
    <n v="2017"/>
    <x v="0"/>
    <n v="111"/>
    <n v="6.8"/>
    <x v="8"/>
    <n v="0.08"/>
    <n v="9032"/>
  </r>
  <r>
    <s v="Roman J. Israel, Esq."/>
    <n v="2017"/>
    <x v="0"/>
    <n v="122"/>
    <n v="6.5"/>
    <x v="8"/>
    <n v="11.96"/>
    <n v="41972"/>
  </r>
  <r>
    <s v="Becks"/>
    <n v="2017"/>
    <x v="0"/>
    <n v="98"/>
    <n v="6.3"/>
    <x v="8"/>
    <n v="2.46"/>
    <n v="1236"/>
  </r>
  <r>
    <s v="Phantom Thread"/>
    <n v="2017"/>
    <x v="0"/>
    <n v="130"/>
    <n v="7.4"/>
    <x v="8"/>
    <n v="21.02"/>
    <n v="141596"/>
  </r>
  <r>
    <s v="Please Stand By"/>
    <n v="2017"/>
    <x v="0"/>
    <n v="93"/>
    <n v="6.7"/>
    <x v="8"/>
    <n v="0.01"/>
    <n v="14851"/>
  </r>
  <r>
    <s v="Loveless"/>
    <n v="2017"/>
    <x v="0"/>
    <n v="127"/>
    <n v="7.6"/>
    <x v="8"/>
    <n v="0.56999999999999995"/>
    <n v="34926"/>
  </r>
  <r>
    <s v="Lucky"/>
    <n v="2017"/>
    <x v="0"/>
    <n v="88"/>
    <n v="7.3"/>
    <x v="8"/>
    <n v="0.96"/>
    <n v="25433"/>
  </r>
  <r>
    <s v="Wonder"/>
    <n v="2017"/>
    <x v="0"/>
    <n v="113"/>
    <n v="7.9"/>
    <x v="8"/>
    <n v="132.41999999999999"/>
    <n v="174361"/>
  </r>
  <r>
    <s v="The Light Of The Moon"/>
    <n v="2017"/>
    <x v="0"/>
    <n v="90"/>
    <n v="6.3"/>
    <x v="8"/>
    <n v="2.46"/>
    <n v="977"/>
  </r>
  <r>
    <s v="Redoubtable"/>
    <n v="2017"/>
    <x v="0"/>
    <n v="107"/>
    <n v="6.6"/>
    <x v="8"/>
    <n v="0.08"/>
    <n v="5861"/>
  </r>
  <r>
    <s v="Sicilian Ghost Story"/>
    <n v="2017"/>
    <x v="0"/>
    <n v="122"/>
    <n v="6.5"/>
    <x v="8"/>
    <n v="0.02"/>
    <n v="2377"/>
  </r>
  <r>
    <s v="A Family"/>
    <n v="2017"/>
    <x v="0"/>
    <n v="97"/>
    <n v="5.2"/>
    <x v="8"/>
    <n v="2.46"/>
    <n v="217"/>
  </r>
  <r>
    <s v="Lover For A Day"/>
    <n v="2017"/>
    <x v="0"/>
    <n v="76"/>
    <n v="6.7"/>
    <x v="8"/>
    <n v="2.46"/>
    <n v="2400"/>
  </r>
  <r>
    <s v="Chavela"/>
    <n v="2017"/>
    <x v="0"/>
    <n v="93"/>
    <n v="7.7"/>
    <x v="8"/>
    <n v="0.15"/>
    <n v="1135"/>
  </r>
  <r>
    <s v="The Death Of Stalin"/>
    <n v="2017"/>
    <x v="0"/>
    <n v="107"/>
    <n v="7.2"/>
    <x v="8"/>
    <n v="8.0399999999999991"/>
    <n v="110335"/>
  </r>
  <r>
    <s v="Downsizing"/>
    <n v="2017"/>
    <x v="0"/>
    <n v="135"/>
    <n v="5.8"/>
    <x v="8"/>
    <n v="24.45"/>
    <n v="119368"/>
  </r>
  <r>
    <s v="Hollow In The Land"/>
    <n v="2017"/>
    <x v="0"/>
    <n v="92"/>
    <n v="5.6"/>
    <x v="8"/>
    <n v="2.46"/>
    <n v="1961"/>
  </r>
  <r>
    <s v="Spider-Man: Homecoming"/>
    <n v="2017"/>
    <x v="0"/>
    <n v="133"/>
    <n v="7.4"/>
    <x v="8"/>
    <n v="334.2"/>
    <n v="700901"/>
  </r>
  <r>
    <s v="The Party"/>
    <n v="2017"/>
    <x v="0"/>
    <n v="71"/>
    <n v="6.5"/>
    <x v="8"/>
    <n v="0.75"/>
    <n v="20249"/>
  </r>
  <r>
    <s v="The Greatest Showman"/>
    <n v="2017"/>
    <x v="0"/>
    <n v="105"/>
    <n v="7.5"/>
    <x v="8"/>
    <n v="174.34"/>
    <n v="301959"/>
  </r>
  <r>
    <s v="All The Money In The World"/>
    <n v="2017"/>
    <x v="0"/>
    <n v="132"/>
    <n v="6.8"/>
    <x v="8"/>
    <n v="25.11"/>
    <n v="89173"/>
  </r>
  <r>
    <s v="Mayhem"/>
    <n v="2017"/>
    <x v="0"/>
    <n v="86"/>
    <n v="6.4"/>
    <x v="8"/>
    <n v="2.46"/>
    <n v="24453"/>
  </r>
  <r>
    <s v="Good Time"/>
    <n v="2017"/>
    <x v="0"/>
    <n v="102"/>
    <n v="7.3"/>
    <x v="8"/>
    <n v="2.0299999999999998"/>
    <n v="134778"/>
  </r>
  <r>
    <s v="In Search Of Fellini"/>
    <n v="2017"/>
    <x v="0"/>
    <n v="93"/>
    <n v="6.2"/>
    <x v="8"/>
    <n v="0.01"/>
    <n v="2827"/>
  </r>
  <r>
    <s v="Film Stars Don'T Die In Liverpool"/>
    <n v="2017"/>
    <x v="0"/>
    <n v="105"/>
    <n v="6.7"/>
    <x v="8"/>
    <n v="1.03"/>
    <n v="10463"/>
  </r>
  <r>
    <s v="Acts Of Violence"/>
    <n v="2018"/>
    <x v="0"/>
    <n v="86"/>
    <n v="5.3"/>
    <x v="8"/>
    <n v="2.46"/>
    <n v="13178"/>
  </r>
  <r>
    <s v="Annihilation"/>
    <n v="2018"/>
    <x v="0"/>
    <n v="115"/>
    <n v="6.8"/>
    <x v="8"/>
    <n v="32.729999999999997"/>
    <n v="351489"/>
  </r>
  <r>
    <s v="The Outsider"/>
    <n v="2018"/>
    <x v="0"/>
    <n v="120"/>
    <n v="6.2"/>
    <x v="8"/>
    <n v="2.46"/>
    <n v="28329"/>
  </r>
  <r>
    <s v="Proud Mary"/>
    <n v="2018"/>
    <x v="0"/>
    <n v="89"/>
    <n v="5"/>
    <x v="8"/>
    <n v="20.87"/>
    <n v="10450"/>
  </r>
  <r>
    <s v="Irreplaceable You"/>
    <n v="2018"/>
    <x v="0"/>
    <n v="96"/>
    <n v="6.4"/>
    <x v="8"/>
    <n v="2.46"/>
    <n v="10217"/>
  </r>
  <r>
    <s v="Last Tango In Halifax"/>
    <n v="2020"/>
    <x v="0"/>
    <n v="60"/>
    <n v="8.4"/>
    <x v="9"/>
    <n v="2.46"/>
    <n v="8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AC7D5-A636-417B-8273-5EAC76DCA98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0" rowHeaderCaption="Decade">
  <location ref="C4:D10" firstHeaderRow="1" firstDataRow="1" firstDataCol="1"/>
  <pivotFields count="8">
    <pivotField showAll="0"/>
    <pivotField showAll="0"/>
    <pivotField showAll="0"/>
    <pivotField showAll="0"/>
    <pivotField dataField="1" showAll="0"/>
    <pivotField axis="axisRow" showAll="0">
      <items count="11">
        <item h="1" x="0"/>
        <item h="1" x="1"/>
        <item h="1"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</pivotFields>
  <rowFields count="1">
    <field x="5"/>
  </rowFields>
  <rowItems count="6"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Average of Ratings" fld="4" subtotal="average" baseField="5" baseItem="0" numFmtId="2"/>
  </dataFields>
  <formats count="1">
    <format dxfId="27">
      <pivotArea outline="0" collapsedLevelsAreSubtotals="1" fieldPosition="0"/>
    </format>
  </format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76B16-C5C6-4020-A2FB-BB0E5EB4247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Decade" colHeaderCaption="Age Ristriction">
  <location ref="H4:L11" firstHeaderRow="1" firstDataRow="2" firstDataCol="1"/>
  <pivotFields count="8"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axis="axisRow" showAll="0">
      <items count="11">
        <item h="1" x="0"/>
        <item h="1" x="1"/>
        <item h="1" x="2"/>
        <item x="3"/>
        <item x="4"/>
        <item x="5"/>
        <item x="6"/>
        <item x="7"/>
        <item x="8"/>
        <item h="1" x="9"/>
        <item t="default"/>
      </items>
    </pivotField>
    <pivotField showAll="0"/>
    <pivotField dataField="1" showAll="0"/>
  </pivotFields>
  <rowFields count="1">
    <field x="5"/>
  </rowFields>
  <rowItems count="6"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Average of Votes" fld="7" subtotal="average" baseField="5" baseItem="0" numFmtId="2"/>
  </dataFields>
  <formats count="1">
    <format dxfId="28">
      <pivotArea outline="0" collapsedLevelsAreSubtotals="1" fieldPosition="0"/>
    </format>
  </formats>
  <conditionalFormats count="1">
    <conditionalFormat priority="1">
      <pivotAreas count="1">
        <pivotArea fieldPosition="0">
          <references count="1">
            <reference field="5" count="0"/>
          </references>
        </pivotArea>
      </pivotAreas>
    </conditionalFormat>
  </conditionalFormats>
  <chartFormats count="4"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3189FD-0893-41CA-A6A7-CB3CE9A60D7F}" autoFormatId="16" applyNumberFormats="0" applyBorderFormats="0" applyFontFormats="0" applyPatternFormats="0" applyAlignmentFormats="0" applyWidthHeightFormats="0">
  <queryTableRefresh nextId="14">
    <queryTableFields count="8">
      <queryTableField id="1" name="movie_name" tableColumnId="1"/>
      <queryTableField id="2" name="Year" tableColumnId="2"/>
      <queryTableField id="11" name="Age Restriction" tableColumnId="11"/>
      <queryTableField id="4" name="Duration(minutes)" tableColumnId="4"/>
      <queryTableField id="5" name="Ratings" tableColumnId="5"/>
      <queryTableField id="10" dataBound="0" tableColumnId="10"/>
      <queryTableField id="6" name="Gross Profit($M)" tableColumnId="6"/>
      <queryTableField id="7" name="Vote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6662A6-98C6-47F2-B194-B8D4EEE5CC45}" autoFormatId="16" applyNumberFormats="0" applyBorderFormats="0" applyFontFormats="0" applyPatternFormats="0" applyAlignmentFormats="0" applyWidthHeightFormats="0">
  <queryTableRefresh nextId="8">
    <queryTableFields count="3">
      <queryTableField id="1" name="Decade" tableColumnId="1"/>
      <queryTableField id="2" name="Highest Grossing Movie Per Decade" tableColumnId="2"/>
      <queryTableField id="3" name="Grossing Profit" tableColumnId="3"/>
    </queryTableFields>
    <queryTableDeletedFields count="2">
      <deletedField name="Highest Grossing Movie By Age Restriction"/>
      <deletedField name="GrossProfit - Copy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9449D-8C63-4B5A-B051-FDDCA48A8AEA}" name="Table1" displayName="Table1" ref="A1:G1965" totalsRowShown="0">
  <autoFilter ref="A1:G1965" xr:uid="{4BA9449D-8C63-4B5A-B051-FDDCA48A8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1965">
    <sortCondition ref="B1:B1965"/>
  </sortState>
  <tableColumns count="7">
    <tableColumn id="1" xr3:uid="{6EC85FC5-2354-49CE-9FE0-FE8A557B0A2B}" name="movie_name"/>
    <tableColumn id="2" xr3:uid="{B8D4CBCA-848B-499F-B28C-A7D4C9197D38}" name="Year"/>
    <tableColumn id="3" xr3:uid="{62567029-5B66-4D6F-A46D-E552EEE3BD1D}" name="Age"/>
    <tableColumn id="4" xr3:uid="{7DCD7820-7DE0-446E-BAEB-398B60BDC7AC}" name="Duration(minutes)"/>
    <tableColumn id="5" xr3:uid="{67A4B546-4171-48A7-B8E4-8CB2182F0C23}" name="Ratings"/>
    <tableColumn id="6" xr3:uid="{A2799E79-61B4-4563-9DC6-296EEC317990}" name="Gross Profit($M)"/>
    <tableColumn id="7" xr3:uid="{346A2577-3E0A-4622-9955-CAA0E355EEA7}" name="Votes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B52DE8-E7E1-4DB3-9486-061740E1410E}" name="Cleaned___Transformed_IMDB_Movies_dataset" displayName="Cleaned___Transformed_IMDB_Movies_dataset" ref="A3:H1957" tableType="queryTable" totalsRowShown="0" headerRowDxfId="42" dataDxfId="40" headerRowBorderDxfId="41" tableBorderDxfId="39" totalsRowBorderDxfId="38">
  <autoFilter ref="A3:H1957" xr:uid="{FEB52DE8-E7E1-4DB3-9486-061740E141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01B6BF6-7757-43F2-88F1-DA28C80F7C82}" uniqueName="1" name="Movie Name (Title)" queryTableFieldId="1" dataDxfId="37"/>
    <tableColumn id="2" xr3:uid="{83083D8B-F5F2-4734-B475-D6F146CB9779}" uniqueName="2" name="Year" queryTableFieldId="2" dataDxfId="36"/>
    <tableColumn id="11" xr3:uid="{900BC765-6445-4BF8-A0DD-1B2D67D60CC3}" uniqueName="11" name="Age Restriction" queryTableFieldId="11" dataDxfId="35"/>
    <tableColumn id="4" xr3:uid="{00EDE167-18D9-442B-9361-6C62A5407FDF}" uniqueName="4" name="Duration(minutes)" queryTableFieldId="4" dataDxfId="34"/>
    <tableColumn id="5" xr3:uid="{F216596C-8A0D-4395-B8FE-CC6DB6B1AFF8}" uniqueName="5" name="Ratings" queryTableFieldId="5" dataDxfId="33"/>
    <tableColumn id="10" xr3:uid="{0AF57940-C142-49AB-9AF3-0724819C5B56}" uniqueName="10" name="Movies by Decade" queryTableFieldId="10" dataDxfId="32">
      <calculatedColumnFormula array="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calculatedColumnFormula>
    </tableColumn>
    <tableColumn id="6" xr3:uid="{3977E8F1-25BE-4388-B037-CCE91C3C8645}" uniqueName="6" name="Gross Profit($M)" queryTableFieldId="6" dataDxfId="31"/>
    <tableColumn id="7" xr3:uid="{65C3319C-E597-435E-BEBA-3366EA55CD25}" uniqueName="7" name="Votes" queryTableFieldId="7" dataDxfId="30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8AF066-A522-4E73-B72C-DE4207B9C7D7}" name="Correlation_table" displayName="Correlation_table" ref="A3:B4" totalsRowShown="0" headerRowDxfId="0" headerRowBorderDxfId="4" tableBorderDxfId="5" totalsRowBorderDxfId="3">
  <autoFilter ref="A3:B4" xr:uid="{158AF066-A522-4E73-B72C-DE4207B9C7D7}">
    <filterColumn colId="0" hiddenButton="1"/>
    <filterColumn colId="1" hiddenButton="1"/>
  </autoFilter>
  <tableColumns count="2">
    <tableColumn id="1" xr3:uid="{3F835AFB-D104-43F9-8EBF-5FFAE452CCED}" name="Gross Profit &amp; Ratings " dataDxfId="2">
      <calculatedColumnFormula>CORREL(Cleaned___Transformed_IMDB_Movies_dataset[Ratings],Cleaned___Transformed_IMDB_Movies_dataset[Gross Profit($M)])</calculatedColumnFormula>
    </tableColumn>
    <tableColumn id="2" xr3:uid="{D87B86A2-9271-4164-812F-88EAD36CA74D}" name="Gross Profit &amp; Duration" dataDxfId="1">
      <calculatedColumnFormula>CORREL(Cleaned___Transformed_IMDB_Movies_dataset[Duration(minutes)],Cleaned___Transformed_IMDB_Movies_dataset[Gross Profit($M)])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0A082-F9F1-446B-951A-0F8F70891CCA}" name="Highest_Grossing_Movie_Per_Decade" displayName="Highest_Grossing_Movie_Per_Decade" ref="A3:C9" tableType="queryTable" totalsRowShown="0" headerRowDxfId="26" dataDxfId="24" headerRowBorderDxfId="25" tableBorderDxfId="23" totalsRowBorderDxfId="22">
  <autoFilter ref="A3:C9" xr:uid="{4350A082-F9F1-446B-951A-0F8F70891CCA}">
    <filterColumn colId="0" hiddenButton="1"/>
    <filterColumn colId="1" hiddenButton="1"/>
    <filterColumn colId="2" hiddenButton="1"/>
  </autoFilter>
  <tableColumns count="3">
    <tableColumn id="1" xr3:uid="{36BB89FC-12D8-42D1-91FC-D420C363F7E6}" uniqueName="1" name="Decade" queryTableFieldId="1" dataDxfId="21"/>
    <tableColumn id="2" xr3:uid="{10AC5DB7-6B26-4FC3-828D-4D8979B514A5}" uniqueName="2" name="Highest Grossing Movie Per Decade" queryTableFieldId="2" dataDxfId="20"/>
    <tableColumn id="3" xr3:uid="{C51D7860-DF86-4E62-889B-B3867CAEC796}" uniqueName="3" name="Gross Profit Per Decade" queryTableFieldId="3" dataDxfId="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C9E02-E990-4A4F-8C5A-304AC1FB7739}" name="Highest_Grossing_Movie_By_Age_Restriction" displayName="Highest_Grossing_Movie_By_Age_Restriction" ref="F3:H7" totalsRowShown="0" headerRowDxfId="12" headerRowBorderDxfId="17" tableBorderDxfId="18" totalsRowBorderDxfId="16">
  <autoFilter ref="F3:H7" xr:uid="{623C9E02-E990-4A4F-8C5A-304AC1FB7739}">
    <filterColumn colId="0" hiddenButton="1"/>
    <filterColumn colId="1" hiddenButton="1"/>
    <filterColumn colId="2" hiddenButton="1"/>
  </autoFilter>
  <tableColumns count="3">
    <tableColumn id="1" xr3:uid="{15F15CF9-3C14-4630-B80E-F16AC532406E}" name="Age Restriction" dataDxfId="15"/>
    <tableColumn id="2" xr3:uid="{3EF702FF-7712-48A8-A667-F12D8676C49D}" name="Highest Grossing Movie By Age Restriction" dataDxfId="14">
      <calculatedColumnFormula>_xlfn.XLOOKUP(H4,Cleaned___Transformed_IMDB_Movies_dataset[Gross Profit($M)],Cleaned___Transformed_IMDB_Movies_dataset[Movie Name (Title)])</calculatedColumnFormula>
    </tableColumn>
    <tableColumn id="3" xr3:uid="{7BECF9CF-348B-4FC4-8105-8C8BAFF44849}" name="Gross Profit Per Age " dataDxfId="13">
      <calculatedColumnFormula>_xlfn.MAXIFS(Cleaned___Transformed_IMDB_Movies_dataset[Gross Profit($M)],Cleaned___Transformed_IMDB_Movies_dataset[Age Restriction],'Highest Grossing Movies'!F4)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F1EBA6-C2E6-46E9-8E5A-0FA6DD1E1024}" name="Highest_Grossing_Movie_1933_to_2020" displayName="Highest_Grossing_Movie_1933_to_2020" ref="A11:B12" totalsRowShown="0" headerRowDxfId="6" headerRowBorderDxfId="10" tableBorderDxfId="11" totalsRowBorderDxfId="9">
  <autoFilter ref="A11:B12" xr:uid="{67F1EBA6-C2E6-46E9-8E5A-0FA6DD1E1024}">
    <filterColumn colId="0" hiddenButton="1"/>
    <filterColumn colId="1" hiddenButton="1"/>
  </autoFilter>
  <tableColumns count="2">
    <tableColumn id="1" xr3:uid="{CFAD5297-76D8-42EB-9EE9-34A97BD9F297}" name="Highest Grossing Movie (1933 - 2020)" dataDxfId="8">
      <calculatedColumnFormula>_xlfn.XLOOKUP(B12,Cleaned___Transformed_IMDB_Movies_dataset[Gross Profit($M)],Cleaned___Transformed_IMDB_Movies_dataset[Movie Name (Title)])</calculatedColumnFormula>
    </tableColumn>
    <tableColumn id="2" xr3:uid="{831D909B-0B68-45EA-8029-14379D467DED}" name="Gross Profit" dataDxfId="7">
      <calculatedColumnFormula>_xlfn.MAXIFS(Cleaned___Transformed_IMDB_Movies_dataset[Gross Profit($M)],Cleaned___Transformed_IMDB_Movies_dataset[Year], "&gt;=1933",Cleaned___Transformed_IMDB_Movies_dataset[Year],"&lt;=2020")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7209-EA1F-48F2-9B7E-CBA6FF46B9FE}">
  <sheetPr codeName="Sheet1"/>
  <dimension ref="A1:G1965"/>
  <sheetViews>
    <sheetView tabSelected="1" workbookViewId="0">
      <selection activeCell="E2" sqref="E2"/>
    </sheetView>
  </sheetViews>
  <sheetFormatPr defaultRowHeight="15" x14ac:dyDescent="0.25"/>
  <cols>
    <col min="1" max="1" width="14.5703125" customWidth="1"/>
    <col min="4" max="4" width="19.85546875" customWidth="1"/>
    <col min="5" max="5" width="9.85546875" customWidth="1"/>
    <col min="6" max="6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1923</v>
      </c>
      <c r="B2">
        <v>1933</v>
      </c>
      <c r="C2">
        <v>15</v>
      </c>
      <c r="D2">
        <v>89</v>
      </c>
      <c r="E2">
        <v>7.3</v>
      </c>
      <c r="F2">
        <v>2.2999999999999998</v>
      </c>
      <c r="G2" s="1">
        <v>12767</v>
      </c>
    </row>
    <row r="3" spans="1:7" x14ac:dyDescent="0.25">
      <c r="A3" t="s">
        <v>364</v>
      </c>
      <c r="B3">
        <v>1942</v>
      </c>
      <c r="C3">
        <v>15</v>
      </c>
      <c r="D3">
        <v>100</v>
      </c>
      <c r="E3">
        <v>6.7</v>
      </c>
      <c r="F3">
        <v>2.46</v>
      </c>
      <c r="G3" s="1">
        <v>3135</v>
      </c>
    </row>
    <row r="4" spans="1:7" x14ac:dyDescent="0.25">
      <c r="A4" t="s">
        <v>951</v>
      </c>
      <c r="B4">
        <v>1945</v>
      </c>
      <c r="C4">
        <v>15</v>
      </c>
      <c r="D4">
        <v>111</v>
      </c>
      <c r="E4">
        <v>7.9</v>
      </c>
      <c r="F4">
        <v>2.46</v>
      </c>
      <c r="G4" s="1">
        <v>27980</v>
      </c>
    </row>
    <row r="5" spans="1:7" x14ac:dyDescent="0.25">
      <c r="A5" t="s">
        <v>1924</v>
      </c>
      <c r="B5">
        <v>1957</v>
      </c>
      <c r="C5">
        <v>15</v>
      </c>
      <c r="D5">
        <v>92</v>
      </c>
      <c r="E5">
        <v>7.6</v>
      </c>
      <c r="F5">
        <v>2.46</v>
      </c>
      <c r="G5" s="1">
        <v>21210</v>
      </c>
    </row>
    <row r="6" spans="1:7" x14ac:dyDescent="0.25">
      <c r="A6" t="s">
        <v>1675</v>
      </c>
      <c r="B6">
        <v>1958</v>
      </c>
      <c r="C6">
        <v>15</v>
      </c>
      <c r="D6">
        <v>139</v>
      </c>
      <c r="E6">
        <v>8.1</v>
      </c>
      <c r="F6">
        <v>2.46</v>
      </c>
      <c r="G6" s="1">
        <v>41370</v>
      </c>
    </row>
    <row r="7" spans="1:7" x14ac:dyDescent="0.25">
      <c r="A7" t="s">
        <v>8</v>
      </c>
      <c r="B7">
        <v>1959</v>
      </c>
      <c r="C7">
        <v>15</v>
      </c>
      <c r="D7">
        <v>99</v>
      </c>
      <c r="E7">
        <v>6.9</v>
      </c>
      <c r="F7">
        <v>2.46</v>
      </c>
      <c r="G7">
        <v>323</v>
      </c>
    </row>
    <row r="8" spans="1:7" x14ac:dyDescent="0.25">
      <c r="A8" t="s">
        <v>1676</v>
      </c>
      <c r="B8">
        <v>1961</v>
      </c>
      <c r="C8">
        <v>12</v>
      </c>
      <c r="D8">
        <v>110</v>
      </c>
      <c r="E8">
        <v>8.1999999999999993</v>
      </c>
      <c r="F8">
        <v>2.46</v>
      </c>
      <c r="G8" s="1">
        <v>128727</v>
      </c>
    </row>
    <row r="9" spans="1:7" x14ac:dyDescent="0.25">
      <c r="A9" t="s">
        <v>28</v>
      </c>
      <c r="B9">
        <v>1963</v>
      </c>
      <c r="C9">
        <v>18</v>
      </c>
      <c r="D9">
        <v>97</v>
      </c>
      <c r="E9">
        <v>5.7</v>
      </c>
      <c r="F9">
        <v>2.73</v>
      </c>
      <c r="G9" s="1">
        <v>10883</v>
      </c>
    </row>
    <row r="10" spans="1:7" x14ac:dyDescent="0.25">
      <c r="A10" t="s">
        <v>30</v>
      </c>
      <c r="B10">
        <v>1964</v>
      </c>
      <c r="C10">
        <v>15</v>
      </c>
      <c r="D10">
        <v>89</v>
      </c>
      <c r="E10">
        <v>6.5</v>
      </c>
      <c r="F10">
        <v>2.46</v>
      </c>
      <c r="G10" s="1">
        <v>9653</v>
      </c>
    </row>
    <row r="11" spans="1:7" x14ac:dyDescent="0.25">
      <c r="A11" t="s">
        <v>32</v>
      </c>
      <c r="B11">
        <v>1965</v>
      </c>
      <c r="C11">
        <v>15</v>
      </c>
      <c r="D11">
        <v>78</v>
      </c>
      <c r="E11">
        <v>5.2</v>
      </c>
      <c r="F11">
        <v>2.46</v>
      </c>
      <c r="G11" s="1">
        <v>3660</v>
      </c>
    </row>
    <row r="12" spans="1:7" x14ac:dyDescent="0.25">
      <c r="A12" t="s">
        <v>7</v>
      </c>
      <c r="B12">
        <v>1967</v>
      </c>
      <c r="C12">
        <v>15</v>
      </c>
      <c r="D12">
        <v>96</v>
      </c>
      <c r="E12">
        <v>7</v>
      </c>
      <c r="F12">
        <v>2.46</v>
      </c>
      <c r="G12">
        <v>50</v>
      </c>
    </row>
    <row r="13" spans="1:7" x14ac:dyDescent="0.25">
      <c r="A13" t="s">
        <v>663</v>
      </c>
      <c r="B13">
        <v>1969</v>
      </c>
      <c r="C13">
        <v>15</v>
      </c>
      <c r="D13">
        <v>65</v>
      </c>
      <c r="E13">
        <v>5.0999999999999996</v>
      </c>
      <c r="F13">
        <v>2.46</v>
      </c>
      <c r="G13" s="1">
        <v>2477</v>
      </c>
    </row>
    <row r="14" spans="1:7" x14ac:dyDescent="0.25">
      <c r="A14" t="s">
        <v>474</v>
      </c>
      <c r="B14">
        <v>1971</v>
      </c>
      <c r="C14">
        <v>15</v>
      </c>
      <c r="D14">
        <v>100</v>
      </c>
      <c r="E14">
        <v>7.6</v>
      </c>
      <c r="F14">
        <v>0.02</v>
      </c>
      <c r="G14" s="1">
        <v>26870</v>
      </c>
    </row>
    <row r="15" spans="1:7" x14ac:dyDescent="0.25">
      <c r="A15" t="s">
        <v>9</v>
      </c>
      <c r="B15">
        <v>1973</v>
      </c>
      <c r="C15">
        <v>15</v>
      </c>
      <c r="D15">
        <v>99</v>
      </c>
      <c r="E15">
        <v>5.7</v>
      </c>
      <c r="F15">
        <v>2.46</v>
      </c>
      <c r="G15">
        <v>110</v>
      </c>
    </row>
    <row r="16" spans="1:7" x14ac:dyDescent="0.25">
      <c r="A16" t="s">
        <v>15</v>
      </c>
      <c r="B16">
        <v>1973</v>
      </c>
      <c r="C16">
        <v>12</v>
      </c>
      <c r="D16">
        <v>81</v>
      </c>
      <c r="E16">
        <v>4.8</v>
      </c>
      <c r="F16">
        <v>2.46</v>
      </c>
      <c r="G16" s="1">
        <v>6537</v>
      </c>
    </row>
    <row r="17" spans="1:7" x14ac:dyDescent="0.25">
      <c r="A17" t="s">
        <v>1074</v>
      </c>
      <c r="B17">
        <v>1973</v>
      </c>
      <c r="C17">
        <v>15</v>
      </c>
      <c r="D17">
        <v>88</v>
      </c>
      <c r="E17">
        <v>6.9</v>
      </c>
      <c r="F17">
        <v>16.059999999999999</v>
      </c>
      <c r="G17" s="1">
        <v>61974</v>
      </c>
    </row>
    <row r="18" spans="1:7" x14ac:dyDescent="0.25">
      <c r="A18" t="s">
        <v>426</v>
      </c>
      <c r="B18">
        <v>1974</v>
      </c>
      <c r="C18">
        <v>12</v>
      </c>
      <c r="D18">
        <v>91</v>
      </c>
      <c r="E18">
        <v>7.3</v>
      </c>
      <c r="F18">
        <v>0.16</v>
      </c>
      <c r="G18" s="1">
        <v>21643</v>
      </c>
    </row>
    <row r="19" spans="1:7" x14ac:dyDescent="0.25">
      <c r="A19" t="s">
        <v>819</v>
      </c>
      <c r="B19">
        <v>1975</v>
      </c>
      <c r="C19">
        <v>15</v>
      </c>
      <c r="D19">
        <v>115</v>
      </c>
      <c r="E19">
        <v>7.4</v>
      </c>
      <c r="F19">
        <v>0.23</v>
      </c>
      <c r="G19" s="1">
        <v>39970</v>
      </c>
    </row>
    <row r="20" spans="1:7" x14ac:dyDescent="0.25">
      <c r="A20" t="s">
        <v>940</v>
      </c>
      <c r="B20">
        <v>1976</v>
      </c>
      <c r="C20">
        <v>15</v>
      </c>
      <c r="D20">
        <v>126</v>
      </c>
      <c r="E20">
        <v>6.5</v>
      </c>
      <c r="F20">
        <v>14</v>
      </c>
      <c r="G20" s="1">
        <v>11726</v>
      </c>
    </row>
    <row r="21" spans="1:7" x14ac:dyDescent="0.25">
      <c r="A21" t="s">
        <v>1018</v>
      </c>
      <c r="B21">
        <v>1976</v>
      </c>
      <c r="C21">
        <v>15</v>
      </c>
      <c r="D21">
        <v>125</v>
      </c>
      <c r="E21">
        <v>7.4</v>
      </c>
      <c r="F21">
        <v>21.71</v>
      </c>
      <c r="G21" s="1">
        <v>68739</v>
      </c>
    </row>
    <row r="22" spans="1:7" x14ac:dyDescent="0.25">
      <c r="A22" t="s">
        <v>835</v>
      </c>
      <c r="B22">
        <v>1977</v>
      </c>
      <c r="C22">
        <v>15</v>
      </c>
      <c r="D22">
        <v>124</v>
      </c>
      <c r="E22">
        <v>7.7</v>
      </c>
      <c r="F22">
        <v>2.46</v>
      </c>
      <c r="G22" s="1">
        <v>16879</v>
      </c>
    </row>
    <row r="23" spans="1:7" x14ac:dyDescent="0.25">
      <c r="A23" t="s">
        <v>571</v>
      </c>
      <c r="B23">
        <v>1979</v>
      </c>
      <c r="C23">
        <v>15</v>
      </c>
      <c r="D23">
        <v>93</v>
      </c>
      <c r="E23">
        <v>7.5</v>
      </c>
      <c r="F23">
        <v>22.49</v>
      </c>
      <c r="G23" s="1">
        <v>108327</v>
      </c>
    </row>
    <row r="24" spans="1:7" x14ac:dyDescent="0.25">
      <c r="A24" t="s">
        <v>1737</v>
      </c>
      <c r="B24">
        <v>1979</v>
      </c>
      <c r="C24">
        <v>15</v>
      </c>
      <c r="D24">
        <v>100</v>
      </c>
      <c r="E24">
        <v>7.6</v>
      </c>
      <c r="F24">
        <v>2.46</v>
      </c>
      <c r="G24" s="1">
        <v>32486</v>
      </c>
    </row>
    <row r="25" spans="1:7" x14ac:dyDescent="0.25">
      <c r="A25" t="s">
        <v>1681</v>
      </c>
      <c r="B25">
        <v>1980</v>
      </c>
      <c r="C25">
        <v>15</v>
      </c>
      <c r="D25">
        <v>104</v>
      </c>
      <c r="E25">
        <v>7.1</v>
      </c>
      <c r="F25">
        <v>31.9</v>
      </c>
      <c r="G25" s="1">
        <v>46498</v>
      </c>
    </row>
    <row r="26" spans="1:7" x14ac:dyDescent="0.25">
      <c r="A26" t="s">
        <v>1725</v>
      </c>
      <c r="B26">
        <v>1980</v>
      </c>
      <c r="C26">
        <v>15</v>
      </c>
      <c r="D26">
        <v>83</v>
      </c>
      <c r="E26">
        <v>7.7</v>
      </c>
      <c r="F26">
        <v>0.03</v>
      </c>
      <c r="G26" s="1">
        <v>5405</v>
      </c>
    </row>
    <row r="27" spans="1:7" x14ac:dyDescent="0.25">
      <c r="A27" t="s">
        <v>89</v>
      </c>
      <c r="B27">
        <v>1981</v>
      </c>
      <c r="C27">
        <v>15</v>
      </c>
      <c r="D27">
        <v>124</v>
      </c>
      <c r="E27">
        <v>7.3</v>
      </c>
      <c r="F27">
        <v>1.1100000000000001</v>
      </c>
      <c r="G27" s="1">
        <v>40160</v>
      </c>
    </row>
    <row r="28" spans="1:7" x14ac:dyDescent="0.25">
      <c r="A28" t="s">
        <v>593</v>
      </c>
      <c r="B28">
        <v>1981</v>
      </c>
      <c r="C28">
        <v>15</v>
      </c>
      <c r="D28">
        <v>108</v>
      </c>
      <c r="E28">
        <v>7.4</v>
      </c>
      <c r="F28">
        <v>13.75</v>
      </c>
      <c r="G28" s="1">
        <v>60364</v>
      </c>
    </row>
    <row r="29" spans="1:7" x14ac:dyDescent="0.25">
      <c r="A29" t="s">
        <v>1485</v>
      </c>
      <c r="B29">
        <v>1982</v>
      </c>
      <c r="C29">
        <v>18</v>
      </c>
      <c r="D29">
        <v>112</v>
      </c>
      <c r="E29">
        <v>6</v>
      </c>
      <c r="F29">
        <v>2.46</v>
      </c>
      <c r="G29" s="1">
        <v>6748</v>
      </c>
    </row>
    <row r="30" spans="1:7" x14ac:dyDescent="0.25">
      <c r="A30" t="s">
        <v>76</v>
      </c>
      <c r="B30">
        <v>1983</v>
      </c>
      <c r="C30">
        <v>15</v>
      </c>
      <c r="D30">
        <v>113</v>
      </c>
      <c r="E30">
        <v>6.6</v>
      </c>
      <c r="F30">
        <v>34.729999999999997</v>
      </c>
      <c r="G30" s="1">
        <v>30267</v>
      </c>
    </row>
    <row r="31" spans="1:7" x14ac:dyDescent="0.25">
      <c r="A31" t="s">
        <v>122</v>
      </c>
      <c r="B31">
        <v>1983</v>
      </c>
      <c r="C31">
        <v>15</v>
      </c>
      <c r="D31">
        <v>109</v>
      </c>
      <c r="E31">
        <v>6.3</v>
      </c>
      <c r="F31">
        <v>5.56</v>
      </c>
      <c r="G31" s="1">
        <v>7565</v>
      </c>
    </row>
    <row r="32" spans="1:7" x14ac:dyDescent="0.25">
      <c r="A32" t="s">
        <v>1015</v>
      </c>
      <c r="B32">
        <v>1984</v>
      </c>
      <c r="C32">
        <v>12</v>
      </c>
      <c r="D32">
        <v>121</v>
      </c>
      <c r="E32">
        <v>6.6</v>
      </c>
      <c r="F32">
        <v>6.14</v>
      </c>
      <c r="G32" s="1">
        <v>9598</v>
      </c>
    </row>
    <row r="33" spans="1:7" x14ac:dyDescent="0.25">
      <c r="A33" t="s">
        <v>1202</v>
      </c>
      <c r="B33">
        <v>1984</v>
      </c>
      <c r="C33">
        <v>15</v>
      </c>
      <c r="D33">
        <v>115</v>
      </c>
      <c r="E33">
        <v>6.5</v>
      </c>
      <c r="F33">
        <v>25.1</v>
      </c>
      <c r="G33" s="1">
        <v>12795</v>
      </c>
    </row>
    <row r="34" spans="1:7" x14ac:dyDescent="0.25">
      <c r="A34" t="s">
        <v>108</v>
      </c>
      <c r="B34">
        <v>1985</v>
      </c>
      <c r="C34">
        <v>15</v>
      </c>
      <c r="D34">
        <v>114</v>
      </c>
      <c r="E34">
        <v>7.9</v>
      </c>
      <c r="F34">
        <v>0.22</v>
      </c>
      <c r="G34" s="1">
        <v>21635</v>
      </c>
    </row>
    <row r="35" spans="1:7" x14ac:dyDescent="0.25">
      <c r="A35" t="s">
        <v>733</v>
      </c>
      <c r="B35">
        <v>1985</v>
      </c>
      <c r="C35">
        <v>18</v>
      </c>
      <c r="D35">
        <v>108</v>
      </c>
      <c r="E35">
        <v>6.8</v>
      </c>
      <c r="F35">
        <v>4.2699999999999996</v>
      </c>
      <c r="G35" s="1">
        <v>50475</v>
      </c>
    </row>
    <row r="36" spans="1:7" x14ac:dyDescent="0.25">
      <c r="A36" t="s">
        <v>944</v>
      </c>
      <c r="B36">
        <v>1985</v>
      </c>
      <c r="C36">
        <v>12</v>
      </c>
      <c r="D36">
        <v>87</v>
      </c>
      <c r="E36">
        <v>5.4</v>
      </c>
      <c r="F36">
        <v>30</v>
      </c>
      <c r="G36" s="1">
        <v>75920</v>
      </c>
    </row>
    <row r="37" spans="1:7" x14ac:dyDescent="0.25">
      <c r="A37" t="s">
        <v>749</v>
      </c>
      <c r="B37">
        <v>1986</v>
      </c>
      <c r="C37">
        <v>15</v>
      </c>
      <c r="D37">
        <v>114</v>
      </c>
      <c r="E37">
        <v>7.4</v>
      </c>
      <c r="F37">
        <v>28.61</v>
      </c>
      <c r="G37" s="1">
        <v>49992</v>
      </c>
    </row>
    <row r="38" spans="1:7" x14ac:dyDescent="0.25">
      <c r="A38" t="s">
        <v>1201</v>
      </c>
      <c r="B38">
        <v>1986</v>
      </c>
      <c r="C38">
        <v>15</v>
      </c>
      <c r="D38">
        <v>96</v>
      </c>
      <c r="E38">
        <v>5.0999999999999996</v>
      </c>
      <c r="F38">
        <v>12.31</v>
      </c>
      <c r="G38" s="1">
        <v>6734</v>
      </c>
    </row>
    <row r="39" spans="1:7" x14ac:dyDescent="0.25">
      <c r="A39" t="s">
        <v>1203</v>
      </c>
      <c r="B39">
        <v>1986</v>
      </c>
      <c r="C39">
        <v>15</v>
      </c>
      <c r="D39">
        <v>104</v>
      </c>
      <c r="E39">
        <v>6</v>
      </c>
      <c r="F39">
        <v>7.79</v>
      </c>
      <c r="G39" s="1">
        <v>7963</v>
      </c>
    </row>
    <row r="40" spans="1:7" x14ac:dyDescent="0.25">
      <c r="A40" t="s">
        <v>1385</v>
      </c>
      <c r="B40">
        <v>1987</v>
      </c>
      <c r="C40">
        <v>15</v>
      </c>
      <c r="D40">
        <v>107</v>
      </c>
      <c r="E40">
        <v>4.5999999999999996</v>
      </c>
      <c r="F40">
        <v>14.38</v>
      </c>
      <c r="G40" s="1">
        <v>11658</v>
      </c>
    </row>
    <row r="41" spans="1:7" x14ac:dyDescent="0.25">
      <c r="A41" t="s">
        <v>1913</v>
      </c>
      <c r="B41">
        <v>1987</v>
      </c>
      <c r="C41">
        <v>15</v>
      </c>
      <c r="D41">
        <v>128</v>
      </c>
      <c r="E41">
        <v>7.9</v>
      </c>
      <c r="F41">
        <v>3.33</v>
      </c>
      <c r="G41" s="1">
        <v>75050</v>
      </c>
    </row>
    <row r="42" spans="1:7" x14ac:dyDescent="0.25">
      <c r="A42" t="s">
        <v>961</v>
      </c>
      <c r="B42">
        <v>1988</v>
      </c>
      <c r="C42">
        <v>15</v>
      </c>
      <c r="D42">
        <v>103</v>
      </c>
      <c r="E42">
        <v>7.2</v>
      </c>
      <c r="F42">
        <v>1.1100000000000001</v>
      </c>
      <c r="G42" s="1">
        <v>112914</v>
      </c>
    </row>
    <row r="43" spans="1:7" x14ac:dyDescent="0.25">
      <c r="A43" t="s">
        <v>1029</v>
      </c>
      <c r="B43">
        <v>1988</v>
      </c>
      <c r="C43">
        <v>15</v>
      </c>
      <c r="D43">
        <v>116</v>
      </c>
      <c r="E43">
        <v>7.6</v>
      </c>
      <c r="F43">
        <v>2.84</v>
      </c>
      <c r="G43" s="1">
        <v>17545</v>
      </c>
    </row>
    <row r="44" spans="1:7" x14ac:dyDescent="0.25">
      <c r="A44" t="s">
        <v>1921</v>
      </c>
      <c r="B44">
        <v>1988</v>
      </c>
      <c r="C44">
        <v>15</v>
      </c>
      <c r="D44">
        <v>166</v>
      </c>
      <c r="E44">
        <v>7.2</v>
      </c>
      <c r="F44">
        <v>2.46</v>
      </c>
      <c r="G44" s="1">
        <v>4199</v>
      </c>
    </row>
    <row r="45" spans="1:7" x14ac:dyDescent="0.25">
      <c r="A45" t="s">
        <v>825</v>
      </c>
      <c r="B45">
        <v>1990</v>
      </c>
      <c r="C45">
        <v>13</v>
      </c>
      <c r="D45">
        <v>140</v>
      </c>
      <c r="E45">
        <v>6.9</v>
      </c>
      <c r="F45">
        <v>2.23</v>
      </c>
      <c r="G45" s="1">
        <v>4133</v>
      </c>
    </row>
    <row r="46" spans="1:7" x14ac:dyDescent="0.25">
      <c r="A46" t="s">
        <v>1286</v>
      </c>
      <c r="B46">
        <v>1991</v>
      </c>
      <c r="C46">
        <v>15</v>
      </c>
      <c r="D46">
        <v>129</v>
      </c>
      <c r="E46">
        <v>7.7</v>
      </c>
      <c r="F46">
        <v>2.02</v>
      </c>
      <c r="G46" s="1">
        <v>64543</v>
      </c>
    </row>
    <row r="47" spans="1:7" x14ac:dyDescent="0.25">
      <c r="A47" t="s">
        <v>14</v>
      </c>
      <c r="B47">
        <v>1992</v>
      </c>
      <c r="C47">
        <v>15</v>
      </c>
      <c r="D47">
        <v>107</v>
      </c>
      <c r="E47">
        <v>6.8</v>
      </c>
      <c r="F47">
        <v>2.46</v>
      </c>
      <c r="G47">
        <v>698</v>
      </c>
    </row>
    <row r="48" spans="1:7" x14ac:dyDescent="0.25">
      <c r="A48" t="s">
        <v>767</v>
      </c>
      <c r="B48">
        <v>1992</v>
      </c>
      <c r="C48">
        <v>15</v>
      </c>
      <c r="D48">
        <v>94</v>
      </c>
      <c r="E48">
        <v>6.7</v>
      </c>
      <c r="F48">
        <v>0.62</v>
      </c>
      <c r="G48" s="1">
        <v>32559</v>
      </c>
    </row>
    <row r="49" spans="1:7" x14ac:dyDescent="0.25">
      <c r="A49" t="s">
        <v>943</v>
      </c>
      <c r="B49">
        <v>1992</v>
      </c>
      <c r="C49">
        <v>15</v>
      </c>
      <c r="D49">
        <v>108</v>
      </c>
      <c r="E49">
        <v>7.5</v>
      </c>
      <c r="F49">
        <v>10.56</v>
      </c>
      <c r="G49" s="1">
        <v>30652</v>
      </c>
    </row>
    <row r="50" spans="1:7" x14ac:dyDescent="0.25">
      <c r="A50" t="s">
        <v>367</v>
      </c>
      <c r="B50">
        <v>1993</v>
      </c>
      <c r="C50">
        <v>15</v>
      </c>
      <c r="D50">
        <v>98</v>
      </c>
      <c r="E50">
        <v>7</v>
      </c>
      <c r="F50">
        <v>2.5</v>
      </c>
      <c r="G50" s="1">
        <v>24358</v>
      </c>
    </row>
    <row r="51" spans="1:7" x14ac:dyDescent="0.25">
      <c r="A51" t="s">
        <v>745</v>
      </c>
      <c r="B51">
        <v>1993</v>
      </c>
      <c r="C51">
        <v>15</v>
      </c>
      <c r="D51">
        <v>76</v>
      </c>
      <c r="E51">
        <v>7.8</v>
      </c>
      <c r="F51">
        <v>5.62</v>
      </c>
      <c r="G51" s="1">
        <v>55254</v>
      </c>
    </row>
    <row r="52" spans="1:7" x14ac:dyDescent="0.25">
      <c r="A52" t="s">
        <v>1289</v>
      </c>
      <c r="B52">
        <v>1993</v>
      </c>
      <c r="C52">
        <v>15</v>
      </c>
      <c r="D52">
        <v>121</v>
      </c>
      <c r="E52">
        <v>6.2</v>
      </c>
      <c r="F52">
        <v>15.19</v>
      </c>
      <c r="G52" s="1">
        <v>26946</v>
      </c>
    </row>
    <row r="53" spans="1:7" x14ac:dyDescent="0.25">
      <c r="A53" t="s">
        <v>1492</v>
      </c>
      <c r="B53">
        <v>1993</v>
      </c>
      <c r="C53">
        <v>12</v>
      </c>
      <c r="D53">
        <v>109</v>
      </c>
      <c r="E53">
        <v>6.5</v>
      </c>
      <c r="F53">
        <v>20.100000000000001</v>
      </c>
      <c r="G53" s="1">
        <v>27601</v>
      </c>
    </row>
    <row r="54" spans="1:7" x14ac:dyDescent="0.25">
      <c r="A54" t="s">
        <v>12</v>
      </c>
      <c r="B54">
        <v>1995</v>
      </c>
      <c r="C54">
        <v>15</v>
      </c>
      <c r="D54">
        <v>53</v>
      </c>
      <c r="E54">
        <v>7.3</v>
      </c>
      <c r="F54">
        <v>2.46</v>
      </c>
      <c r="G54">
        <v>39</v>
      </c>
    </row>
    <row r="55" spans="1:7" x14ac:dyDescent="0.25">
      <c r="A55" t="s">
        <v>118</v>
      </c>
      <c r="B55">
        <v>1995</v>
      </c>
      <c r="C55">
        <v>18</v>
      </c>
      <c r="D55">
        <v>128</v>
      </c>
      <c r="E55">
        <v>6.9</v>
      </c>
      <c r="F55">
        <v>13.04</v>
      </c>
      <c r="G55" s="1">
        <v>23199</v>
      </c>
    </row>
    <row r="56" spans="1:7" x14ac:dyDescent="0.25">
      <c r="A56" t="s">
        <v>434</v>
      </c>
      <c r="B56">
        <v>1995</v>
      </c>
      <c r="C56">
        <v>15</v>
      </c>
      <c r="D56">
        <v>83</v>
      </c>
      <c r="E56">
        <v>7.9</v>
      </c>
      <c r="F56">
        <v>0.52</v>
      </c>
      <c r="G56" s="1">
        <v>152571</v>
      </c>
    </row>
    <row r="57" spans="1:7" x14ac:dyDescent="0.25">
      <c r="A57" t="s">
        <v>101</v>
      </c>
      <c r="B57">
        <v>1996</v>
      </c>
      <c r="C57">
        <v>15</v>
      </c>
      <c r="D57">
        <v>99</v>
      </c>
      <c r="E57">
        <v>7</v>
      </c>
      <c r="F57">
        <v>0.19</v>
      </c>
      <c r="G57" s="1">
        <v>9344</v>
      </c>
    </row>
    <row r="58" spans="1:7" x14ac:dyDescent="0.25">
      <c r="A58" t="s">
        <v>265</v>
      </c>
      <c r="B58">
        <v>1996</v>
      </c>
      <c r="C58">
        <v>15</v>
      </c>
      <c r="D58">
        <v>91</v>
      </c>
      <c r="E58">
        <v>6.9</v>
      </c>
      <c r="F58">
        <v>0.56000000000000005</v>
      </c>
      <c r="G58" s="1">
        <v>82258</v>
      </c>
    </row>
    <row r="59" spans="1:7" x14ac:dyDescent="0.25">
      <c r="A59" t="s">
        <v>37</v>
      </c>
      <c r="B59">
        <v>1997</v>
      </c>
      <c r="C59">
        <v>15</v>
      </c>
      <c r="D59">
        <v>102</v>
      </c>
      <c r="E59">
        <v>4.5999999999999996</v>
      </c>
      <c r="F59">
        <v>2.46</v>
      </c>
    </row>
    <row r="60" spans="1:7" x14ac:dyDescent="0.25">
      <c r="A60" t="s">
        <v>254</v>
      </c>
      <c r="B60">
        <v>1998</v>
      </c>
      <c r="C60">
        <v>15</v>
      </c>
      <c r="D60">
        <v>104</v>
      </c>
      <c r="E60">
        <v>6.6</v>
      </c>
      <c r="F60">
        <v>40.06</v>
      </c>
      <c r="G60" s="1">
        <v>132575</v>
      </c>
    </row>
    <row r="61" spans="1:7" x14ac:dyDescent="0.25">
      <c r="A61" t="s">
        <v>182</v>
      </c>
      <c r="B61">
        <v>1999</v>
      </c>
      <c r="C61">
        <v>15</v>
      </c>
      <c r="D61">
        <v>94</v>
      </c>
      <c r="E61">
        <v>6.9</v>
      </c>
      <c r="F61">
        <v>7.0000000000000007E-2</v>
      </c>
      <c r="G61" s="1">
        <v>1060</v>
      </c>
    </row>
    <row r="62" spans="1:7" x14ac:dyDescent="0.25">
      <c r="A62" t="s">
        <v>771</v>
      </c>
      <c r="B62">
        <v>1999</v>
      </c>
      <c r="C62">
        <v>15</v>
      </c>
      <c r="D62">
        <v>103</v>
      </c>
      <c r="E62">
        <v>6.2</v>
      </c>
      <c r="F62">
        <v>0.01</v>
      </c>
      <c r="G62" s="1">
        <v>1612</v>
      </c>
    </row>
    <row r="63" spans="1:7" x14ac:dyDescent="0.25">
      <c r="A63" t="s">
        <v>818</v>
      </c>
      <c r="B63">
        <v>1999</v>
      </c>
      <c r="C63">
        <v>15</v>
      </c>
      <c r="D63">
        <v>124</v>
      </c>
      <c r="E63">
        <v>6.8</v>
      </c>
      <c r="F63">
        <v>14.86</v>
      </c>
      <c r="G63" s="1">
        <v>13191</v>
      </c>
    </row>
    <row r="64" spans="1:7" x14ac:dyDescent="0.25">
      <c r="A64" t="s">
        <v>1204</v>
      </c>
      <c r="B64">
        <v>1999</v>
      </c>
      <c r="C64">
        <v>18</v>
      </c>
      <c r="D64">
        <v>120</v>
      </c>
      <c r="E64">
        <v>6.5</v>
      </c>
      <c r="F64">
        <v>4.96</v>
      </c>
      <c r="G64" s="1">
        <v>17840</v>
      </c>
    </row>
    <row r="65" spans="1:7" x14ac:dyDescent="0.25">
      <c r="A65" t="s">
        <v>143</v>
      </c>
      <c r="B65">
        <v>2000</v>
      </c>
      <c r="C65">
        <v>12</v>
      </c>
      <c r="D65">
        <v>117</v>
      </c>
      <c r="E65">
        <v>7.1</v>
      </c>
      <c r="F65">
        <v>3.82</v>
      </c>
      <c r="G65" s="1">
        <v>11819</v>
      </c>
    </row>
    <row r="66" spans="1:7" x14ac:dyDescent="0.25">
      <c r="A66" t="s">
        <v>166</v>
      </c>
      <c r="B66">
        <v>2000</v>
      </c>
      <c r="C66">
        <v>15</v>
      </c>
      <c r="D66">
        <v>101</v>
      </c>
      <c r="E66">
        <v>7.2</v>
      </c>
      <c r="F66">
        <v>2.25</v>
      </c>
      <c r="G66" s="1">
        <v>16902</v>
      </c>
    </row>
    <row r="67" spans="1:7" x14ac:dyDescent="0.25">
      <c r="A67" t="s">
        <v>395</v>
      </c>
      <c r="B67">
        <v>2000</v>
      </c>
      <c r="C67">
        <v>15</v>
      </c>
      <c r="D67">
        <v>123</v>
      </c>
      <c r="E67">
        <v>5.7</v>
      </c>
      <c r="F67">
        <v>0.03</v>
      </c>
      <c r="G67" s="1">
        <v>4089</v>
      </c>
    </row>
    <row r="68" spans="1:7" x14ac:dyDescent="0.25">
      <c r="A68" t="s">
        <v>478</v>
      </c>
      <c r="B68">
        <v>2000</v>
      </c>
      <c r="C68">
        <v>15</v>
      </c>
      <c r="D68">
        <v>88</v>
      </c>
      <c r="E68">
        <v>7.3</v>
      </c>
      <c r="F68">
        <v>2.46</v>
      </c>
      <c r="G68" s="1">
        <v>6832</v>
      </c>
    </row>
    <row r="69" spans="1:7" x14ac:dyDescent="0.25">
      <c r="A69" t="s">
        <v>942</v>
      </c>
      <c r="B69">
        <v>2000</v>
      </c>
      <c r="C69">
        <v>15</v>
      </c>
      <c r="D69">
        <v>105</v>
      </c>
      <c r="E69">
        <v>5.5</v>
      </c>
      <c r="F69">
        <v>0.77</v>
      </c>
      <c r="G69" s="1">
        <v>3544</v>
      </c>
    </row>
    <row r="70" spans="1:7" x14ac:dyDescent="0.25">
      <c r="A70" t="s">
        <v>1009</v>
      </c>
      <c r="B70">
        <v>2000</v>
      </c>
      <c r="C70">
        <v>15</v>
      </c>
      <c r="D70">
        <v>99</v>
      </c>
      <c r="E70">
        <v>7.6</v>
      </c>
      <c r="F70">
        <v>2.46</v>
      </c>
      <c r="G70" s="1">
        <v>22663</v>
      </c>
    </row>
    <row r="71" spans="1:7" x14ac:dyDescent="0.25">
      <c r="A71" t="s">
        <v>1229</v>
      </c>
      <c r="B71">
        <v>2000</v>
      </c>
      <c r="C71">
        <v>15</v>
      </c>
      <c r="D71">
        <v>109</v>
      </c>
      <c r="E71">
        <v>6.3</v>
      </c>
      <c r="F71">
        <v>2.46</v>
      </c>
      <c r="G71" s="1">
        <v>1714</v>
      </c>
    </row>
    <row r="72" spans="1:7" x14ac:dyDescent="0.25">
      <c r="A72" t="s">
        <v>95</v>
      </c>
      <c r="B72">
        <v>2001</v>
      </c>
      <c r="C72">
        <v>15</v>
      </c>
      <c r="D72">
        <v>109</v>
      </c>
      <c r="E72">
        <v>7</v>
      </c>
      <c r="F72">
        <v>0.21</v>
      </c>
      <c r="G72" s="1">
        <v>2461</v>
      </c>
    </row>
    <row r="73" spans="1:7" x14ac:dyDescent="0.25">
      <c r="A73" t="s">
        <v>337</v>
      </c>
      <c r="B73">
        <v>2001</v>
      </c>
      <c r="C73">
        <v>18</v>
      </c>
      <c r="D73">
        <v>86</v>
      </c>
      <c r="E73">
        <v>7.2</v>
      </c>
      <c r="F73">
        <v>0.49</v>
      </c>
      <c r="G73" s="1">
        <v>20894</v>
      </c>
    </row>
    <row r="74" spans="1:7" x14ac:dyDescent="0.25">
      <c r="A74" t="s">
        <v>371</v>
      </c>
      <c r="B74">
        <v>2001</v>
      </c>
      <c r="C74">
        <v>15</v>
      </c>
      <c r="D74">
        <v>91</v>
      </c>
      <c r="E74">
        <v>6</v>
      </c>
      <c r="F74">
        <v>27.09</v>
      </c>
      <c r="G74" s="1">
        <v>60008</v>
      </c>
    </row>
    <row r="75" spans="1:7" x14ac:dyDescent="0.25">
      <c r="A75" t="s">
        <v>444</v>
      </c>
      <c r="B75">
        <v>2001</v>
      </c>
      <c r="C75">
        <v>12</v>
      </c>
      <c r="D75">
        <v>120</v>
      </c>
      <c r="E75">
        <v>7</v>
      </c>
      <c r="F75">
        <v>0.02</v>
      </c>
      <c r="G75" s="1">
        <v>59079</v>
      </c>
    </row>
    <row r="76" spans="1:7" x14ac:dyDescent="0.25">
      <c r="A76" t="s">
        <v>447</v>
      </c>
      <c r="B76">
        <v>2001</v>
      </c>
      <c r="C76">
        <v>12</v>
      </c>
      <c r="D76">
        <v>146</v>
      </c>
      <c r="E76">
        <v>7.5</v>
      </c>
      <c r="F76">
        <v>0.02</v>
      </c>
      <c r="G76" s="1">
        <v>10569</v>
      </c>
    </row>
    <row r="77" spans="1:7" x14ac:dyDescent="0.25">
      <c r="A77" t="s">
        <v>477</v>
      </c>
      <c r="B77">
        <v>2001</v>
      </c>
      <c r="C77">
        <v>15</v>
      </c>
      <c r="D77">
        <v>109</v>
      </c>
      <c r="E77">
        <v>4.8</v>
      </c>
      <c r="F77">
        <v>0.06</v>
      </c>
      <c r="G77" s="1">
        <v>2206</v>
      </c>
    </row>
    <row r="78" spans="1:7" x14ac:dyDescent="0.25">
      <c r="A78" t="s">
        <v>919</v>
      </c>
      <c r="B78">
        <v>2001</v>
      </c>
      <c r="C78">
        <v>15</v>
      </c>
      <c r="D78">
        <v>98</v>
      </c>
      <c r="E78">
        <v>5.6</v>
      </c>
      <c r="F78">
        <v>14.25</v>
      </c>
      <c r="G78" s="1">
        <v>24389</v>
      </c>
    </row>
    <row r="79" spans="1:7" x14ac:dyDescent="0.25">
      <c r="A79" t="s">
        <v>937</v>
      </c>
      <c r="B79">
        <v>2001</v>
      </c>
      <c r="C79">
        <v>15</v>
      </c>
      <c r="D79">
        <v>130</v>
      </c>
      <c r="E79">
        <v>5.6</v>
      </c>
      <c r="F79">
        <v>0.24</v>
      </c>
      <c r="G79" s="1">
        <v>1169</v>
      </c>
    </row>
    <row r="80" spans="1:7" x14ac:dyDescent="0.25">
      <c r="A80" t="s">
        <v>1539</v>
      </c>
      <c r="B80">
        <v>2001</v>
      </c>
      <c r="C80">
        <v>18</v>
      </c>
      <c r="D80">
        <v>134</v>
      </c>
      <c r="E80">
        <v>7.3</v>
      </c>
      <c r="F80">
        <v>0.45</v>
      </c>
      <c r="G80" s="1">
        <v>4934</v>
      </c>
    </row>
    <row r="81" spans="1:7" x14ac:dyDescent="0.25">
      <c r="A81" t="s">
        <v>1612</v>
      </c>
      <c r="B81">
        <v>2001</v>
      </c>
      <c r="C81">
        <v>18</v>
      </c>
      <c r="D81">
        <v>123</v>
      </c>
      <c r="E81">
        <v>7.8</v>
      </c>
      <c r="F81">
        <v>0.62</v>
      </c>
      <c r="G81" s="1">
        <v>16271</v>
      </c>
    </row>
    <row r="82" spans="1:7" x14ac:dyDescent="0.25">
      <c r="A82" t="s">
        <v>1893</v>
      </c>
      <c r="B82">
        <v>2001</v>
      </c>
      <c r="C82">
        <v>15</v>
      </c>
      <c r="D82">
        <v>87</v>
      </c>
      <c r="E82">
        <v>7.8</v>
      </c>
      <c r="F82">
        <v>0.19</v>
      </c>
      <c r="G82" s="1">
        <v>30865</v>
      </c>
    </row>
    <row r="83" spans="1:7" x14ac:dyDescent="0.25">
      <c r="A83" t="s">
        <v>41</v>
      </c>
      <c r="B83">
        <v>2002</v>
      </c>
      <c r="C83">
        <v>15</v>
      </c>
      <c r="D83">
        <v>103</v>
      </c>
      <c r="E83">
        <v>6</v>
      </c>
      <c r="F83">
        <v>0.24</v>
      </c>
      <c r="G83" s="1">
        <v>19499</v>
      </c>
    </row>
    <row r="84" spans="1:7" x14ac:dyDescent="0.25">
      <c r="A84" t="s">
        <v>67</v>
      </c>
      <c r="B84">
        <v>2002</v>
      </c>
      <c r="C84">
        <v>15</v>
      </c>
      <c r="D84">
        <v>85</v>
      </c>
      <c r="E84">
        <v>7.4</v>
      </c>
      <c r="F84">
        <v>2.46</v>
      </c>
      <c r="G84" s="1">
        <v>4271</v>
      </c>
    </row>
    <row r="85" spans="1:7" x14ac:dyDescent="0.25">
      <c r="A85" t="s">
        <v>260</v>
      </c>
      <c r="B85">
        <v>2002</v>
      </c>
      <c r="C85">
        <v>15</v>
      </c>
      <c r="D85">
        <v>94</v>
      </c>
      <c r="E85">
        <v>5.4</v>
      </c>
      <c r="F85">
        <v>3.03</v>
      </c>
      <c r="G85" s="1">
        <v>15439</v>
      </c>
    </row>
    <row r="86" spans="1:7" x14ac:dyDescent="0.25">
      <c r="A86" t="s">
        <v>362</v>
      </c>
      <c r="B86">
        <v>2002</v>
      </c>
      <c r="C86">
        <v>12</v>
      </c>
      <c r="D86">
        <v>101</v>
      </c>
      <c r="E86">
        <v>7</v>
      </c>
      <c r="F86">
        <v>3.8</v>
      </c>
      <c r="G86" s="1">
        <v>10373</v>
      </c>
    </row>
    <row r="87" spans="1:7" x14ac:dyDescent="0.25">
      <c r="A87" t="s">
        <v>380</v>
      </c>
      <c r="B87">
        <v>2002</v>
      </c>
      <c r="C87">
        <v>18</v>
      </c>
      <c r="D87">
        <v>90</v>
      </c>
      <c r="E87">
        <v>6.9</v>
      </c>
      <c r="F87">
        <v>0.21</v>
      </c>
      <c r="G87" s="1">
        <v>8442</v>
      </c>
    </row>
    <row r="88" spans="1:7" x14ac:dyDescent="0.25">
      <c r="A88" t="s">
        <v>384</v>
      </c>
      <c r="B88">
        <v>2002</v>
      </c>
      <c r="C88">
        <v>15</v>
      </c>
      <c r="D88">
        <v>90</v>
      </c>
      <c r="E88">
        <v>6.6</v>
      </c>
      <c r="F88">
        <v>19.16</v>
      </c>
      <c r="G88" s="1">
        <v>25023</v>
      </c>
    </row>
    <row r="89" spans="1:7" x14ac:dyDescent="0.25">
      <c r="A89" t="s">
        <v>385</v>
      </c>
      <c r="B89">
        <v>2002</v>
      </c>
      <c r="C89">
        <v>15</v>
      </c>
      <c r="D89">
        <v>111</v>
      </c>
      <c r="E89">
        <v>6.8</v>
      </c>
      <c r="F89">
        <v>0.23</v>
      </c>
      <c r="G89" s="1">
        <v>8017</v>
      </c>
    </row>
    <row r="90" spans="1:7" x14ac:dyDescent="0.25">
      <c r="A90" t="s">
        <v>428</v>
      </c>
      <c r="B90">
        <v>2002</v>
      </c>
      <c r="C90">
        <v>15</v>
      </c>
      <c r="D90">
        <v>85</v>
      </c>
      <c r="E90">
        <v>5.8</v>
      </c>
      <c r="F90">
        <v>2.46</v>
      </c>
      <c r="G90">
        <v>77</v>
      </c>
    </row>
    <row r="91" spans="1:7" x14ac:dyDescent="0.25">
      <c r="A91" t="s">
        <v>469</v>
      </c>
      <c r="B91">
        <v>2002</v>
      </c>
      <c r="C91">
        <v>15</v>
      </c>
      <c r="D91">
        <v>93</v>
      </c>
      <c r="E91">
        <v>7.3</v>
      </c>
      <c r="F91">
        <v>0.73</v>
      </c>
      <c r="G91" s="1">
        <v>11926</v>
      </c>
    </row>
    <row r="92" spans="1:7" x14ac:dyDescent="0.25">
      <c r="A92" t="s">
        <v>505</v>
      </c>
      <c r="B92">
        <v>2002</v>
      </c>
      <c r="C92">
        <v>15</v>
      </c>
      <c r="D92">
        <v>110</v>
      </c>
      <c r="E92">
        <v>6.6</v>
      </c>
      <c r="F92">
        <v>6.53</v>
      </c>
      <c r="G92" s="1">
        <v>52870</v>
      </c>
    </row>
    <row r="93" spans="1:7" x14ac:dyDescent="0.25">
      <c r="A93" t="s">
        <v>1035</v>
      </c>
      <c r="B93">
        <v>2002</v>
      </c>
      <c r="C93">
        <v>15</v>
      </c>
      <c r="D93">
        <v>125</v>
      </c>
      <c r="E93">
        <v>6.9</v>
      </c>
      <c r="F93">
        <v>2.46</v>
      </c>
      <c r="G93" s="1">
        <v>2654</v>
      </c>
    </row>
    <row r="94" spans="1:7" x14ac:dyDescent="0.25">
      <c r="A94" t="s">
        <v>1200</v>
      </c>
      <c r="B94">
        <v>2002</v>
      </c>
      <c r="C94">
        <v>15</v>
      </c>
      <c r="D94">
        <v>109</v>
      </c>
      <c r="E94">
        <v>6.3</v>
      </c>
      <c r="F94">
        <v>8.36</v>
      </c>
      <c r="G94" s="1">
        <v>42091</v>
      </c>
    </row>
    <row r="95" spans="1:7" x14ac:dyDescent="0.25">
      <c r="A95" t="s">
        <v>127</v>
      </c>
      <c r="B95">
        <v>2003</v>
      </c>
      <c r="C95">
        <v>15</v>
      </c>
      <c r="D95">
        <v>104</v>
      </c>
      <c r="E95">
        <v>5.3</v>
      </c>
      <c r="F95">
        <v>0.01</v>
      </c>
      <c r="G95" s="1">
        <v>9765</v>
      </c>
    </row>
    <row r="96" spans="1:7" x14ac:dyDescent="0.25">
      <c r="A96" t="s">
        <v>379</v>
      </c>
      <c r="B96">
        <v>2003</v>
      </c>
      <c r="C96">
        <v>15</v>
      </c>
      <c r="D96">
        <v>120</v>
      </c>
      <c r="E96">
        <v>8.4</v>
      </c>
      <c r="F96">
        <v>0.71</v>
      </c>
      <c r="G96" s="1">
        <v>616490</v>
      </c>
    </row>
    <row r="97" spans="1:7" x14ac:dyDescent="0.25">
      <c r="A97" t="s">
        <v>424</v>
      </c>
      <c r="B97">
        <v>2003</v>
      </c>
      <c r="C97">
        <v>15</v>
      </c>
      <c r="D97">
        <v>92</v>
      </c>
      <c r="E97">
        <v>7.3</v>
      </c>
      <c r="F97">
        <v>7.0000000000000007E-2</v>
      </c>
      <c r="G97" s="1">
        <v>7570</v>
      </c>
    </row>
    <row r="98" spans="1:7" x14ac:dyDescent="0.25">
      <c r="A98" t="s">
        <v>463</v>
      </c>
      <c r="B98">
        <v>2003</v>
      </c>
      <c r="C98">
        <v>15</v>
      </c>
      <c r="D98">
        <v>109</v>
      </c>
      <c r="E98">
        <v>5.4</v>
      </c>
      <c r="F98">
        <v>0.34</v>
      </c>
      <c r="G98" s="1">
        <v>8869</v>
      </c>
    </row>
    <row r="99" spans="1:7" x14ac:dyDescent="0.25">
      <c r="A99" t="s">
        <v>473</v>
      </c>
      <c r="B99">
        <v>2003</v>
      </c>
      <c r="C99">
        <v>15</v>
      </c>
      <c r="D99">
        <v>186</v>
      </c>
      <c r="E99">
        <v>7.9</v>
      </c>
      <c r="F99">
        <v>1.79</v>
      </c>
      <c r="G99" s="1">
        <v>73502</v>
      </c>
    </row>
    <row r="100" spans="1:7" x14ac:dyDescent="0.25">
      <c r="A100" t="s">
        <v>676</v>
      </c>
      <c r="B100">
        <v>2003</v>
      </c>
      <c r="C100">
        <v>12</v>
      </c>
      <c r="D100">
        <v>98</v>
      </c>
      <c r="E100">
        <v>6.4</v>
      </c>
      <c r="F100">
        <v>0.77</v>
      </c>
      <c r="G100" s="1">
        <v>14509</v>
      </c>
    </row>
    <row r="101" spans="1:7" x14ac:dyDescent="0.25">
      <c r="A101" t="s">
        <v>1761</v>
      </c>
      <c r="B101">
        <v>2003</v>
      </c>
      <c r="C101">
        <v>15</v>
      </c>
      <c r="D101">
        <v>92</v>
      </c>
      <c r="E101">
        <v>6.2</v>
      </c>
      <c r="F101">
        <v>36.92</v>
      </c>
      <c r="G101" s="1">
        <v>41751</v>
      </c>
    </row>
    <row r="102" spans="1:7" x14ac:dyDescent="0.25">
      <c r="A102" t="s">
        <v>71</v>
      </c>
      <c r="B102">
        <v>2004</v>
      </c>
      <c r="C102">
        <v>18</v>
      </c>
      <c r="D102">
        <v>90</v>
      </c>
      <c r="E102">
        <v>5.0999999999999996</v>
      </c>
      <c r="F102">
        <v>2.46</v>
      </c>
      <c r="G102" s="1">
        <v>1736</v>
      </c>
    </row>
    <row r="103" spans="1:7" x14ac:dyDescent="0.25">
      <c r="A103">
        <v>2046</v>
      </c>
      <c r="B103">
        <v>2004</v>
      </c>
      <c r="C103">
        <v>15</v>
      </c>
      <c r="D103">
        <v>129</v>
      </c>
      <c r="E103">
        <v>7.4</v>
      </c>
      <c r="F103">
        <v>1.44</v>
      </c>
      <c r="G103" s="1">
        <v>60687</v>
      </c>
    </row>
    <row r="104" spans="1:7" x14ac:dyDescent="0.25">
      <c r="A104" t="s">
        <v>193</v>
      </c>
      <c r="B104">
        <v>2004</v>
      </c>
      <c r="C104">
        <v>15</v>
      </c>
      <c r="D104">
        <v>90</v>
      </c>
      <c r="E104">
        <v>7.1</v>
      </c>
      <c r="F104">
        <v>0.6</v>
      </c>
      <c r="G104" s="1">
        <v>33096</v>
      </c>
    </row>
    <row r="105" spans="1:7" x14ac:dyDescent="0.25">
      <c r="A105" t="s">
        <v>390</v>
      </c>
      <c r="B105">
        <v>2004</v>
      </c>
      <c r="C105">
        <v>15</v>
      </c>
      <c r="D105">
        <v>99</v>
      </c>
      <c r="E105">
        <v>6.4</v>
      </c>
      <c r="F105">
        <v>3.83</v>
      </c>
      <c r="G105" s="1">
        <v>32979</v>
      </c>
    </row>
    <row r="106" spans="1:7" x14ac:dyDescent="0.25">
      <c r="A106" t="s">
        <v>435</v>
      </c>
      <c r="B106">
        <v>2004</v>
      </c>
      <c r="C106">
        <v>15</v>
      </c>
      <c r="D106">
        <v>100</v>
      </c>
      <c r="E106">
        <v>7.4</v>
      </c>
      <c r="F106">
        <v>1.04</v>
      </c>
      <c r="G106" s="1">
        <v>39816</v>
      </c>
    </row>
    <row r="107" spans="1:7" x14ac:dyDescent="0.25">
      <c r="A107" t="s">
        <v>480</v>
      </c>
      <c r="B107">
        <v>2004</v>
      </c>
      <c r="C107">
        <v>15</v>
      </c>
      <c r="D107">
        <v>143</v>
      </c>
      <c r="E107">
        <v>7.6</v>
      </c>
      <c r="F107">
        <v>2.46</v>
      </c>
      <c r="G107" s="1">
        <v>7046</v>
      </c>
    </row>
    <row r="108" spans="1:7" x14ac:dyDescent="0.25">
      <c r="A108" t="s">
        <v>513</v>
      </c>
      <c r="B108">
        <v>2004</v>
      </c>
      <c r="C108">
        <v>15</v>
      </c>
      <c r="D108">
        <v>141</v>
      </c>
      <c r="E108">
        <v>8</v>
      </c>
      <c r="F108">
        <v>0.68</v>
      </c>
      <c r="G108" s="1">
        <v>30306</v>
      </c>
    </row>
    <row r="109" spans="1:7" x14ac:dyDescent="0.25">
      <c r="A109" t="s">
        <v>1375</v>
      </c>
      <c r="B109">
        <v>2004</v>
      </c>
      <c r="C109">
        <v>15</v>
      </c>
      <c r="D109">
        <v>120</v>
      </c>
      <c r="E109">
        <v>6.4</v>
      </c>
      <c r="F109">
        <v>2.46</v>
      </c>
      <c r="G109" s="1">
        <v>1251</v>
      </c>
    </row>
    <row r="110" spans="1:7" x14ac:dyDescent="0.25">
      <c r="A110" t="s">
        <v>1381</v>
      </c>
      <c r="B110">
        <v>2004</v>
      </c>
      <c r="C110">
        <v>15</v>
      </c>
      <c r="D110">
        <v>100</v>
      </c>
      <c r="E110">
        <v>7.3</v>
      </c>
      <c r="F110">
        <v>2.46</v>
      </c>
      <c r="G110" s="1">
        <v>24248</v>
      </c>
    </row>
    <row r="111" spans="1:7" x14ac:dyDescent="0.25">
      <c r="A111" t="s">
        <v>21</v>
      </c>
      <c r="B111">
        <v>2005</v>
      </c>
      <c r="C111">
        <v>15</v>
      </c>
      <c r="D111">
        <v>108</v>
      </c>
      <c r="E111">
        <v>6.9</v>
      </c>
      <c r="F111">
        <v>0.05</v>
      </c>
      <c r="G111" s="1">
        <v>18998</v>
      </c>
    </row>
    <row r="112" spans="1:7" x14ac:dyDescent="0.25">
      <c r="A112" t="s">
        <v>69</v>
      </c>
      <c r="B112">
        <v>2005</v>
      </c>
      <c r="C112">
        <v>15</v>
      </c>
      <c r="D112">
        <v>107</v>
      </c>
      <c r="E112">
        <v>7.1</v>
      </c>
      <c r="F112">
        <v>11.01</v>
      </c>
      <c r="G112" s="1">
        <v>57321</v>
      </c>
    </row>
    <row r="113" spans="1:7" x14ac:dyDescent="0.25">
      <c r="A113" t="s">
        <v>91</v>
      </c>
      <c r="B113">
        <v>2005</v>
      </c>
      <c r="C113">
        <v>18</v>
      </c>
      <c r="D113">
        <v>108</v>
      </c>
      <c r="E113">
        <v>6.4</v>
      </c>
      <c r="F113">
        <v>0.56999999999999995</v>
      </c>
      <c r="G113" s="1">
        <v>18833</v>
      </c>
    </row>
    <row r="114" spans="1:7" x14ac:dyDescent="0.25">
      <c r="A114" t="s">
        <v>130</v>
      </c>
      <c r="B114">
        <v>2005</v>
      </c>
      <c r="C114">
        <v>15</v>
      </c>
      <c r="D114">
        <v>83</v>
      </c>
      <c r="E114">
        <v>6.2</v>
      </c>
      <c r="F114">
        <v>0.01</v>
      </c>
      <c r="G114" s="1">
        <v>1528</v>
      </c>
    </row>
    <row r="115" spans="1:7" x14ac:dyDescent="0.25">
      <c r="A115" t="s">
        <v>209</v>
      </c>
      <c r="B115">
        <v>2005</v>
      </c>
      <c r="C115">
        <v>15</v>
      </c>
      <c r="D115">
        <v>125</v>
      </c>
      <c r="E115">
        <v>7</v>
      </c>
      <c r="F115">
        <v>62.66</v>
      </c>
      <c r="G115" s="1">
        <v>202178</v>
      </c>
    </row>
    <row r="116" spans="1:7" x14ac:dyDescent="0.25">
      <c r="A116" t="s">
        <v>352</v>
      </c>
      <c r="B116">
        <v>2005</v>
      </c>
      <c r="C116">
        <v>15</v>
      </c>
      <c r="D116">
        <v>132</v>
      </c>
      <c r="E116">
        <v>6.6</v>
      </c>
      <c r="F116">
        <v>10.17</v>
      </c>
      <c r="G116" s="1">
        <v>23792</v>
      </c>
    </row>
    <row r="117" spans="1:7" x14ac:dyDescent="0.25">
      <c r="A117" t="s">
        <v>518</v>
      </c>
      <c r="B117">
        <v>2005</v>
      </c>
      <c r="C117">
        <v>15</v>
      </c>
      <c r="D117">
        <v>108</v>
      </c>
      <c r="E117">
        <v>6.7</v>
      </c>
      <c r="F117">
        <v>11.97</v>
      </c>
      <c r="G117" s="1">
        <v>5431</v>
      </c>
    </row>
    <row r="118" spans="1:7" x14ac:dyDescent="0.25">
      <c r="A118" t="s">
        <v>1023</v>
      </c>
      <c r="B118">
        <v>2005</v>
      </c>
      <c r="C118">
        <v>15</v>
      </c>
      <c r="D118">
        <v>105</v>
      </c>
      <c r="E118">
        <v>5.2</v>
      </c>
      <c r="F118">
        <v>28.21</v>
      </c>
      <c r="G118" s="1">
        <v>117525</v>
      </c>
    </row>
    <row r="119" spans="1:7" x14ac:dyDescent="0.25">
      <c r="A119" t="s">
        <v>1231</v>
      </c>
      <c r="B119">
        <v>2005</v>
      </c>
      <c r="C119">
        <v>15</v>
      </c>
      <c r="D119">
        <v>100</v>
      </c>
      <c r="E119">
        <v>6.3</v>
      </c>
      <c r="F119">
        <v>2.46</v>
      </c>
      <c r="G119" s="1">
        <v>14991</v>
      </c>
    </row>
    <row r="120" spans="1:7" x14ac:dyDescent="0.25">
      <c r="A120" t="s">
        <v>1601</v>
      </c>
      <c r="B120">
        <v>2005</v>
      </c>
      <c r="C120">
        <v>15</v>
      </c>
      <c r="D120">
        <v>102</v>
      </c>
      <c r="E120">
        <v>5.7</v>
      </c>
      <c r="F120">
        <v>2.46</v>
      </c>
      <c r="G120" s="1">
        <v>4132</v>
      </c>
    </row>
    <row r="121" spans="1:7" x14ac:dyDescent="0.25">
      <c r="A121" t="s">
        <v>38</v>
      </c>
      <c r="B121">
        <v>2006</v>
      </c>
      <c r="C121">
        <v>18</v>
      </c>
      <c r="D121">
        <v>120</v>
      </c>
      <c r="E121">
        <v>7.1</v>
      </c>
      <c r="F121">
        <v>2.2000000000000002</v>
      </c>
      <c r="G121" s="1">
        <v>129964</v>
      </c>
    </row>
    <row r="122" spans="1:7" x14ac:dyDescent="0.25">
      <c r="A122" t="s">
        <v>43</v>
      </c>
      <c r="B122">
        <v>2006</v>
      </c>
      <c r="C122">
        <v>12</v>
      </c>
      <c r="D122">
        <v>22</v>
      </c>
      <c r="E122">
        <v>8.1999999999999993</v>
      </c>
      <c r="F122">
        <v>2.46</v>
      </c>
      <c r="G122">
        <v>71</v>
      </c>
    </row>
    <row r="123" spans="1:7" x14ac:dyDescent="0.25">
      <c r="A123" t="s">
        <v>65</v>
      </c>
      <c r="B123">
        <v>2006</v>
      </c>
      <c r="C123">
        <v>15</v>
      </c>
      <c r="D123">
        <v>91</v>
      </c>
      <c r="E123">
        <v>5.8</v>
      </c>
      <c r="F123">
        <v>0.05</v>
      </c>
      <c r="G123" s="1">
        <v>8570</v>
      </c>
    </row>
    <row r="124" spans="1:7" x14ac:dyDescent="0.25">
      <c r="A124" t="s">
        <v>106</v>
      </c>
      <c r="B124">
        <v>2006</v>
      </c>
      <c r="C124">
        <v>15</v>
      </c>
      <c r="D124">
        <v>92</v>
      </c>
      <c r="E124">
        <v>6.2</v>
      </c>
      <c r="F124">
        <v>0.02</v>
      </c>
      <c r="G124">
        <v>550</v>
      </c>
    </row>
    <row r="125" spans="1:7" x14ac:dyDescent="0.25">
      <c r="A125" t="s">
        <v>287</v>
      </c>
      <c r="B125">
        <v>2006</v>
      </c>
      <c r="C125">
        <v>15</v>
      </c>
      <c r="D125">
        <v>102</v>
      </c>
      <c r="E125">
        <v>3.7</v>
      </c>
      <c r="F125">
        <v>0</v>
      </c>
      <c r="G125">
        <v>537</v>
      </c>
    </row>
    <row r="126" spans="1:7" x14ac:dyDescent="0.25">
      <c r="A126" t="s">
        <v>305</v>
      </c>
      <c r="B126">
        <v>2006</v>
      </c>
      <c r="C126">
        <v>13</v>
      </c>
      <c r="D126">
        <v>97</v>
      </c>
      <c r="E126">
        <v>5.2</v>
      </c>
      <c r="F126">
        <v>2.46</v>
      </c>
      <c r="G126">
        <v>723</v>
      </c>
    </row>
    <row r="127" spans="1:7" x14ac:dyDescent="0.25">
      <c r="A127" t="s">
        <v>316</v>
      </c>
      <c r="B127">
        <v>2006</v>
      </c>
      <c r="C127">
        <v>15</v>
      </c>
      <c r="D127">
        <v>118</v>
      </c>
      <c r="E127">
        <v>7.3</v>
      </c>
      <c r="F127">
        <v>3.44</v>
      </c>
      <c r="G127" s="1">
        <v>20031</v>
      </c>
    </row>
    <row r="128" spans="1:7" x14ac:dyDescent="0.25">
      <c r="A128" t="s">
        <v>375</v>
      </c>
      <c r="B128">
        <v>2006</v>
      </c>
      <c r="C128">
        <v>15</v>
      </c>
      <c r="D128">
        <v>85</v>
      </c>
      <c r="E128">
        <v>6.9</v>
      </c>
      <c r="F128">
        <v>2.46</v>
      </c>
      <c r="G128" s="1">
        <v>8685</v>
      </c>
    </row>
    <row r="129" spans="1:7" x14ac:dyDescent="0.25">
      <c r="A129" t="s">
        <v>388</v>
      </c>
      <c r="B129">
        <v>2006</v>
      </c>
      <c r="C129">
        <v>15</v>
      </c>
      <c r="D129">
        <v>90</v>
      </c>
      <c r="E129">
        <v>5.6</v>
      </c>
      <c r="F129">
        <v>72.78</v>
      </c>
      <c r="G129" s="1">
        <v>33598</v>
      </c>
    </row>
    <row r="130" spans="1:7" x14ac:dyDescent="0.25">
      <c r="A130" t="s">
        <v>432</v>
      </c>
      <c r="B130">
        <v>2006</v>
      </c>
      <c r="C130">
        <v>15</v>
      </c>
      <c r="D130">
        <v>95</v>
      </c>
      <c r="E130">
        <v>6</v>
      </c>
      <c r="F130">
        <v>21</v>
      </c>
      <c r="G130" s="1">
        <v>8385</v>
      </c>
    </row>
    <row r="131" spans="1:7" x14ac:dyDescent="0.25">
      <c r="A131" t="s">
        <v>440</v>
      </c>
      <c r="B131">
        <v>2006</v>
      </c>
      <c r="C131">
        <v>15</v>
      </c>
      <c r="D131">
        <v>95</v>
      </c>
      <c r="E131">
        <v>7.4</v>
      </c>
      <c r="F131">
        <v>0.32</v>
      </c>
      <c r="G131" s="1">
        <v>11440</v>
      </c>
    </row>
    <row r="132" spans="1:7" x14ac:dyDescent="0.25">
      <c r="A132" t="s">
        <v>461</v>
      </c>
      <c r="B132">
        <v>2006</v>
      </c>
      <c r="C132">
        <v>18</v>
      </c>
      <c r="D132">
        <v>83</v>
      </c>
      <c r="E132">
        <v>6.7</v>
      </c>
      <c r="F132">
        <v>155.02000000000001</v>
      </c>
      <c r="G132" s="1">
        <v>186231</v>
      </c>
    </row>
    <row r="133" spans="1:7" x14ac:dyDescent="0.25">
      <c r="A133" t="s">
        <v>938</v>
      </c>
      <c r="B133">
        <v>2006</v>
      </c>
      <c r="C133">
        <v>15</v>
      </c>
      <c r="D133">
        <v>95</v>
      </c>
      <c r="E133">
        <v>5.8</v>
      </c>
      <c r="F133">
        <v>0.02</v>
      </c>
      <c r="G133" s="1">
        <v>1377</v>
      </c>
    </row>
    <row r="134" spans="1:7" x14ac:dyDescent="0.25">
      <c r="A134" t="s">
        <v>1022</v>
      </c>
      <c r="B134">
        <v>2006</v>
      </c>
      <c r="C134">
        <v>15</v>
      </c>
      <c r="D134">
        <v>122</v>
      </c>
      <c r="E134">
        <v>7.5</v>
      </c>
      <c r="F134">
        <v>8.66</v>
      </c>
      <c r="G134" s="1">
        <v>21478</v>
      </c>
    </row>
    <row r="135" spans="1:7" x14ac:dyDescent="0.25">
      <c r="A135" t="s">
        <v>1240</v>
      </c>
      <c r="B135">
        <v>2006</v>
      </c>
      <c r="C135">
        <v>15</v>
      </c>
      <c r="D135">
        <v>105</v>
      </c>
      <c r="E135">
        <v>7.3</v>
      </c>
      <c r="F135">
        <v>0.55000000000000004</v>
      </c>
      <c r="G135" s="1">
        <v>14848</v>
      </c>
    </row>
    <row r="136" spans="1:7" x14ac:dyDescent="0.25">
      <c r="A136" t="s">
        <v>1300</v>
      </c>
      <c r="B136">
        <v>2006</v>
      </c>
      <c r="C136">
        <v>15</v>
      </c>
      <c r="D136">
        <v>92</v>
      </c>
      <c r="E136">
        <v>6.7</v>
      </c>
      <c r="F136">
        <v>0.21</v>
      </c>
      <c r="G136" s="1">
        <v>24749</v>
      </c>
    </row>
    <row r="137" spans="1:7" x14ac:dyDescent="0.25">
      <c r="A137" t="s">
        <v>1741</v>
      </c>
      <c r="B137">
        <v>2006</v>
      </c>
      <c r="C137">
        <v>15</v>
      </c>
      <c r="D137">
        <v>98</v>
      </c>
      <c r="E137">
        <v>7.7</v>
      </c>
      <c r="F137">
        <v>2.46</v>
      </c>
      <c r="G137" s="1">
        <v>69606</v>
      </c>
    </row>
    <row r="138" spans="1:7" x14ac:dyDescent="0.25">
      <c r="A138" t="s">
        <v>80</v>
      </c>
      <c r="B138">
        <v>2007</v>
      </c>
      <c r="C138">
        <v>15</v>
      </c>
      <c r="D138">
        <v>112</v>
      </c>
      <c r="E138">
        <v>6.7</v>
      </c>
      <c r="F138">
        <v>3.17</v>
      </c>
      <c r="G138" s="1">
        <v>21178</v>
      </c>
    </row>
    <row r="139" spans="1:7" x14ac:dyDescent="0.25">
      <c r="A139" t="s">
        <v>99</v>
      </c>
      <c r="B139">
        <v>2007</v>
      </c>
      <c r="C139">
        <v>12</v>
      </c>
      <c r="D139">
        <v>94</v>
      </c>
      <c r="E139">
        <v>7.2</v>
      </c>
      <c r="F139">
        <v>0.15</v>
      </c>
      <c r="G139" s="1">
        <v>5960</v>
      </c>
    </row>
    <row r="140" spans="1:7" x14ac:dyDescent="0.25">
      <c r="A140" t="s">
        <v>229</v>
      </c>
      <c r="B140">
        <v>2007</v>
      </c>
      <c r="C140">
        <v>12</v>
      </c>
      <c r="D140">
        <v>115</v>
      </c>
      <c r="E140">
        <v>8</v>
      </c>
      <c r="F140">
        <v>0.01</v>
      </c>
      <c r="G140" s="1">
        <v>108337</v>
      </c>
    </row>
    <row r="141" spans="1:7" x14ac:dyDescent="0.25">
      <c r="A141" t="s">
        <v>233</v>
      </c>
      <c r="B141">
        <v>2007</v>
      </c>
      <c r="C141">
        <v>15</v>
      </c>
      <c r="D141">
        <v>101</v>
      </c>
      <c r="E141">
        <v>5.7</v>
      </c>
      <c r="F141">
        <v>2.46</v>
      </c>
      <c r="G141" s="1">
        <v>3816</v>
      </c>
    </row>
    <row r="142" spans="1:7" x14ac:dyDescent="0.25">
      <c r="A142" t="s">
        <v>332</v>
      </c>
      <c r="B142">
        <v>2007</v>
      </c>
      <c r="C142">
        <v>15</v>
      </c>
      <c r="D142">
        <v>92</v>
      </c>
      <c r="E142">
        <v>5.2</v>
      </c>
      <c r="F142">
        <v>217.33</v>
      </c>
      <c r="G142" s="1">
        <v>92449</v>
      </c>
    </row>
    <row r="143" spans="1:7" x14ac:dyDescent="0.25">
      <c r="A143" t="s">
        <v>351</v>
      </c>
      <c r="B143">
        <v>2007</v>
      </c>
      <c r="C143">
        <v>15</v>
      </c>
      <c r="D143">
        <v>85</v>
      </c>
      <c r="E143">
        <v>6.5</v>
      </c>
      <c r="F143">
        <v>7.0000000000000007E-2</v>
      </c>
      <c r="G143" s="1">
        <v>10175</v>
      </c>
    </row>
    <row r="144" spans="1:7" x14ac:dyDescent="0.25">
      <c r="A144" t="s">
        <v>368</v>
      </c>
      <c r="B144">
        <v>2007</v>
      </c>
      <c r="C144">
        <v>15</v>
      </c>
      <c r="D144">
        <v>85</v>
      </c>
      <c r="E144">
        <v>7.3</v>
      </c>
      <c r="F144">
        <v>2.46</v>
      </c>
      <c r="G144">
        <v>594</v>
      </c>
    </row>
    <row r="145" spans="1:7" x14ac:dyDescent="0.25">
      <c r="A145" t="s">
        <v>381</v>
      </c>
      <c r="B145">
        <v>2007</v>
      </c>
      <c r="C145">
        <v>15</v>
      </c>
      <c r="D145">
        <v>104</v>
      </c>
      <c r="E145">
        <v>6.9</v>
      </c>
      <c r="F145">
        <v>0.63</v>
      </c>
      <c r="G145" s="1">
        <v>2671</v>
      </c>
    </row>
    <row r="146" spans="1:7" x14ac:dyDescent="0.25">
      <c r="A146" t="s">
        <v>417</v>
      </c>
      <c r="B146">
        <v>2007</v>
      </c>
      <c r="C146">
        <v>15</v>
      </c>
      <c r="D146">
        <v>90</v>
      </c>
      <c r="E146">
        <v>7.2</v>
      </c>
      <c r="F146">
        <v>0.17</v>
      </c>
      <c r="G146" s="1">
        <v>8342</v>
      </c>
    </row>
    <row r="147" spans="1:7" x14ac:dyDescent="0.25">
      <c r="A147" t="s">
        <v>423</v>
      </c>
      <c r="B147">
        <v>2007</v>
      </c>
      <c r="C147">
        <v>18</v>
      </c>
      <c r="D147">
        <v>92</v>
      </c>
      <c r="E147">
        <v>7.1</v>
      </c>
      <c r="F147">
        <v>0.05</v>
      </c>
      <c r="G147" s="1">
        <v>11089</v>
      </c>
    </row>
    <row r="148" spans="1:7" x14ac:dyDescent="0.25">
      <c r="A148" t="s">
        <v>448</v>
      </c>
      <c r="B148">
        <v>2007</v>
      </c>
      <c r="C148">
        <v>15</v>
      </c>
      <c r="D148">
        <v>115</v>
      </c>
      <c r="E148">
        <v>6.2</v>
      </c>
      <c r="F148">
        <v>0.79</v>
      </c>
      <c r="G148" s="1">
        <v>3717</v>
      </c>
    </row>
    <row r="149" spans="1:7" x14ac:dyDescent="0.25">
      <c r="A149" t="s">
        <v>501</v>
      </c>
      <c r="B149">
        <v>2007</v>
      </c>
      <c r="C149">
        <v>15</v>
      </c>
      <c r="D149">
        <v>106</v>
      </c>
      <c r="E149">
        <v>7.2</v>
      </c>
      <c r="F149">
        <v>0.31</v>
      </c>
      <c r="G149" s="1">
        <v>16141</v>
      </c>
    </row>
    <row r="150" spans="1:7" x14ac:dyDescent="0.25">
      <c r="A150" t="s">
        <v>506</v>
      </c>
      <c r="B150">
        <v>2007</v>
      </c>
      <c r="C150">
        <v>12</v>
      </c>
      <c r="D150">
        <v>98</v>
      </c>
      <c r="E150">
        <v>5.3</v>
      </c>
      <c r="F150">
        <v>3.53</v>
      </c>
      <c r="G150" s="1">
        <v>18162</v>
      </c>
    </row>
    <row r="151" spans="1:7" x14ac:dyDescent="0.25">
      <c r="A151" t="s">
        <v>1697</v>
      </c>
      <c r="B151">
        <v>2007</v>
      </c>
      <c r="C151">
        <v>15</v>
      </c>
      <c r="D151">
        <v>90</v>
      </c>
      <c r="E151">
        <v>7.8</v>
      </c>
      <c r="F151">
        <v>0.21</v>
      </c>
      <c r="G151">
        <v>973</v>
      </c>
    </row>
    <row r="152" spans="1:7" x14ac:dyDescent="0.25">
      <c r="A152" t="s">
        <v>1745</v>
      </c>
      <c r="B152">
        <v>2007</v>
      </c>
      <c r="C152">
        <v>15</v>
      </c>
      <c r="D152">
        <v>126</v>
      </c>
      <c r="E152">
        <v>7.1</v>
      </c>
      <c r="F152">
        <v>25.59</v>
      </c>
      <c r="G152" s="1">
        <v>331703</v>
      </c>
    </row>
    <row r="153" spans="1:7" x14ac:dyDescent="0.25">
      <c r="A153" t="s">
        <v>31</v>
      </c>
      <c r="B153">
        <v>2008</v>
      </c>
      <c r="C153">
        <v>12</v>
      </c>
      <c r="D153">
        <v>60</v>
      </c>
      <c r="E153">
        <v>7</v>
      </c>
      <c r="F153">
        <v>2.46</v>
      </c>
      <c r="G153" s="1">
        <v>2642</v>
      </c>
    </row>
    <row r="154" spans="1:7" x14ac:dyDescent="0.25">
      <c r="A154" t="s">
        <v>42</v>
      </c>
      <c r="B154">
        <v>2008</v>
      </c>
      <c r="C154">
        <v>12</v>
      </c>
      <c r="D154">
        <v>95</v>
      </c>
      <c r="E154">
        <v>6.7</v>
      </c>
      <c r="F154">
        <v>2.46</v>
      </c>
      <c r="G154" s="1">
        <v>3728</v>
      </c>
    </row>
    <row r="155" spans="1:7" x14ac:dyDescent="0.25">
      <c r="A155" s="2">
        <v>9.99</v>
      </c>
      <c r="B155">
        <v>2008</v>
      </c>
      <c r="C155">
        <v>15</v>
      </c>
      <c r="D155">
        <v>78</v>
      </c>
      <c r="E155">
        <v>6.7</v>
      </c>
      <c r="F155">
        <v>0.05</v>
      </c>
      <c r="G155" s="1">
        <v>3447</v>
      </c>
    </row>
    <row r="156" spans="1:7" x14ac:dyDescent="0.25">
      <c r="A156" t="s">
        <v>263</v>
      </c>
      <c r="B156">
        <v>2008</v>
      </c>
      <c r="C156">
        <v>15</v>
      </c>
      <c r="D156">
        <v>93</v>
      </c>
      <c r="E156">
        <v>5.8</v>
      </c>
      <c r="F156">
        <v>0.27</v>
      </c>
      <c r="G156" s="1">
        <v>38738</v>
      </c>
    </row>
    <row r="157" spans="1:7" x14ac:dyDescent="0.25">
      <c r="A157" t="s">
        <v>329</v>
      </c>
      <c r="B157">
        <v>2008</v>
      </c>
      <c r="C157">
        <v>12</v>
      </c>
      <c r="D157">
        <v>87</v>
      </c>
      <c r="E157">
        <v>7</v>
      </c>
      <c r="F157">
        <v>0.12</v>
      </c>
      <c r="G157" s="1">
        <v>1813</v>
      </c>
    </row>
    <row r="158" spans="1:7" x14ac:dyDescent="0.25">
      <c r="A158" t="s">
        <v>430</v>
      </c>
      <c r="B158">
        <v>2008</v>
      </c>
      <c r="C158">
        <v>18</v>
      </c>
      <c r="D158">
        <v>93</v>
      </c>
      <c r="E158">
        <v>6.8</v>
      </c>
      <c r="F158">
        <v>2.46</v>
      </c>
      <c r="G158">
        <v>200</v>
      </c>
    </row>
    <row r="159" spans="1:7" x14ac:dyDescent="0.25">
      <c r="A159" t="s">
        <v>445</v>
      </c>
      <c r="B159">
        <v>2008</v>
      </c>
      <c r="C159">
        <v>12</v>
      </c>
      <c r="D159">
        <v>140</v>
      </c>
      <c r="E159">
        <v>7.1</v>
      </c>
      <c r="F159">
        <v>2.46</v>
      </c>
      <c r="G159">
        <v>608</v>
      </c>
    </row>
    <row r="160" spans="1:7" x14ac:dyDescent="0.25">
      <c r="A160" t="s">
        <v>452</v>
      </c>
      <c r="B160">
        <v>2008</v>
      </c>
      <c r="C160">
        <v>15</v>
      </c>
      <c r="D160">
        <v>126</v>
      </c>
      <c r="E160">
        <v>7.4</v>
      </c>
      <c r="F160">
        <v>0.71</v>
      </c>
      <c r="G160" s="1">
        <v>16243</v>
      </c>
    </row>
    <row r="161" spans="1:7" x14ac:dyDescent="0.25">
      <c r="A161" t="s">
        <v>460</v>
      </c>
      <c r="B161">
        <v>2008</v>
      </c>
      <c r="C161">
        <v>15</v>
      </c>
      <c r="D161">
        <v>89</v>
      </c>
      <c r="E161">
        <v>6.6</v>
      </c>
      <c r="F161">
        <v>0.01</v>
      </c>
      <c r="G161" s="1">
        <v>1751</v>
      </c>
    </row>
    <row r="162" spans="1:7" x14ac:dyDescent="0.25">
      <c r="A162" t="s">
        <v>609</v>
      </c>
      <c r="B162">
        <v>2008</v>
      </c>
      <c r="C162">
        <v>12</v>
      </c>
      <c r="D162">
        <v>95</v>
      </c>
      <c r="E162">
        <v>8.5</v>
      </c>
      <c r="F162">
        <v>0.02</v>
      </c>
      <c r="G162" s="1">
        <v>39598</v>
      </c>
    </row>
    <row r="163" spans="1:7" x14ac:dyDescent="0.25">
      <c r="A163" t="s">
        <v>762</v>
      </c>
      <c r="B163">
        <v>2008</v>
      </c>
      <c r="C163">
        <v>15</v>
      </c>
      <c r="D163">
        <v>120</v>
      </c>
      <c r="E163">
        <v>7</v>
      </c>
      <c r="F163">
        <v>75.75</v>
      </c>
      <c r="G163" s="1">
        <v>282314</v>
      </c>
    </row>
    <row r="164" spans="1:7" x14ac:dyDescent="0.25">
      <c r="A164" t="s">
        <v>820</v>
      </c>
      <c r="B164">
        <v>2008</v>
      </c>
      <c r="C164">
        <v>15</v>
      </c>
      <c r="D164">
        <v>102</v>
      </c>
      <c r="E164">
        <v>5.7</v>
      </c>
      <c r="F164">
        <v>0.02</v>
      </c>
      <c r="G164" s="1">
        <v>3042</v>
      </c>
    </row>
    <row r="165" spans="1:7" x14ac:dyDescent="0.25">
      <c r="A165" t="s">
        <v>915</v>
      </c>
      <c r="B165">
        <v>2008</v>
      </c>
      <c r="C165">
        <v>15</v>
      </c>
      <c r="D165">
        <v>93</v>
      </c>
      <c r="E165">
        <v>6.1</v>
      </c>
      <c r="F165">
        <v>50.88</v>
      </c>
      <c r="G165" s="1">
        <v>39503</v>
      </c>
    </row>
    <row r="166" spans="1:7" x14ac:dyDescent="0.25">
      <c r="A166" t="s">
        <v>966</v>
      </c>
      <c r="B166">
        <v>2008</v>
      </c>
      <c r="C166">
        <v>15</v>
      </c>
      <c r="D166">
        <v>101</v>
      </c>
      <c r="E166">
        <v>7.7</v>
      </c>
      <c r="F166">
        <v>0.8</v>
      </c>
      <c r="G166" s="1">
        <v>3531</v>
      </c>
    </row>
    <row r="167" spans="1:7" x14ac:dyDescent="0.25">
      <c r="A167" t="s">
        <v>1320</v>
      </c>
      <c r="B167">
        <v>2008</v>
      </c>
      <c r="C167">
        <v>18</v>
      </c>
      <c r="D167">
        <v>93</v>
      </c>
      <c r="E167">
        <v>6.9</v>
      </c>
      <c r="F167">
        <v>0</v>
      </c>
      <c r="G167" s="1">
        <v>12486</v>
      </c>
    </row>
    <row r="168" spans="1:7" x14ac:dyDescent="0.25">
      <c r="A168" t="s">
        <v>49</v>
      </c>
      <c r="B168">
        <v>2009</v>
      </c>
      <c r="C168">
        <v>15</v>
      </c>
      <c r="D168">
        <v>96</v>
      </c>
      <c r="E168">
        <v>6.9</v>
      </c>
      <c r="F168">
        <v>0.01</v>
      </c>
      <c r="G168" s="1">
        <v>3660</v>
      </c>
    </row>
    <row r="169" spans="1:7" x14ac:dyDescent="0.25">
      <c r="A169" t="s">
        <v>85</v>
      </c>
      <c r="B169">
        <v>2009</v>
      </c>
      <c r="C169">
        <v>15</v>
      </c>
      <c r="D169">
        <v>88</v>
      </c>
      <c r="E169">
        <v>6</v>
      </c>
      <c r="F169">
        <v>0.13</v>
      </c>
      <c r="G169" s="1">
        <v>3083</v>
      </c>
    </row>
    <row r="170" spans="1:7" x14ac:dyDescent="0.25">
      <c r="A170" t="s">
        <v>111</v>
      </c>
      <c r="B170">
        <v>2009</v>
      </c>
      <c r="C170">
        <v>12</v>
      </c>
      <c r="D170">
        <v>90</v>
      </c>
      <c r="E170">
        <v>7</v>
      </c>
      <c r="F170">
        <v>3.82</v>
      </c>
      <c r="G170" s="1">
        <v>7932</v>
      </c>
    </row>
    <row r="171" spans="1:7" x14ac:dyDescent="0.25">
      <c r="A171" t="s">
        <v>116</v>
      </c>
      <c r="B171">
        <v>2009</v>
      </c>
      <c r="C171">
        <v>15</v>
      </c>
      <c r="D171">
        <v>98</v>
      </c>
      <c r="E171">
        <v>7</v>
      </c>
      <c r="F171">
        <v>9.4499999999999993</v>
      </c>
      <c r="G171" s="1">
        <v>54760</v>
      </c>
    </row>
    <row r="172" spans="1:7" x14ac:dyDescent="0.25">
      <c r="A172" t="s">
        <v>129</v>
      </c>
      <c r="B172">
        <v>2009</v>
      </c>
      <c r="C172">
        <v>15</v>
      </c>
      <c r="D172">
        <v>129</v>
      </c>
      <c r="E172">
        <v>6.4</v>
      </c>
      <c r="F172">
        <v>93.95</v>
      </c>
      <c r="G172" s="1">
        <v>180043</v>
      </c>
    </row>
    <row r="173" spans="1:7" x14ac:dyDescent="0.25">
      <c r="A173" t="s">
        <v>178</v>
      </c>
      <c r="B173">
        <v>2009</v>
      </c>
      <c r="C173">
        <v>15</v>
      </c>
      <c r="D173">
        <v>87</v>
      </c>
      <c r="E173">
        <v>5.9</v>
      </c>
      <c r="F173">
        <v>0.01</v>
      </c>
      <c r="G173" s="1">
        <v>1343</v>
      </c>
    </row>
    <row r="174" spans="1:7" x14ac:dyDescent="0.25">
      <c r="A174" t="s">
        <v>255</v>
      </c>
      <c r="B174">
        <v>2009</v>
      </c>
      <c r="C174">
        <v>18</v>
      </c>
      <c r="D174">
        <v>89</v>
      </c>
      <c r="E174">
        <v>6.1</v>
      </c>
      <c r="F174">
        <v>0.11</v>
      </c>
      <c r="G174" s="1">
        <v>12143</v>
      </c>
    </row>
    <row r="175" spans="1:7" x14ac:dyDescent="0.25">
      <c r="A175" t="s">
        <v>355</v>
      </c>
      <c r="B175">
        <v>2009</v>
      </c>
      <c r="C175">
        <v>15</v>
      </c>
      <c r="D175">
        <v>88</v>
      </c>
      <c r="E175">
        <v>4.5</v>
      </c>
      <c r="F175">
        <v>219.61</v>
      </c>
      <c r="G175" s="1">
        <v>53055</v>
      </c>
    </row>
    <row r="176" spans="1:7" x14ac:dyDescent="0.25">
      <c r="A176" t="s">
        <v>376</v>
      </c>
      <c r="B176">
        <v>2009</v>
      </c>
      <c r="C176">
        <v>15</v>
      </c>
      <c r="D176">
        <v>119</v>
      </c>
      <c r="E176">
        <v>6.6</v>
      </c>
      <c r="F176">
        <v>2.46</v>
      </c>
      <c r="G176" s="1">
        <v>7019</v>
      </c>
    </row>
    <row r="177" spans="1:7" x14ac:dyDescent="0.25">
      <c r="A177" t="s">
        <v>377</v>
      </c>
      <c r="B177">
        <v>2009</v>
      </c>
      <c r="C177">
        <v>15</v>
      </c>
      <c r="D177">
        <v>109</v>
      </c>
      <c r="E177">
        <v>7</v>
      </c>
      <c r="F177">
        <v>0.02</v>
      </c>
      <c r="G177" s="1">
        <v>2652</v>
      </c>
    </row>
    <row r="178" spans="1:7" x14ac:dyDescent="0.25">
      <c r="A178" t="s">
        <v>383</v>
      </c>
      <c r="B178">
        <v>2009</v>
      </c>
      <c r="C178">
        <v>15</v>
      </c>
      <c r="D178">
        <v>74</v>
      </c>
      <c r="E178">
        <v>7.3</v>
      </c>
      <c r="F178">
        <v>2.46</v>
      </c>
      <c r="G178" s="1">
        <v>2455</v>
      </c>
    </row>
    <row r="179" spans="1:7" x14ac:dyDescent="0.25">
      <c r="A179" t="s">
        <v>438</v>
      </c>
      <c r="B179">
        <v>2009</v>
      </c>
      <c r="C179">
        <v>18</v>
      </c>
      <c r="D179">
        <v>103</v>
      </c>
      <c r="E179">
        <v>6.1</v>
      </c>
      <c r="F179">
        <v>0.23</v>
      </c>
      <c r="G179" s="1">
        <v>1496</v>
      </c>
    </row>
    <row r="180" spans="1:7" x14ac:dyDescent="0.25">
      <c r="A180" t="s">
        <v>475</v>
      </c>
      <c r="B180">
        <v>2009</v>
      </c>
      <c r="C180">
        <v>15</v>
      </c>
      <c r="D180">
        <v>119</v>
      </c>
      <c r="E180">
        <v>7.9</v>
      </c>
      <c r="F180">
        <v>0.11</v>
      </c>
      <c r="G180" s="1">
        <v>56198</v>
      </c>
    </row>
    <row r="181" spans="1:7" x14ac:dyDescent="0.25">
      <c r="A181" t="s">
        <v>498</v>
      </c>
      <c r="B181">
        <v>2009</v>
      </c>
      <c r="C181">
        <v>15</v>
      </c>
      <c r="D181">
        <v>88</v>
      </c>
      <c r="E181">
        <v>7.2</v>
      </c>
      <c r="F181">
        <v>0.03</v>
      </c>
      <c r="G181">
        <v>643</v>
      </c>
    </row>
    <row r="182" spans="1:7" x14ac:dyDescent="0.25">
      <c r="A182" t="s">
        <v>529</v>
      </c>
      <c r="B182">
        <v>2009</v>
      </c>
      <c r="C182">
        <v>15</v>
      </c>
      <c r="D182">
        <v>86</v>
      </c>
      <c r="E182">
        <v>7.6</v>
      </c>
      <c r="F182">
        <v>0.24</v>
      </c>
      <c r="G182" s="1">
        <v>10165</v>
      </c>
    </row>
    <row r="183" spans="1:7" x14ac:dyDescent="0.25">
      <c r="A183" t="s">
        <v>606</v>
      </c>
      <c r="B183">
        <v>2009</v>
      </c>
      <c r="C183">
        <v>18</v>
      </c>
      <c r="D183">
        <v>85</v>
      </c>
      <c r="E183">
        <v>5.8</v>
      </c>
      <c r="F183">
        <v>2.46</v>
      </c>
      <c r="G183">
        <v>508</v>
      </c>
    </row>
    <row r="184" spans="1:7" x14ac:dyDescent="0.25">
      <c r="A184" t="s">
        <v>874</v>
      </c>
      <c r="B184">
        <v>2009</v>
      </c>
      <c r="C184">
        <v>15</v>
      </c>
      <c r="D184">
        <v>101</v>
      </c>
      <c r="E184">
        <v>6.9</v>
      </c>
      <c r="F184">
        <v>0.53</v>
      </c>
      <c r="G184" s="1">
        <v>3018</v>
      </c>
    </row>
    <row r="185" spans="1:7" x14ac:dyDescent="0.25">
      <c r="A185" t="s">
        <v>1404</v>
      </c>
      <c r="B185">
        <v>2009</v>
      </c>
      <c r="C185">
        <v>15</v>
      </c>
      <c r="D185">
        <v>82</v>
      </c>
      <c r="E185">
        <v>6.2</v>
      </c>
      <c r="F185">
        <v>0.01</v>
      </c>
      <c r="G185">
        <v>549</v>
      </c>
    </row>
    <row r="186" spans="1:7" x14ac:dyDescent="0.25">
      <c r="A186" t="s">
        <v>94</v>
      </c>
      <c r="B186">
        <v>2010</v>
      </c>
      <c r="C186">
        <v>15</v>
      </c>
      <c r="D186">
        <v>124</v>
      </c>
      <c r="E186">
        <v>6.7</v>
      </c>
      <c r="F186">
        <v>0.19</v>
      </c>
      <c r="G186" s="1">
        <v>19462</v>
      </c>
    </row>
    <row r="187" spans="1:7" x14ac:dyDescent="0.25">
      <c r="A187" t="s">
        <v>202</v>
      </c>
      <c r="B187">
        <v>2010</v>
      </c>
      <c r="C187">
        <v>15</v>
      </c>
      <c r="D187">
        <v>103</v>
      </c>
      <c r="E187">
        <v>5.6</v>
      </c>
      <c r="F187">
        <v>2.46</v>
      </c>
      <c r="G187" s="1">
        <v>1975</v>
      </c>
    </row>
    <row r="188" spans="1:7" x14ac:dyDescent="0.25">
      <c r="A188" t="s">
        <v>230</v>
      </c>
      <c r="B188">
        <v>2010</v>
      </c>
      <c r="C188">
        <v>12</v>
      </c>
      <c r="D188">
        <v>115</v>
      </c>
      <c r="E188">
        <v>8</v>
      </c>
      <c r="F188">
        <v>0.1</v>
      </c>
      <c r="G188" s="1">
        <v>85683</v>
      </c>
    </row>
    <row r="189" spans="1:7" x14ac:dyDescent="0.25">
      <c r="A189" t="s">
        <v>281</v>
      </c>
      <c r="B189">
        <v>2010</v>
      </c>
      <c r="C189">
        <v>15</v>
      </c>
      <c r="D189">
        <v>105</v>
      </c>
      <c r="E189">
        <v>7.1</v>
      </c>
      <c r="F189">
        <v>2.46</v>
      </c>
      <c r="G189" s="1">
        <v>5835</v>
      </c>
    </row>
    <row r="190" spans="1:7" x14ac:dyDescent="0.25">
      <c r="A190" t="s">
        <v>338</v>
      </c>
      <c r="B190">
        <v>2010</v>
      </c>
      <c r="C190">
        <v>15</v>
      </c>
      <c r="D190">
        <v>91</v>
      </c>
      <c r="E190">
        <v>6.1</v>
      </c>
      <c r="F190">
        <v>2.46</v>
      </c>
      <c r="G190" s="1">
        <v>4065</v>
      </c>
    </row>
    <row r="191" spans="1:7" x14ac:dyDescent="0.25">
      <c r="A191" t="s">
        <v>339</v>
      </c>
      <c r="B191">
        <v>2010</v>
      </c>
      <c r="C191">
        <v>15</v>
      </c>
      <c r="D191">
        <v>91</v>
      </c>
      <c r="E191">
        <v>6.1</v>
      </c>
      <c r="F191">
        <v>0</v>
      </c>
      <c r="G191" s="1">
        <v>21142</v>
      </c>
    </row>
    <row r="192" spans="1:7" x14ac:dyDescent="0.25">
      <c r="A192" t="s">
        <v>340</v>
      </c>
      <c r="B192">
        <v>2010</v>
      </c>
      <c r="C192">
        <v>15</v>
      </c>
      <c r="D192">
        <v>98</v>
      </c>
      <c r="E192">
        <v>6.2</v>
      </c>
      <c r="F192">
        <v>0.39</v>
      </c>
      <c r="G192" s="1">
        <v>14756</v>
      </c>
    </row>
    <row r="193" spans="1:7" x14ac:dyDescent="0.25">
      <c r="A193" t="s">
        <v>343</v>
      </c>
      <c r="B193">
        <v>2010</v>
      </c>
      <c r="C193">
        <v>15</v>
      </c>
      <c r="D193">
        <v>100</v>
      </c>
      <c r="E193">
        <v>6.6</v>
      </c>
      <c r="F193">
        <v>0.08</v>
      </c>
      <c r="G193" s="1">
        <v>6883</v>
      </c>
    </row>
    <row r="194" spans="1:7" x14ac:dyDescent="0.25">
      <c r="A194" t="s">
        <v>370</v>
      </c>
      <c r="B194">
        <v>2010</v>
      </c>
      <c r="C194">
        <v>18</v>
      </c>
      <c r="D194">
        <v>97</v>
      </c>
      <c r="E194">
        <v>6.3</v>
      </c>
      <c r="F194">
        <v>0.05</v>
      </c>
      <c r="G194" s="1">
        <v>2099</v>
      </c>
    </row>
    <row r="195" spans="1:7" x14ac:dyDescent="0.25">
      <c r="A195" t="s">
        <v>372</v>
      </c>
      <c r="B195">
        <v>2010</v>
      </c>
      <c r="C195">
        <v>15</v>
      </c>
      <c r="D195">
        <v>103</v>
      </c>
      <c r="E195">
        <v>7.4</v>
      </c>
      <c r="F195">
        <v>0.33</v>
      </c>
      <c r="G195" s="1">
        <v>4859</v>
      </c>
    </row>
    <row r="196" spans="1:7" x14ac:dyDescent="0.25">
      <c r="A196" t="s">
        <v>382</v>
      </c>
      <c r="B196">
        <v>2010</v>
      </c>
      <c r="C196">
        <v>15</v>
      </c>
      <c r="D196">
        <v>87</v>
      </c>
      <c r="E196">
        <v>7.5</v>
      </c>
      <c r="F196">
        <v>0.26</v>
      </c>
      <c r="G196" s="1">
        <v>28688</v>
      </c>
    </row>
    <row r="197" spans="1:7" x14ac:dyDescent="0.25">
      <c r="A197" t="s">
        <v>467</v>
      </c>
      <c r="B197">
        <v>2010</v>
      </c>
      <c r="C197">
        <v>15</v>
      </c>
      <c r="D197">
        <v>100</v>
      </c>
      <c r="E197">
        <v>6.5</v>
      </c>
      <c r="F197">
        <v>7.0000000000000007E-2</v>
      </c>
      <c r="G197" s="1">
        <v>4665</v>
      </c>
    </row>
    <row r="198" spans="1:7" x14ac:dyDescent="0.25">
      <c r="A198" t="s">
        <v>479</v>
      </c>
      <c r="B198">
        <v>2010</v>
      </c>
      <c r="C198">
        <v>12</v>
      </c>
      <c r="D198">
        <v>88</v>
      </c>
      <c r="E198">
        <v>7.7</v>
      </c>
      <c r="F198">
        <v>0.26</v>
      </c>
      <c r="G198" s="1">
        <v>2449</v>
      </c>
    </row>
    <row r="199" spans="1:7" x14ac:dyDescent="0.25">
      <c r="A199" t="s">
        <v>500</v>
      </c>
      <c r="B199">
        <v>2010</v>
      </c>
      <c r="C199">
        <v>12</v>
      </c>
      <c r="D199">
        <v>181</v>
      </c>
      <c r="E199">
        <v>6.5</v>
      </c>
      <c r="F199">
        <v>2.46</v>
      </c>
      <c r="G199" s="1">
        <v>2047</v>
      </c>
    </row>
    <row r="200" spans="1:7" x14ac:dyDescent="0.25">
      <c r="A200" t="s">
        <v>508</v>
      </c>
      <c r="B200">
        <v>2010</v>
      </c>
      <c r="C200">
        <v>18</v>
      </c>
      <c r="D200">
        <v>118</v>
      </c>
      <c r="E200">
        <v>7</v>
      </c>
      <c r="F200">
        <v>0.1</v>
      </c>
      <c r="G200" s="1">
        <v>7905</v>
      </c>
    </row>
    <row r="201" spans="1:7" x14ac:dyDescent="0.25">
      <c r="A201" t="s">
        <v>711</v>
      </c>
      <c r="B201">
        <v>2010</v>
      </c>
      <c r="C201">
        <v>18</v>
      </c>
      <c r="D201">
        <v>111</v>
      </c>
      <c r="E201">
        <v>5.6</v>
      </c>
      <c r="F201">
        <v>0.01</v>
      </c>
      <c r="G201" s="1">
        <v>1869</v>
      </c>
    </row>
    <row r="202" spans="1:7" x14ac:dyDescent="0.25">
      <c r="A202" t="s">
        <v>888</v>
      </c>
      <c r="B202">
        <v>2010</v>
      </c>
      <c r="C202">
        <v>15</v>
      </c>
      <c r="D202">
        <v>87</v>
      </c>
      <c r="E202">
        <v>7.9</v>
      </c>
      <c r="F202">
        <v>3.29</v>
      </c>
      <c r="G202" s="1">
        <v>68143</v>
      </c>
    </row>
    <row r="203" spans="1:7" x14ac:dyDescent="0.25">
      <c r="A203" t="s">
        <v>984</v>
      </c>
      <c r="B203">
        <v>2010</v>
      </c>
      <c r="C203">
        <v>15</v>
      </c>
      <c r="D203">
        <v>102</v>
      </c>
      <c r="E203">
        <v>7.1</v>
      </c>
      <c r="F203">
        <v>0.72</v>
      </c>
      <c r="G203" s="1">
        <v>10623</v>
      </c>
    </row>
    <row r="204" spans="1:7" x14ac:dyDescent="0.25">
      <c r="A204" t="s">
        <v>1183</v>
      </c>
      <c r="B204">
        <v>2010</v>
      </c>
      <c r="C204">
        <v>12</v>
      </c>
      <c r="D204">
        <v>93</v>
      </c>
      <c r="E204">
        <v>7.1</v>
      </c>
      <c r="F204">
        <v>7.0000000000000007E-2</v>
      </c>
      <c r="G204" s="1">
        <v>11491</v>
      </c>
    </row>
    <row r="205" spans="1:7" x14ac:dyDescent="0.25">
      <c r="A205">
        <v>108</v>
      </c>
      <c r="B205">
        <v>2010</v>
      </c>
      <c r="C205">
        <v>15</v>
      </c>
      <c r="D205">
        <v>93</v>
      </c>
      <c r="E205">
        <v>7.4</v>
      </c>
      <c r="F205">
        <v>2.46</v>
      </c>
      <c r="G205">
        <v>149</v>
      </c>
    </row>
    <row r="206" spans="1:7" x14ac:dyDescent="0.25">
      <c r="A206" t="s">
        <v>1484</v>
      </c>
      <c r="B206">
        <v>2010</v>
      </c>
      <c r="C206">
        <v>15</v>
      </c>
      <c r="D206">
        <v>111</v>
      </c>
      <c r="E206">
        <v>5.4</v>
      </c>
      <c r="F206">
        <v>0.01</v>
      </c>
      <c r="G206" s="1">
        <v>2337</v>
      </c>
    </row>
    <row r="207" spans="1:7" x14ac:dyDescent="0.25">
      <c r="A207" t="s">
        <v>35</v>
      </c>
      <c r="B207">
        <v>2011</v>
      </c>
      <c r="C207">
        <v>15</v>
      </c>
      <c r="D207">
        <v>87</v>
      </c>
      <c r="E207">
        <v>6.8</v>
      </c>
      <c r="F207">
        <v>2.46</v>
      </c>
      <c r="G207">
        <v>432</v>
      </c>
    </row>
    <row r="208" spans="1:7" x14ac:dyDescent="0.25">
      <c r="A208" t="s">
        <v>56</v>
      </c>
      <c r="B208">
        <v>2011</v>
      </c>
      <c r="C208">
        <v>15</v>
      </c>
      <c r="D208">
        <v>76</v>
      </c>
      <c r="E208">
        <v>6.3</v>
      </c>
      <c r="F208">
        <v>0.12</v>
      </c>
      <c r="G208" s="1">
        <v>9628</v>
      </c>
    </row>
    <row r="209" spans="1:7" x14ac:dyDescent="0.25">
      <c r="A209" t="s">
        <v>59</v>
      </c>
      <c r="B209">
        <v>2011</v>
      </c>
      <c r="C209">
        <v>15</v>
      </c>
      <c r="D209">
        <v>110</v>
      </c>
      <c r="E209">
        <v>6.4</v>
      </c>
      <c r="F209">
        <v>2.46</v>
      </c>
      <c r="G209" s="1">
        <v>2066</v>
      </c>
    </row>
    <row r="210" spans="1:7" x14ac:dyDescent="0.25">
      <c r="A210" t="s">
        <v>60</v>
      </c>
      <c r="B210">
        <v>2011</v>
      </c>
      <c r="C210">
        <v>15</v>
      </c>
      <c r="D210">
        <v>94</v>
      </c>
      <c r="E210">
        <v>7</v>
      </c>
      <c r="F210">
        <v>0</v>
      </c>
      <c r="G210" s="1">
        <v>2990</v>
      </c>
    </row>
    <row r="211" spans="1:7" x14ac:dyDescent="0.25">
      <c r="A211" t="s">
        <v>64</v>
      </c>
      <c r="B211">
        <v>2011</v>
      </c>
      <c r="C211">
        <v>15</v>
      </c>
      <c r="D211">
        <v>81</v>
      </c>
      <c r="E211">
        <v>7.8</v>
      </c>
      <c r="F211">
        <v>2.5499999999999998</v>
      </c>
      <c r="G211" s="1">
        <v>37465</v>
      </c>
    </row>
    <row r="212" spans="1:7" x14ac:dyDescent="0.25">
      <c r="A212" t="s">
        <v>97</v>
      </c>
      <c r="B212">
        <v>2011</v>
      </c>
      <c r="C212">
        <v>15</v>
      </c>
      <c r="D212">
        <v>86</v>
      </c>
      <c r="E212">
        <v>7.5</v>
      </c>
      <c r="F212">
        <v>1</v>
      </c>
      <c r="G212" s="1">
        <v>1667</v>
      </c>
    </row>
    <row r="213" spans="1:7" x14ac:dyDescent="0.25">
      <c r="A213" t="s">
        <v>102</v>
      </c>
      <c r="B213">
        <v>2011</v>
      </c>
      <c r="C213">
        <v>15</v>
      </c>
      <c r="D213">
        <v>102</v>
      </c>
      <c r="E213">
        <v>8.4</v>
      </c>
      <c r="F213">
        <v>2.67</v>
      </c>
      <c r="G213" s="1">
        <v>37469</v>
      </c>
    </row>
    <row r="214" spans="1:7" x14ac:dyDescent="0.25">
      <c r="A214" t="s">
        <v>110</v>
      </c>
      <c r="B214">
        <v>2011</v>
      </c>
      <c r="C214">
        <v>18</v>
      </c>
      <c r="D214">
        <v>84</v>
      </c>
      <c r="E214">
        <v>5.6</v>
      </c>
      <c r="F214">
        <v>0.11</v>
      </c>
      <c r="G214" s="1">
        <v>1587</v>
      </c>
    </row>
    <row r="215" spans="1:7" x14ac:dyDescent="0.25">
      <c r="A215" t="s">
        <v>126</v>
      </c>
      <c r="B215">
        <v>2011</v>
      </c>
      <c r="C215">
        <v>15</v>
      </c>
      <c r="D215">
        <v>113</v>
      </c>
      <c r="E215">
        <v>7.7</v>
      </c>
      <c r="F215">
        <v>0.56000000000000005</v>
      </c>
      <c r="G215" s="1">
        <v>7279</v>
      </c>
    </row>
    <row r="216" spans="1:7" x14ac:dyDescent="0.25">
      <c r="A216" t="s">
        <v>132</v>
      </c>
      <c r="B216">
        <v>2011</v>
      </c>
      <c r="C216">
        <v>15</v>
      </c>
      <c r="D216">
        <v>90</v>
      </c>
      <c r="E216">
        <v>6.7</v>
      </c>
      <c r="F216">
        <v>1.57</v>
      </c>
      <c r="G216" s="1">
        <v>28166</v>
      </c>
    </row>
    <row r="217" spans="1:7" x14ac:dyDescent="0.25">
      <c r="A217" t="s">
        <v>136</v>
      </c>
      <c r="B217">
        <v>2011</v>
      </c>
      <c r="C217">
        <v>15</v>
      </c>
      <c r="D217">
        <v>117</v>
      </c>
      <c r="E217">
        <v>6</v>
      </c>
      <c r="F217">
        <v>0.23</v>
      </c>
      <c r="G217" s="1">
        <v>3278</v>
      </c>
    </row>
    <row r="218" spans="1:7" x14ac:dyDescent="0.25">
      <c r="A218" t="s">
        <v>146</v>
      </c>
      <c r="B218">
        <v>2011</v>
      </c>
      <c r="C218">
        <v>15</v>
      </c>
      <c r="D218">
        <v>116</v>
      </c>
      <c r="E218">
        <v>6.8</v>
      </c>
      <c r="F218">
        <v>2.46</v>
      </c>
      <c r="G218" s="1">
        <v>1477</v>
      </c>
    </row>
    <row r="219" spans="1:7" x14ac:dyDescent="0.25">
      <c r="A219" t="s">
        <v>148</v>
      </c>
      <c r="B219">
        <v>2011</v>
      </c>
      <c r="C219">
        <v>15</v>
      </c>
      <c r="D219">
        <v>87</v>
      </c>
      <c r="E219">
        <v>7.4</v>
      </c>
      <c r="F219">
        <v>1.38</v>
      </c>
      <c r="G219" s="1">
        <v>28418</v>
      </c>
    </row>
    <row r="220" spans="1:7" x14ac:dyDescent="0.25">
      <c r="A220" t="s">
        <v>165</v>
      </c>
      <c r="B220">
        <v>2011</v>
      </c>
      <c r="C220">
        <v>15</v>
      </c>
      <c r="D220">
        <v>83</v>
      </c>
      <c r="E220">
        <v>7.2</v>
      </c>
      <c r="F220">
        <v>2.46</v>
      </c>
      <c r="G220">
        <v>402</v>
      </c>
    </row>
    <row r="221" spans="1:7" x14ac:dyDescent="0.25">
      <c r="A221" t="s">
        <v>170</v>
      </c>
      <c r="B221">
        <v>2011</v>
      </c>
      <c r="C221">
        <v>15</v>
      </c>
      <c r="D221">
        <v>93</v>
      </c>
      <c r="E221">
        <v>5.9</v>
      </c>
      <c r="F221">
        <v>0</v>
      </c>
      <c r="G221" s="1">
        <v>1439</v>
      </c>
    </row>
    <row r="222" spans="1:7" x14ac:dyDescent="0.25">
      <c r="A222" t="s">
        <v>217</v>
      </c>
      <c r="B222">
        <v>2011</v>
      </c>
      <c r="C222">
        <v>15</v>
      </c>
      <c r="D222">
        <v>88</v>
      </c>
      <c r="E222">
        <v>6</v>
      </c>
      <c r="F222">
        <v>0.02</v>
      </c>
      <c r="G222" s="1">
        <v>13129</v>
      </c>
    </row>
    <row r="223" spans="1:7" x14ac:dyDescent="0.25">
      <c r="A223">
        <v>1911</v>
      </c>
      <c r="B223">
        <v>2011</v>
      </c>
      <c r="C223">
        <v>15</v>
      </c>
      <c r="D223">
        <v>99</v>
      </c>
      <c r="E223">
        <v>5.7</v>
      </c>
      <c r="F223">
        <v>0.13</v>
      </c>
      <c r="G223" s="1">
        <v>6467</v>
      </c>
    </row>
    <row r="224" spans="1:7" x14ac:dyDescent="0.25">
      <c r="A224" t="s">
        <v>234</v>
      </c>
      <c r="B224">
        <v>2011</v>
      </c>
      <c r="C224">
        <v>15</v>
      </c>
      <c r="D224">
        <v>93</v>
      </c>
      <c r="E224">
        <v>5.0999999999999996</v>
      </c>
      <c r="F224">
        <v>0</v>
      </c>
      <c r="G224" s="1">
        <v>2022</v>
      </c>
    </row>
    <row r="225" spans="1:7" x14ac:dyDescent="0.25">
      <c r="A225" t="s">
        <v>243</v>
      </c>
      <c r="B225">
        <v>2011</v>
      </c>
      <c r="C225">
        <v>18</v>
      </c>
      <c r="D225">
        <v>94</v>
      </c>
      <c r="E225">
        <v>5.4</v>
      </c>
      <c r="F225">
        <v>0.02</v>
      </c>
      <c r="G225" s="1">
        <v>1578</v>
      </c>
    </row>
    <row r="226" spans="1:7" x14ac:dyDescent="0.25">
      <c r="A226" t="s">
        <v>283</v>
      </c>
      <c r="B226">
        <v>2011</v>
      </c>
      <c r="C226">
        <v>15</v>
      </c>
      <c r="D226">
        <v>95</v>
      </c>
      <c r="E226">
        <v>5.7</v>
      </c>
      <c r="F226">
        <v>2.46</v>
      </c>
      <c r="G226" s="1">
        <v>1043</v>
      </c>
    </row>
    <row r="227" spans="1:7" x14ac:dyDescent="0.25">
      <c r="A227" t="s">
        <v>298</v>
      </c>
      <c r="B227">
        <v>2011</v>
      </c>
      <c r="C227">
        <v>15</v>
      </c>
      <c r="D227">
        <v>105</v>
      </c>
      <c r="E227">
        <v>6.5</v>
      </c>
      <c r="F227">
        <v>0.65</v>
      </c>
      <c r="G227" s="1">
        <v>10222</v>
      </c>
    </row>
    <row r="228" spans="1:7" x14ac:dyDescent="0.25">
      <c r="A228" t="s">
        <v>310</v>
      </c>
      <c r="B228">
        <v>2011</v>
      </c>
      <c r="C228">
        <v>15</v>
      </c>
      <c r="D228">
        <v>86</v>
      </c>
      <c r="E228">
        <v>5.2</v>
      </c>
      <c r="F228">
        <v>12.56</v>
      </c>
      <c r="G228" s="1">
        <v>24082</v>
      </c>
    </row>
    <row r="229" spans="1:7" x14ac:dyDescent="0.25">
      <c r="A229" t="s">
        <v>341</v>
      </c>
      <c r="B229">
        <v>2011</v>
      </c>
      <c r="C229">
        <v>15</v>
      </c>
      <c r="D229">
        <v>104</v>
      </c>
      <c r="E229">
        <v>7.9</v>
      </c>
      <c r="F229">
        <v>2.46</v>
      </c>
      <c r="G229" s="1">
        <v>6601</v>
      </c>
    </row>
    <row r="230" spans="1:7" x14ac:dyDescent="0.25">
      <c r="A230" t="s">
        <v>348</v>
      </c>
      <c r="B230">
        <v>2011</v>
      </c>
      <c r="C230">
        <v>15</v>
      </c>
      <c r="D230">
        <v>88</v>
      </c>
      <c r="E230">
        <v>4.7</v>
      </c>
      <c r="F230">
        <v>2.46</v>
      </c>
      <c r="G230" s="1">
        <v>11516</v>
      </c>
    </row>
    <row r="231" spans="1:7" x14ac:dyDescent="0.25">
      <c r="A231" t="s">
        <v>350</v>
      </c>
      <c r="B231">
        <v>2011</v>
      </c>
      <c r="C231">
        <v>15</v>
      </c>
      <c r="D231">
        <v>119</v>
      </c>
      <c r="E231">
        <v>6.6</v>
      </c>
      <c r="F231">
        <v>0.01</v>
      </c>
      <c r="G231" s="1">
        <v>20205</v>
      </c>
    </row>
    <row r="232" spans="1:7" x14ac:dyDescent="0.25">
      <c r="A232" t="s">
        <v>356</v>
      </c>
      <c r="B232">
        <v>2011</v>
      </c>
      <c r="C232">
        <v>15</v>
      </c>
      <c r="D232">
        <v>103</v>
      </c>
      <c r="E232">
        <v>5.3</v>
      </c>
      <c r="F232">
        <v>2.46</v>
      </c>
      <c r="G232" s="1">
        <v>3711</v>
      </c>
    </row>
    <row r="233" spans="1:7" x14ac:dyDescent="0.25">
      <c r="A233" t="s">
        <v>360</v>
      </c>
      <c r="B233">
        <v>2011</v>
      </c>
      <c r="C233">
        <v>15</v>
      </c>
      <c r="D233">
        <v>99</v>
      </c>
      <c r="E233">
        <v>5.0999999999999996</v>
      </c>
      <c r="F233">
        <v>0</v>
      </c>
      <c r="G233" s="1">
        <v>2115</v>
      </c>
    </row>
    <row r="234" spans="1:7" x14ac:dyDescent="0.25">
      <c r="A234" t="s">
        <v>365</v>
      </c>
      <c r="B234">
        <v>2011</v>
      </c>
      <c r="C234">
        <v>15</v>
      </c>
      <c r="D234">
        <v>105</v>
      </c>
      <c r="E234">
        <v>6.1</v>
      </c>
      <c r="F234">
        <v>2.46</v>
      </c>
      <c r="G234" s="1">
        <v>4548</v>
      </c>
    </row>
    <row r="235" spans="1:7" x14ac:dyDescent="0.25">
      <c r="A235" t="s">
        <v>378</v>
      </c>
      <c r="B235">
        <v>2011</v>
      </c>
      <c r="C235">
        <v>15</v>
      </c>
      <c r="D235">
        <v>87</v>
      </c>
      <c r="E235">
        <v>5.2</v>
      </c>
      <c r="F235">
        <v>0.02</v>
      </c>
      <c r="G235" s="1">
        <v>13179</v>
      </c>
    </row>
    <row r="236" spans="1:7" x14ac:dyDescent="0.25">
      <c r="A236" t="s">
        <v>419</v>
      </c>
      <c r="B236">
        <v>2011</v>
      </c>
      <c r="C236">
        <v>12</v>
      </c>
      <c r="D236">
        <v>86</v>
      </c>
      <c r="E236">
        <v>5.2</v>
      </c>
      <c r="F236">
        <v>2.46</v>
      </c>
      <c r="G236" s="1">
        <v>2484</v>
      </c>
    </row>
    <row r="237" spans="1:7" x14ac:dyDescent="0.25">
      <c r="A237" t="s">
        <v>36</v>
      </c>
      <c r="B237">
        <v>2011</v>
      </c>
      <c r="C237">
        <v>15</v>
      </c>
      <c r="D237">
        <v>137</v>
      </c>
      <c r="E237">
        <v>7.6</v>
      </c>
      <c r="F237">
        <v>7.0000000000000007E-2</v>
      </c>
      <c r="G237" s="1">
        <v>12394</v>
      </c>
    </row>
    <row r="238" spans="1:7" x14ac:dyDescent="0.25">
      <c r="A238" t="s">
        <v>436</v>
      </c>
      <c r="B238">
        <v>2011</v>
      </c>
      <c r="C238">
        <v>15</v>
      </c>
      <c r="D238">
        <v>108</v>
      </c>
      <c r="E238">
        <v>5.9</v>
      </c>
      <c r="F238">
        <v>23.07</v>
      </c>
      <c r="G238" s="1">
        <v>56863</v>
      </c>
    </row>
    <row r="239" spans="1:7" x14ac:dyDescent="0.25">
      <c r="A239" t="s">
        <v>437</v>
      </c>
      <c r="B239">
        <v>2011</v>
      </c>
      <c r="C239">
        <v>15</v>
      </c>
      <c r="D239">
        <v>97</v>
      </c>
      <c r="E239">
        <v>3.3</v>
      </c>
      <c r="F239">
        <v>2.33</v>
      </c>
      <c r="G239" s="1">
        <v>12673</v>
      </c>
    </row>
    <row r="240" spans="1:7" x14ac:dyDescent="0.25">
      <c r="A240" t="s">
        <v>470</v>
      </c>
      <c r="B240">
        <v>2011</v>
      </c>
      <c r="C240">
        <v>12</v>
      </c>
      <c r="D240">
        <v>100</v>
      </c>
      <c r="E240">
        <v>6.1</v>
      </c>
      <c r="F240">
        <v>18</v>
      </c>
      <c r="G240" s="1">
        <v>4020</v>
      </c>
    </row>
    <row r="241" spans="1:7" x14ac:dyDescent="0.25">
      <c r="A241" t="s">
        <v>499</v>
      </c>
      <c r="B241">
        <v>2011</v>
      </c>
      <c r="C241">
        <v>15</v>
      </c>
      <c r="D241">
        <v>81</v>
      </c>
      <c r="E241">
        <v>4.0999999999999996</v>
      </c>
      <c r="F241">
        <v>2.46</v>
      </c>
      <c r="G241">
        <v>767</v>
      </c>
    </row>
    <row r="242" spans="1:7" x14ac:dyDescent="0.25">
      <c r="A242" t="s">
        <v>510</v>
      </c>
      <c r="B242">
        <v>2011</v>
      </c>
      <c r="C242">
        <v>15</v>
      </c>
      <c r="D242">
        <v>104</v>
      </c>
      <c r="E242">
        <v>6.1</v>
      </c>
      <c r="F242">
        <v>1.35</v>
      </c>
      <c r="G242" s="1">
        <v>3961</v>
      </c>
    </row>
    <row r="243" spans="1:7" x14ac:dyDescent="0.25">
      <c r="A243" t="s">
        <v>514</v>
      </c>
      <c r="B243">
        <v>2011</v>
      </c>
      <c r="C243">
        <v>12</v>
      </c>
      <c r="D243">
        <v>88</v>
      </c>
      <c r="E243">
        <v>6.7</v>
      </c>
      <c r="F243">
        <v>2.46</v>
      </c>
      <c r="G243" s="1">
        <v>3185</v>
      </c>
    </row>
    <row r="244" spans="1:7" x14ac:dyDescent="0.25">
      <c r="A244" t="s">
        <v>599</v>
      </c>
      <c r="B244">
        <v>2011</v>
      </c>
      <c r="C244">
        <v>15</v>
      </c>
      <c r="D244">
        <v>110</v>
      </c>
      <c r="E244">
        <v>7.2</v>
      </c>
      <c r="F244">
        <v>0.03</v>
      </c>
      <c r="G244" s="1">
        <v>5046</v>
      </c>
    </row>
    <row r="245" spans="1:7" x14ac:dyDescent="0.25">
      <c r="A245" t="s">
        <v>658</v>
      </c>
      <c r="B245">
        <v>2011</v>
      </c>
      <c r="C245">
        <v>15</v>
      </c>
      <c r="D245">
        <v>101</v>
      </c>
      <c r="E245">
        <v>7.6</v>
      </c>
      <c r="F245">
        <v>4.1100000000000003</v>
      </c>
      <c r="G245" s="1">
        <v>213741</v>
      </c>
    </row>
    <row r="246" spans="1:7" x14ac:dyDescent="0.25">
      <c r="A246" t="s">
        <v>870</v>
      </c>
      <c r="B246">
        <v>2011</v>
      </c>
      <c r="C246">
        <v>15</v>
      </c>
      <c r="D246">
        <v>96</v>
      </c>
      <c r="E246">
        <v>4.5</v>
      </c>
      <c r="F246">
        <v>2.46</v>
      </c>
      <c r="G246" s="1">
        <v>6272</v>
      </c>
    </row>
    <row r="247" spans="1:7" x14ac:dyDescent="0.25">
      <c r="A247" t="s">
        <v>879</v>
      </c>
      <c r="B247">
        <v>2011</v>
      </c>
      <c r="C247">
        <v>15</v>
      </c>
      <c r="D247">
        <v>129</v>
      </c>
      <c r="E247">
        <v>6</v>
      </c>
      <c r="F247">
        <v>0.1</v>
      </c>
      <c r="G247" s="1">
        <v>10857</v>
      </c>
    </row>
    <row r="248" spans="1:7" x14ac:dyDescent="0.25">
      <c r="A248" t="s">
        <v>965</v>
      </c>
      <c r="B248">
        <v>2011</v>
      </c>
      <c r="C248">
        <v>18</v>
      </c>
      <c r="D248">
        <v>90</v>
      </c>
      <c r="E248">
        <v>6.3</v>
      </c>
      <c r="F248">
        <v>2.46</v>
      </c>
      <c r="G248" s="1">
        <v>5564</v>
      </c>
    </row>
    <row r="249" spans="1:7" x14ac:dyDescent="0.25">
      <c r="A249" t="s">
        <v>1277</v>
      </c>
      <c r="B249">
        <v>2011</v>
      </c>
      <c r="C249">
        <v>15</v>
      </c>
      <c r="D249">
        <v>100</v>
      </c>
      <c r="E249">
        <v>7.9</v>
      </c>
      <c r="F249">
        <v>44.67</v>
      </c>
      <c r="G249" s="1">
        <v>246713</v>
      </c>
    </row>
    <row r="250" spans="1:7" x14ac:dyDescent="0.25">
      <c r="A250" t="s">
        <v>1425</v>
      </c>
      <c r="B250">
        <v>2011</v>
      </c>
      <c r="C250">
        <v>15</v>
      </c>
      <c r="D250">
        <v>102</v>
      </c>
      <c r="E250">
        <v>5.8</v>
      </c>
      <c r="F250">
        <v>2.46</v>
      </c>
      <c r="G250">
        <v>870</v>
      </c>
    </row>
    <row r="251" spans="1:7" x14ac:dyDescent="0.25">
      <c r="A251" t="s">
        <v>1679</v>
      </c>
      <c r="B251">
        <v>2011</v>
      </c>
      <c r="C251">
        <v>12</v>
      </c>
      <c r="D251">
        <v>105</v>
      </c>
      <c r="E251">
        <v>5.2</v>
      </c>
      <c r="F251">
        <v>2.46</v>
      </c>
      <c r="G251" s="1">
        <v>1088</v>
      </c>
    </row>
    <row r="252" spans="1:7" x14ac:dyDescent="0.25">
      <c r="A252" t="s">
        <v>1740</v>
      </c>
      <c r="B252">
        <v>2011</v>
      </c>
      <c r="C252">
        <v>15</v>
      </c>
      <c r="D252">
        <v>127</v>
      </c>
      <c r="E252">
        <v>4.7</v>
      </c>
      <c r="F252">
        <v>0.3</v>
      </c>
      <c r="G252" s="1">
        <v>34547</v>
      </c>
    </row>
    <row r="253" spans="1:7" x14ac:dyDescent="0.25">
      <c r="A253" t="s">
        <v>10</v>
      </c>
      <c r="B253">
        <v>2012</v>
      </c>
      <c r="C253">
        <v>15</v>
      </c>
      <c r="D253">
        <v>89</v>
      </c>
      <c r="E253">
        <v>6.4</v>
      </c>
      <c r="F253">
        <v>2.46</v>
      </c>
      <c r="G253" s="1">
        <v>12438</v>
      </c>
    </row>
    <row r="254" spans="1:7" x14ac:dyDescent="0.25">
      <c r="A254" t="s">
        <v>11</v>
      </c>
      <c r="B254">
        <v>2012</v>
      </c>
      <c r="C254">
        <v>15</v>
      </c>
      <c r="D254">
        <v>93</v>
      </c>
      <c r="E254">
        <v>3.6</v>
      </c>
      <c r="F254">
        <v>2.46</v>
      </c>
      <c r="G254" s="1">
        <v>1810</v>
      </c>
    </row>
    <row r="255" spans="1:7" x14ac:dyDescent="0.25">
      <c r="A255" t="s">
        <v>13</v>
      </c>
      <c r="B255">
        <v>2012</v>
      </c>
      <c r="C255">
        <v>15</v>
      </c>
      <c r="D255">
        <v>109</v>
      </c>
      <c r="E255">
        <v>6.3</v>
      </c>
      <c r="F255">
        <v>2.46</v>
      </c>
      <c r="G255" s="1">
        <v>3092</v>
      </c>
    </row>
    <row r="256" spans="1:7" x14ac:dyDescent="0.25">
      <c r="A256" t="s">
        <v>16</v>
      </c>
      <c r="B256">
        <v>2012</v>
      </c>
      <c r="C256">
        <v>15</v>
      </c>
      <c r="D256">
        <v>120</v>
      </c>
      <c r="E256">
        <v>5.8</v>
      </c>
      <c r="F256">
        <v>2.46</v>
      </c>
      <c r="G256" s="1">
        <v>3180</v>
      </c>
    </row>
    <row r="257" spans="1:7" x14ac:dyDescent="0.25">
      <c r="A257" t="s">
        <v>18</v>
      </c>
      <c r="B257">
        <v>2012</v>
      </c>
      <c r="C257">
        <v>12</v>
      </c>
      <c r="D257">
        <v>114</v>
      </c>
      <c r="E257">
        <v>7.5</v>
      </c>
      <c r="F257">
        <v>19.02</v>
      </c>
      <c r="G257" s="1">
        <v>236398</v>
      </c>
    </row>
    <row r="258" spans="1:7" x14ac:dyDescent="0.25">
      <c r="A258" t="s">
        <v>20</v>
      </c>
      <c r="B258">
        <v>2012</v>
      </c>
      <c r="C258">
        <v>18</v>
      </c>
      <c r="D258">
        <v>95</v>
      </c>
      <c r="E258">
        <v>7.1</v>
      </c>
      <c r="F258">
        <v>13.41</v>
      </c>
      <c r="G258" s="1">
        <v>288944</v>
      </c>
    </row>
    <row r="259" spans="1:7" x14ac:dyDescent="0.25">
      <c r="A259" t="s">
        <v>22</v>
      </c>
      <c r="B259">
        <v>2012</v>
      </c>
      <c r="C259">
        <v>12</v>
      </c>
      <c r="D259">
        <v>109</v>
      </c>
      <c r="E259">
        <v>6.3</v>
      </c>
      <c r="F259">
        <v>0.1</v>
      </c>
      <c r="G259" s="1">
        <v>73409</v>
      </c>
    </row>
    <row r="260" spans="1:7" x14ac:dyDescent="0.25">
      <c r="A260" t="s">
        <v>23</v>
      </c>
      <c r="B260">
        <v>2012</v>
      </c>
      <c r="C260">
        <v>15</v>
      </c>
      <c r="D260">
        <v>45</v>
      </c>
      <c r="E260">
        <v>5.9</v>
      </c>
      <c r="F260">
        <v>2.46</v>
      </c>
      <c r="G260" s="1">
        <v>2598</v>
      </c>
    </row>
    <row r="261" spans="1:7" x14ac:dyDescent="0.25">
      <c r="A261" t="s">
        <v>24</v>
      </c>
      <c r="B261">
        <v>2012</v>
      </c>
      <c r="C261">
        <v>12</v>
      </c>
      <c r="D261">
        <v>103</v>
      </c>
      <c r="E261">
        <v>7.9</v>
      </c>
      <c r="F261">
        <v>17.739999999999998</v>
      </c>
      <c r="G261" s="1">
        <v>537506</v>
      </c>
    </row>
    <row r="262" spans="1:7" x14ac:dyDescent="0.25">
      <c r="A262" t="s">
        <v>25</v>
      </c>
      <c r="B262">
        <v>2012</v>
      </c>
      <c r="C262">
        <v>12</v>
      </c>
      <c r="D262">
        <v>93</v>
      </c>
      <c r="E262">
        <v>7.2</v>
      </c>
      <c r="F262">
        <v>12.8</v>
      </c>
      <c r="G262" s="1">
        <v>84551</v>
      </c>
    </row>
    <row r="263" spans="1:7" x14ac:dyDescent="0.25">
      <c r="A263" t="s">
        <v>26</v>
      </c>
      <c r="B263">
        <v>2012</v>
      </c>
      <c r="C263">
        <v>18</v>
      </c>
      <c r="D263">
        <v>82</v>
      </c>
      <c r="E263">
        <v>6.1</v>
      </c>
      <c r="F263">
        <v>12.84</v>
      </c>
      <c r="G263" s="1">
        <v>53124</v>
      </c>
    </row>
    <row r="264" spans="1:7" x14ac:dyDescent="0.25">
      <c r="A264" t="s">
        <v>27</v>
      </c>
      <c r="B264">
        <v>2012</v>
      </c>
      <c r="C264">
        <v>15</v>
      </c>
      <c r="D264">
        <v>98</v>
      </c>
      <c r="E264">
        <v>6.3</v>
      </c>
      <c r="F264">
        <v>2.46</v>
      </c>
      <c r="G264" s="1">
        <v>15684</v>
      </c>
    </row>
    <row r="265" spans="1:7" x14ac:dyDescent="0.25">
      <c r="A265" t="s">
        <v>29</v>
      </c>
      <c r="B265">
        <v>2012</v>
      </c>
      <c r="C265">
        <v>15</v>
      </c>
      <c r="D265">
        <v>121</v>
      </c>
      <c r="E265">
        <v>7.1</v>
      </c>
      <c r="F265">
        <v>2.46</v>
      </c>
      <c r="G265" s="1">
        <v>11158</v>
      </c>
    </row>
    <row r="266" spans="1:7" x14ac:dyDescent="0.25">
      <c r="A266" t="s">
        <v>33</v>
      </c>
      <c r="B266">
        <v>2012</v>
      </c>
      <c r="C266">
        <v>15</v>
      </c>
      <c r="D266">
        <v>118</v>
      </c>
      <c r="E266">
        <v>7.1</v>
      </c>
      <c r="F266">
        <v>1.52</v>
      </c>
      <c r="G266" s="1">
        <v>51259</v>
      </c>
    </row>
    <row r="267" spans="1:7" x14ac:dyDescent="0.25">
      <c r="A267" t="s">
        <v>36</v>
      </c>
      <c r="B267">
        <v>2012</v>
      </c>
      <c r="C267">
        <v>12</v>
      </c>
      <c r="D267">
        <v>148</v>
      </c>
      <c r="E267">
        <v>6.9</v>
      </c>
      <c r="F267">
        <v>2.46</v>
      </c>
      <c r="G267" s="1">
        <v>3126</v>
      </c>
    </row>
    <row r="268" spans="1:7" x14ac:dyDescent="0.25">
      <c r="A268" t="s">
        <v>39</v>
      </c>
      <c r="B268">
        <v>2012</v>
      </c>
      <c r="C268">
        <v>15</v>
      </c>
      <c r="D268">
        <v>95</v>
      </c>
      <c r="E268">
        <v>5.3</v>
      </c>
      <c r="F268">
        <v>42.35</v>
      </c>
      <c r="G268" s="1">
        <v>148014</v>
      </c>
    </row>
    <row r="269" spans="1:7" x14ac:dyDescent="0.25">
      <c r="A269" t="s">
        <v>40</v>
      </c>
      <c r="B269">
        <v>2012</v>
      </c>
      <c r="C269">
        <v>15</v>
      </c>
      <c r="D269">
        <v>112</v>
      </c>
      <c r="E269">
        <v>7.1</v>
      </c>
      <c r="F269">
        <v>65</v>
      </c>
      <c r="G269" s="1">
        <v>324379</v>
      </c>
    </row>
    <row r="270" spans="1:7" x14ac:dyDescent="0.25">
      <c r="A270" t="s">
        <v>44</v>
      </c>
      <c r="B270">
        <v>2012</v>
      </c>
      <c r="C270">
        <v>15</v>
      </c>
      <c r="D270">
        <v>143</v>
      </c>
      <c r="E270">
        <v>7.8</v>
      </c>
      <c r="F270">
        <v>304.36</v>
      </c>
      <c r="G270" s="1">
        <v>720258</v>
      </c>
    </row>
    <row r="271" spans="1:7" x14ac:dyDescent="0.25">
      <c r="A271" t="s">
        <v>45</v>
      </c>
      <c r="B271">
        <v>2012</v>
      </c>
      <c r="C271">
        <v>12</v>
      </c>
      <c r="D271">
        <v>98</v>
      </c>
      <c r="E271">
        <v>6.8</v>
      </c>
      <c r="F271">
        <v>6.01</v>
      </c>
      <c r="G271" s="1">
        <v>78443</v>
      </c>
    </row>
    <row r="272" spans="1:7" x14ac:dyDescent="0.25">
      <c r="A272" t="s">
        <v>46</v>
      </c>
      <c r="B272">
        <v>2012</v>
      </c>
      <c r="C272">
        <v>15</v>
      </c>
      <c r="D272">
        <v>138</v>
      </c>
      <c r="E272">
        <v>7.3</v>
      </c>
      <c r="F272">
        <v>93.77</v>
      </c>
      <c r="G272" s="1">
        <v>370150</v>
      </c>
    </row>
    <row r="273" spans="1:7" x14ac:dyDescent="0.25">
      <c r="A273" t="s">
        <v>47</v>
      </c>
      <c r="B273">
        <v>2012</v>
      </c>
      <c r="C273">
        <v>15</v>
      </c>
      <c r="D273">
        <v>150</v>
      </c>
      <c r="E273">
        <v>7.3</v>
      </c>
      <c r="F273">
        <v>182.21</v>
      </c>
      <c r="G273" s="1">
        <v>269024</v>
      </c>
    </row>
    <row r="274" spans="1:7" x14ac:dyDescent="0.25">
      <c r="A274" t="s">
        <v>48</v>
      </c>
      <c r="B274">
        <v>2012</v>
      </c>
      <c r="C274">
        <v>12</v>
      </c>
      <c r="D274">
        <v>99</v>
      </c>
      <c r="E274">
        <v>7.5</v>
      </c>
      <c r="F274">
        <v>0.89</v>
      </c>
      <c r="G274" s="1">
        <v>49781</v>
      </c>
    </row>
    <row r="275" spans="1:7" x14ac:dyDescent="0.25">
      <c r="A275" t="s">
        <v>50</v>
      </c>
      <c r="B275">
        <v>2012</v>
      </c>
      <c r="C275">
        <v>15</v>
      </c>
      <c r="D275">
        <v>157</v>
      </c>
      <c r="E275">
        <v>7.4</v>
      </c>
      <c r="F275">
        <v>95.72</v>
      </c>
      <c r="G275" s="1">
        <v>313985</v>
      </c>
    </row>
    <row r="276" spans="1:7" x14ac:dyDescent="0.25">
      <c r="A276" t="s">
        <v>51</v>
      </c>
      <c r="B276">
        <v>2012</v>
      </c>
      <c r="C276">
        <v>15</v>
      </c>
      <c r="D276">
        <v>169</v>
      </c>
      <c r="E276">
        <v>7.8</v>
      </c>
      <c r="F276">
        <v>303</v>
      </c>
      <c r="G276" s="1">
        <v>857092</v>
      </c>
    </row>
    <row r="277" spans="1:7" x14ac:dyDescent="0.25">
      <c r="A277" t="s">
        <v>52</v>
      </c>
      <c r="B277">
        <v>2012</v>
      </c>
      <c r="C277">
        <v>15</v>
      </c>
      <c r="D277">
        <v>100</v>
      </c>
      <c r="E277">
        <v>6.2</v>
      </c>
      <c r="F277">
        <v>7.0000000000000007E-2</v>
      </c>
      <c r="G277" s="1">
        <v>9004</v>
      </c>
    </row>
    <row r="278" spans="1:7" x14ac:dyDescent="0.25">
      <c r="A278" t="s">
        <v>53</v>
      </c>
      <c r="B278">
        <v>2012</v>
      </c>
      <c r="C278">
        <v>15</v>
      </c>
      <c r="D278">
        <v>129</v>
      </c>
      <c r="E278">
        <v>6.6</v>
      </c>
      <c r="F278">
        <v>12.82</v>
      </c>
      <c r="G278" s="1">
        <v>104878</v>
      </c>
    </row>
    <row r="279" spans="1:7" x14ac:dyDescent="0.25">
      <c r="A279" t="s">
        <v>54</v>
      </c>
      <c r="B279">
        <v>2012</v>
      </c>
      <c r="C279">
        <v>15</v>
      </c>
      <c r="D279">
        <v>95</v>
      </c>
      <c r="E279">
        <v>6.8</v>
      </c>
      <c r="F279">
        <v>216.39</v>
      </c>
      <c r="G279" s="1">
        <v>193471</v>
      </c>
    </row>
    <row r="280" spans="1:7" x14ac:dyDescent="0.25">
      <c r="A280" t="s">
        <v>55</v>
      </c>
      <c r="B280">
        <v>2012</v>
      </c>
      <c r="C280">
        <v>15</v>
      </c>
      <c r="D280">
        <v>105</v>
      </c>
      <c r="E280">
        <v>4.5</v>
      </c>
      <c r="F280">
        <v>0</v>
      </c>
      <c r="G280" s="1">
        <v>3145</v>
      </c>
    </row>
    <row r="281" spans="1:7" x14ac:dyDescent="0.25">
      <c r="A281" t="s">
        <v>57</v>
      </c>
      <c r="B281">
        <v>2012</v>
      </c>
      <c r="C281">
        <v>15</v>
      </c>
      <c r="D281">
        <v>122</v>
      </c>
      <c r="E281">
        <v>7.7</v>
      </c>
      <c r="F281">
        <v>132.09</v>
      </c>
      <c r="G281" s="1">
        <v>731882</v>
      </c>
    </row>
    <row r="282" spans="1:7" x14ac:dyDescent="0.25">
      <c r="A282" t="s">
        <v>58</v>
      </c>
      <c r="B282">
        <v>2012</v>
      </c>
      <c r="C282">
        <v>15</v>
      </c>
      <c r="D282">
        <v>121</v>
      </c>
      <c r="E282">
        <v>6.4</v>
      </c>
      <c r="F282">
        <v>5.31</v>
      </c>
      <c r="G282" s="1">
        <v>6818</v>
      </c>
    </row>
    <row r="283" spans="1:7" x14ac:dyDescent="0.25">
      <c r="A283" t="s">
        <v>61</v>
      </c>
      <c r="B283">
        <v>2012</v>
      </c>
      <c r="C283">
        <v>15</v>
      </c>
      <c r="D283">
        <v>94</v>
      </c>
      <c r="E283">
        <v>6.3</v>
      </c>
      <c r="F283">
        <v>2.46</v>
      </c>
      <c r="G283" s="1">
        <v>19211</v>
      </c>
    </row>
    <row r="284" spans="1:7" x14ac:dyDescent="0.25">
      <c r="A284" t="s">
        <v>62</v>
      </c>
      <c r="B284">
        <v>2012</v>
      </c>
      <c r="C284">
        <v>12</v>
      </c>
      <c r="D284">
        <v>112</v>
      </c>
      <c r="E284">
        <v>4.5999999999999996</v>
      </c>
      <c r="F284">
        <v>0.35</v>
      </c>
      <c r="G284" s="1">
        <v>9279</v>
      </c>
    </row>
    <row r="285" spans="1:7" x14ac:dyDescent="0.25">
      <c r="A285" t="s">
        <v>63</v>
      </c>
      <c r="B285">
        <v>2012</v>
      </c>
      <c r="C285">
        <v>15</v>
      </c>
      <c r="D285">
        <v>72</v>
      </c>
      <c r="E285">
        <v>4.7</v>
      </c>
      <c r="F285">
        <v>2.46</v>
      </c>
      <c r="G285">
        <v>320</v>
      </c>
    </row>
    <row r="286" spans="1:7" x14ac:dyDescent="0.25">
      <c r="A286" t="s">
        <v>66</v>
      </c>
      <c r="B286">
        <v>2012</v>
      </c>
      <c r="C286">
        <v>15</v>
      </c>
      <c r="D286">
        <v>91</v>
      </c>
      <c r="E286">
        <v>7</v>
      </c>
      <c r="F286">
        <v>148.31</v>
      </c>
      <c r="G286" s="1">
        <v>274157</v>
      </c>
    </row>
    <row r="287" spans="1:7" x14ac:dyDescent="0.25">
      <c r="A287" t="s">
        <v>68</v>
      </c>
      <c r="B287">
        <v>2012</v>
      </c>
      <c r="C287">
        <v>12</v>
      </c>
      <c r="D287">
        <v>105</v>
      </c>
      <c r="E287">
        <v>7.1</v>
      </c>
      <c r="F287">
        <v>1.56</v>
      </c>
      <c r="G287" s="1">
        <v>15147</v>
      </c>
    </row>
    <row r="288" spans="1:7" x14ac:dyDescent="0.25">
      <c r="A288" t="s">
        <v>70</v>
      </c>
      <c r="B288">
        <v>2012</v>
      </c>
      <c r="C288">
        <v>15</v>
      </c>
      <c r="D288">
        <v>107</v>
      </c>
      <c r="E288">
        <v>5.7</v>
      </c>
      <c r="F288">
        <v>0.69</v>
      </c>
      <c r="G288" s="1">
        <v>39073</v>
      </c>
    </row>
    <row r="289" spans="1:7" x14ac:dyDescent="0.25">
      <c r="A289" t="s">
        <v>72</v>
      </c>
      <c r="B289">
        <v>2012</v>
      </c>
      <c r="C289">
        <v>15</v>
      </c>
      <c r="D289">
        <v>147</v>
      </c>
      <c r="E289">
        <v>7.9</v>
      </c>
      <c r="F289">
        <v>0.31</v>
      </c>
      <c r="G289" s="1">
        <v>10768</v>
      </c>
    </row>
    <row r="290" spans="1:7" x14ac:dyDescent="0.25">
      <c r="A290" t="s">
        <v>73</v>
      </c>
      <c r="B290">
        <v>2012</v>
      </c>
      <c r="C290">
        <v>15</v>
      </c>
      <c r="D290">
        <v>91</v>
      </c>
      <c r="E290">
        <v>6.5</v>
      </c>
      <c r="F290">
        <v>20.28</v>
      </c>
      <c r="G290" s="1">
        <v>117391</v>
      </c>
    </row>
    <row r="291" spans="1:7" x14ac:dyDescent="0.25">
      <c r="A291" t="s">
        <v>74</v>
      </c>
      <c r="B291">
        <v>2012</v>
      </c>
      <c r="C291">
        <v>15</v>
      </c>
      <c r="D291">
        <v>97</v>
      </c>
      <c r="E291">
        <v>6.2</v>
      </c>
      <c r="F291">
        <v>15.03</v>
      </c>
      <c r="G291" s="1">
        <v>150384</v>
      </c>
    </row>
    <row r="292" spans="1:7" x14ac:dyDescent="0.25">
      <c r="A292" t="s">
        <v>75</v>
      </c>
      <c r="B292">
        <v>2012</v>
      </c>
      <c r="C292">
        <v>15</v>
      </c>
      <c r="D292">
        <v>87</v>
      </c>
      <c r="E292">
        <v>6.9</v>
      </c>
      <c r="F292">
        <v>35.29</v>
      </c>
      <c r="G292" s="1">
        <v>115268</v>
      </c>
    </row>
    <row r="293" spans="1:7" x14ac:dyDescent="0.25">
      <c r="A293" t="s">
        <v>77</v>
      </c>
      <c r="B293">
        <v>2012</v>
      </c>
      <c r="C293">
        <v>15</v>
      </c>
      <c r="D293">
        <v>95</v>
      </c>
      <c r="E293">
        <v>7.2</v>
      </c>
      <c r="F293">
        <v>6</v>
      </c>
      <c r="G293" s="1">
        <v>43703</v>
      </c>
    </row>
    <row r="294" spans="1:7" x14ac:dyDescent="0.25">
      <c r="A294" t="s">
        <v>78</v>
      </c>
      <c r="B294">
        <v>2012</v>
      </c>
      <c r="C294">
        <v>15</v>
      </c>
      <c r="D294">
        <v>97</v>
      </c>
      <c r="E294">
        <v>7</v>
      </c>
      <c r="F294">
        <v>2.46</v>
      </c>
      <c r="G294" s="1">
        <v>7126</v>
      </c>
    </row>
    <row r="295" spans="1:7" x14ac:dyDescent="0.25">
      <c r="A295" t="s">
        <v>79</v>
      </c>
      <c r="B295">
        <v>2012</v>
      </c>
      <c r="C295">
        <v>15</v>
      </c>
      <c r="D295">
        <v>96</v>
      </c>
      <c r="E295">
        <v>6</v>
      </c>
      <c r="F295">
        <v>0.63</v>
      </c>
      <c r="G295" s="1">
        <v>14924</v>
      </c>
    </row>
    <row r="296" spans="1:7" x14ac:dyDescent="0.25">
      <c r="A296" t="s">
        <v>81</v>
      </c>
      <c r="B296">
        <v>2012</v>
      </c>
      <c r="C296">
        <v>15</v>
      </c>
      <c r="D296">
        <v>118</v>
      </c>
      <c r="E296">
        <v>7.4</v>
      </c>
      <c r="F296">
        <v>2.34</v>
      </c>
      <c r="G296" s="1">
        <v>25941</v>
      </c>
    </row>
    <row r="297" spans="1:7" x14ac:dyDescent="0.25">
      <c r="A297" t="s">
        <v>82</v>
      </c>
      <c r="B297">
        <v>2012</v>
      </c>
      <c r="C297">
        <v>15</v>
      </c>
      <c r="D297">
        <v>95</v>
      </c>
      <c r="E297">
        <v>6.4</v>
      </c>
      <c r="F297">
        <v>3.3</v>
      </c>
      <c r="G297" s="1">
        <v>57266</v>
      </c>
    </row>
    <row r="298" spans="1:7" x14ac:dyDescent="0.25">
      <c r="A298" t="s">
        <v>83</v>
      </c>
      <c r="B298">
        <v>2012</v>
      </c>
      <c r="C298">
        <v>15</v>
      </c>
      <c r="D298">
        <v>89</v>
      </c>
      <c r="E298">
        <v>7</v>
      </c>
      <c r="F298">
        <v>3.33</v>
      </c>
      <c r="G298" s="1">
        <v>65400</v>
      </c>
    </row>
    <row r="299" spans="1:7" x14ac:dyDescent="0.25">
      <c r="A299" t="s">
        <v>84</v>
      </c>
      <c r="B299">
        <v>2012</v>
      </c>
      <c r="C299">
        <v>18</v>
      </c>
      <c r="D299">
        <v>95</v>
      </c>
      <c r="E299">
        <v>6.7</v>
      </c>
      <c r="F299">
        <v>0.01</v>
      </c>
      <c r="G299" s="1">
        <v>10439</v>
      </c>
    </row>
    <row r="300" spans="1:7" x14ac:dyDescent="0.25">
      <c r="A300" t="s">
        <v>86</v>
      </c>
      <c r="B300">
        <v>2012</v>
      </c>
      <c r="C300">
        <v>15</v>
      </c>
      <c r="D300">
        <v>88</v>
      </c>
      <c r="E300">
        <v>6.7</v>
      </c>
      <c r="F300">
        <v>31.05</v>
      </c>
      <c r="G300" s="1">
        <v>50719</v>
      </c>
    </row>
    <row r="301" spans="1:7" x14ac:dyDescent="0.25">
      <c r="A301" t="s">
        <v>87</v>
      </c>
      <c r="B301">
        <v>2012</v>
      </c>
      <c r="C301">
        <v>15</v>
      </c>
      <c r="D301">
        <v>90</v>
      </c>
      <c r="E301">
        <v>4.8</v>
      </c>
      <c r="F301">
        <v>2.46</v>
      </c>
      <c r="G301">
        <v>634</v>
      </c>
    </row>
    <row r="302" spans="1:7" x14ac:dyDescent="0.25">
      <c r="A302" t="s">
        <v>88</v>
      </c>
      <c r="B302">
        <v>2012</v>
      </c>
      <c r="C302">
        <v>15</v>
      </c>
      <c r="D302">
        <v>94</v>
      </c>
      <c r="E302">
        <v>5.9</v>
      </c>
      <c r="F302">
        <v>6.37</v>
      </c>
      <c r="G302" s="1">
        <v>12245</v>
      </c>
    </row>
    <row r="303" spans="1:7" x14ac:dyDescent="0.25">
      <c r="A303" t="s">
        <v>90</v>
      </c>
      <c r="B303">
        <v>2012</v>
      </c>
      <c r="C303">
        <v>12</v>
      </c>
      <c r="D303">
        <v>112</v>
      </c>
      <c r="E303">
        <v>6.1</v>
      </c>
      <c r="F303">
        <v>0.03</v>
      </c>
      <c r="G303" s="1">
        <v>20248</v>
      </c>
    </row>
    <row r="304" spans="1:7" x14ac:dyDescent="0.25">
      <c r="A304" t="s">
        <v>92</v>
      </c>
      <c r="B304">
        <v>2012</v>
      </c>
      <c r="C304">
        <v>15</v>
      </c>
      <c r="D304">
        <v>127</v>
      </c>
      <c r="E304">
        <v>7.9</v>
      </c>
      <c r="F304">
        <v>124.99</v>
      </c>
      <c r="G304" s="1">
        <v>655630</v>
      </c>
    </row>
    <row r="305" spans="1:7" x14ac:dyDescent="0.25">
      <c r="A305" t="s">
        <v>96</v>
      </c>
      <c r="B305">
        <v>2012</v>
      </c>
      <c r="C305">
        <v>15</v>
      </c>
      <c r="D305">
        <v>138</v>
      </c>
      <c r="E305">
        <v>7.1</v>
      </c>
      <c r="F305">
        <v>16.38</v>
      </c>
      <c r="G305" s="1">
        <v>183093</v>
      </c>
    </row>
    <row r="306" spans="1:7" x14ac:dyDescent="0.25">
      <c r="A306" t="s">
        <v>98</v>
      </c>
      <c r="B306">
        <v>2012</v>
      </c>
      <c r="C306">
        <v>12</v>
      </c>
      <c r="D306">
        <v>101</v>
      </c>
      <c r="E306">
        <v>7</v>
      </c>
      <c r="F306">
        <v>0.3</v>
      </c>
      <c r="G306" s="1">
        <v>26538</v>
      </c>
    </row>
    <row r="307" spans="1:7" x14ac:dyDescent="0.25">
      <c r="A307" t="s">
        <v>100</v>
      </c>
      <c r="B307">
        <v>2012</v>
      </c>
      <c r="C307">
        <v>15</v>
      </c>
      <c r="D307">
        <v>100</v>
      </c>
      <c r="E307">
        <v>6.1</v>
      </c>
      <c r="F307">
        <v>13.75</v>
      </c>
      <c r="G307" s="1">
        <v>37202</v>
      </c>
    </row>
    <row r="308" spans="1:7" x14ac:dyDescent="0.25">
      <c r="A308" t="s">
        <v>103</v>
      </c>
      <c r="B308">
        <v>2012</v>
      </c>
      <c r="C308">
        <v>15</v>
      </c>
      <c r="D308">
        <v>83</v>
      </c>
      <c r="E308">
        <v>5.3</v>
      </c>
      <c r="F308">
        <v>0.02</v>
      </c>
      <c r="G308" s="1">
        <v>5177</v>
      </c>
    </row>
    <row r="309" spans="1:7" x14ac:dyDescent="0.25">
      <c r="A309" t="s">
        <v>104</v>
      </c>
      <c r="B309">
        <v>2012</v>
      </c>
      <c r="C309">
        <v>18</v>
      </c>
      <c r="D309">
        <v>115</v>
      </c>
      <c r="E309">
        <v>7</v>
      </c>
      <c r="F309">
        <v>2.46</v>
      </c>
      <c r="G309" s="1">
        <v>48285</v>
      </c>
    </row>
    <row r="310" spans="1:7" x14ac:dyDescent="0.25">
      <c r="A310" t="s">
        <v>105</v>
      </c>
      <c r="B310">
        <v>2012</v>
      </c>
      <c r="C310">
        <v>18</v>
      </c>
      <c r="D310">
        <v>92</v>
      </c>
      <c r="E310">
        <v>6.6</v>
      </c>
      <c r="F310">
        <v>3.09</v>
      </c>
      <c r="G310" s="1">
        <v>33357</v>
      </c>
    </row>
    <row r="311" spans="1:7" x14ac:dyDescent="0.25">
      <c r="A311" t="s">
        <v>107</v>
      </c>
      <c r="B311">
        <v>2012</v>
      </c>
      <c r="C311">
        <v>15</v>
      </c>
      <c r="D311">
        <v>101</v>
      </c>
      <c r="E311">
        <v>6.2</v>
      </c>
      <c r="F311">
        <v>0.1</v>
      </c>
      <c r="G311" s="1">
        <v>12939</v>
      </c>
    </row>
    <row r="312" spans="1:7" x14ac:dyDescent="0.25">
      <c r="A312" t="s">
        <v>109</v>
      </c>
      <c r="B312">
        <v>2012</v>
      </c>
      <c r="C312">
        <v>15</v>
      </c>
      <c r="D312">
        <v>116</v>
      </c>
      <c r="E312">
        <v>6.5</v>
      </c>
      <c r="F312">
        <v>1.63</v>
      </c>
      <c r="G312" s="1">
        <v>14678</v>
      </c>
    </row>
    <row r="313" spans="1:7" x14ac:dyDescent="0.25">
      <c r="A313" t="s">
        <v>113</v>
      </c>
      <c r="B313">
        <v>2012</v>
      </c>
      <c r="C313">
        <v>15</v>
      </c>
      <c r="D313">
        <v>115</v>
      </c>
      <c r="E313">
        <v>5.5</v>
      </c>
      <c r="F313">
        <v>292.3</v>
      </c>
      <c r="G313" s="1">
        <v>258802</v>
      </c>
    </row>
    <row r="314" spans="1:7" x14ac:dyDescent="0.25">
      <c r="A314" t="s">
        <v>114</v>
      </c>
      <c r="B314">
        <v>2012</v>
      </c>
      <c r="C314">
        <v>15</v>
      </c>
      <c r="D314">
        <v>101</v>
      </c>
      <c r="E314">
        <v>7.7</v>
      </c>
      <c r="F314">
        <v>189.42</v>
      </c>
      <c r="G314" s="1">
        <v>447938</v>
      </c>
    </row>
    <row r="315" spans="1:7" x14ac:dyDescent="0.25">
      <c r="A315" t="s">
        <v>115</v>
      </c>
      <c r="B315">
        <v>2012</v>
      </c>
      <c r="C315">
        <v>15</v>
      </c>
      <c r="D315">
        <v>101</v>
      </c>
      <c r="E315">
        <v>5.5</v>
      </c>
      <c r="F315">
        <v>31.61</v>
      </c>
      <c r="G315" s="1">
        <v>80269</v>
      </c>
    </row>
    <row r="316" spans="1:7" x14ac:dyDescent="0.25">
      <c r="A316" t="s">
        <v>117</v>
      </c>
      <c r="B316">
        <v>2012</v>
      </c>
      <c r="C316">
        <v>15</v>
      </c>
      <c r="D316">
        <v>102</v>
      </c>
      <c r="E316">
        <v>5.7</v>
      </c>
      <c r="F316">
        <v>35.35</v>
      </c>
      <c r="G316" s="1">
        <v>131772</v>
      </c>
    </row>
    <row r="317" spans="1:7" x14ac:dyDescent="0.25">
      <c r="A317" t="s">
        <v>120</v>
      </c>
      <c r="B317">
        <v>2012</v>
      </c>
      <c r="C317">
        <v>18</v>
      </c>
      <c r="D317">
        <v>110</v>
      </c>
      <c r="E317">
        <v>5.7</v>
      </c>
      <c r="F317">
        <v>41.15</v>
      </c>
      <c r="G317" s="1">
        <v>75050</v>
      </c>
    </row>
    <row r="318" spans="1:7" x14ac:dyDescent="0.25">
      <c r="A318" t="s">
        <v>121</v>
      </c>
      <c r="B318">
        <v>2012</v>
      </c>
      <c r="C318">
        <v>15</v>
      </c>
      <c r="D318">
        <v>82</v>
      </c>
      <c r="E318">
        <v>5.7</v>
      </c>
      <c r="F318">
        <v>0.02</v>
      </c>
      <c r="G318" s="1">
        <v>3537</v>
      </c>
    </row>
    <row r="319" spans="1:7" x14ac:dyDescent="0.25">
      <c r="A319" t="s">
        <v>123</v>
      </c>
      <c r="B319">
        <v>2012</v>
      </c>
      <c r="C319">
        <v>15</v>
      </c>
      <c r="D319">
        <v>99</v>
      </c>
      <c r="E319">
        <v>6.2</v>
      </c>
      <c r="F319">
        <v>2.46</v>
      </c>
      <c r="G319" s="1">
        <v>8672</v>
      </c>
    </row>
    <row r="320" spans="1:7" x14ac:dyDescent="0.25">
      <c r="A320" t="s">
        <v>124</v>
      </c>
      <c r="B320">
        <v>2012</v>
      </c>
      <c r="C320">
        <v>15</v>
      </c>
      <c r="D320">
        <v>99</v>
      </c>
      <c r="E320">
        <v>6.3</v>
      </c>
      <c r="F320">
        <v>0.14000000000000001</v>
      </c>
      <c r="G320" s="1">
        <v>39863</v>
      </c>
    </row>
    <row r="321" spans="1:7" x14ac:dyDescent="0.25">
      <c r="A321" t="s">
        <v>125</v>
      </c>
      <c r="B321">
        <v>2012</v>
      </c>
      <c r="C321">
        <v>15</v>
      </c>
      <c r="D321">
        <v>116</v>
      </c>
      <c r="E321">
        <v>6.8</v>
      </c>
      <c r="F321">
        <v>0.06</v>
      </c>
      <c r="G321" s="1">
        <v>5679</v>
      </c>
    </row>
    <row r="322" spans="1:7" x14ac:dyDescent="0.25">
      <c r="A322" t="s">
        <v>128</v>
      </c>
      <c r="B322">
        <v>2012</v>
      </c>
      <c r="C322">
        <v>15</v>
      </c>
      <c r="D322">
        <v>109</v>
      </c>
      <c r="E322">
        <v>7.1</v>
      </c>
      <c r="F322">
        <v>0.97</v>
      </c>
      <c r="G322" s="1">
        <v>15764</v>
      </c>
    </row>
    <row r="323" spans="1:7" x14ac:dyDescent="0.25">
      <c r="A323" t="s">
        <v>131</v>
      </c>
      <c r="B323">
        <v>2012</v>
      </c>
      <c r="C323">
        <v>15</v>
      </c>
      <c r="D323">
        <v>87</v>
      </c>
      <c r="E323">
        <v>5.5</v>
      </c>
      <c r="F323">
        <v>0.25</v>
      </c>
      <c r="G323" s="1">
        <v>8927</v>
      </c>
    </row>
    <row r="324" spans="1:7" x14ac:dyDescent="0.25">
      <c r="A324" t="s">
        <v>133</v>
      </c>
      <c r="B324">
        <v>2012</v>
      </c>
      <c r="C324">
        <v>15</v>
      </c>
      <c r="D324">
        <v>106</v>
      </c>
      <c r="E324">
        <v>6.1</v>
      </c>
      <c r="F324">
        <v>2.46</v>
      </c>
      <c r="G324">
        <v>833</v>
      </c>
    </row>
    <row r="325" spans="1:7" x14ac:dyDescent="0.25">
      <c r="A325" t="s">
        <v>134</v>
      </c>
      <c r="B325">
        <v>2012</v>
      </c>
      <c r="C325">
        <v>15</v>
      </c>
      <c r="D325">
        <v>116</v>
      </c>
      <c r="E325">
        <v>7.1</v>
      </c>
      <c r="F325">
        <v>6</v>
      </c>
      <c r="G325" s="1">
        <v>34134</v>
      </c>
    </row>
    <row r="326" spans="1:7" x14ac:dyDescent="0.25">
      <c r="A326" t="s">
        <v>135</v>
      </c>
      <c r="B326">
        <v>2012</v>
      </c>
      <c r="C326">
        <v>15</v>
      </c>
      <c r="D326">
        <v>81</v>
      </c>
      <c r="E326">
        <v>5.0999999999999996</v>
      </c>
      <c r="F326">
        <v>2.46</v>
      </c>
      <c r="G326">
        <v>608</v>
      </c>
    </row>
    <row r="327" spans="1:7" x14ac:dyDescent="0.25">
      <c r="A327" t="s">
        <v>137</v>
      </c>
      <c r="B327">
        <v>2012</v>
      </c>
      <c r="C327">
        <v>15</v>
      </c>
      <c r="D327">
        <v>85</v>
      </c>
      <c r="E327">
        <v>6.3</v>
      </c>
      <c r="F327">
        <v>2.46</v>
      </c>
      <c r="G327">
        <v>965</v>
      </c>
    </row>
    <row r="328" spans="1:7" x14ac:dyDescent="0.25">
      <c r="A328" t="s">
        <v>138</v>
      </c>
      <c r="B328">
        <v>2012</v>
      </c>
      <c r="C328">
        <v>15</v>
      </c>
      <c r="D328">
        <v>101</v>
      </c>
      <c r="E328">
        <v>5.2</v>
      </c>
      <c r="F328">
        <v>25.89</v>
      </c>
      <c r="G328" s="1">
        <v>35084</v>
      </c>
    </row>
    <row r="329" spans="1:7" x14ac:dyDescent="0.25">
      <c r="A329" t="s">
        <v>139</v>
      </c>
      <c r="B329">
        <v>2012</v>
      </c>
      <c r="C329">
        <v>15</v>
      </c>
      <c r="D329">
        <v>97</v>
      </c>
      <c r="E329">
        <v>7.2</v>
      </c>
      <c r="F329">
        <v>103.41</v>
      </c>
      <c r="G329" s="1">
        <v>188234</v>
      </c>
    </row>
    <row r="330" spans="1:7" x14ac:dyDescent="0.25">
      <c r="A330" t="s">
        <v>140</v>
      </c>
      <c r="B330">
        <v>2012</v>
      </c>
      <c r="C330">
        <v>15</v>
      </c>
      <c r="D330">
        <v>98</v>
      </c>
      <c r="E330">
        <v>4.8</v>
      </c>
      <c r="F330">
        <v>0</v>
      </c>
      <c r="G330" s="1">
        <v>10840</v>
      </c>
    </row>
    <row r="331" spans="1:7" x14ac:dyDescent="0.25">
      <c r="A331" t="s">
        <v>141</v>
      </c>
      <c r="B331">
        <v>2012</v>
      </c>
      <c r="C331">
        <v>15</v>
      </c>
      <c r="D331">
        <v>86</v>
      </c>
      <c r="E331">
        <v>8.1999999999999993</v>
      </c>
      <c r="F331">
        <v>3.97</v>
      </c>
      <c r="G331" s="1">
        <v>71810</v>
      </c>
    </row>
    <row r="332" spans="1:7" x14ac:dyDescent="0.25">
      <c r="A332" t="s">
        <v>142</v>
      </c>
      <c r="B332">
        <v>2012</v>
      </c>
      <c r="C332">
        <v>18</v>
      </c>
      <c r="D332">
        <v>127</v>
      </c>
      <c r="E332">
        <v>7.9</v>
      </c>
      <c r="F332">
        <v>6.74</v>
      </c>
      <c r="G332" s="1">
        <v>104312</v>
      </c>
    </row>
    <row r="333" spans="1:7" x14ac:dyDescent="0.25">
      <c r="A333" t="s">
        <v>144</v>
      </c>
      <c r="B333">
        <v>2012</v>
      </c>
      <c r="C333">
        <v>15</v>
      </c>
      <c r="D333">
        <v>93</v>
      </c>
      <c r="E333">
        <v>7.1</v>
      </c>
      <c r="F333">
        <v>237.28</v>
      </c>
      <c r="G333" s="1">
        <v>432691</v>
      </c>
    </row>
    <row r="334" spans="1:7" x14ac:dyDescent="0.25">
      <c r="A334" t="s">
        <v>145</v>
      </c>
      <c r="B334">
        <v>2012</v>
      </c>
      <c r="C334">
        <v>15</v>
      </c>
      <c r="D334">
        <v>86</v>
      </c>
      <c r="E334">
        <v>4.5999999999999996</v>
      </c>
      <c r="F334">
        <v>2.46</v>
      </c>
      <c r="G334" s="1">
        <v>5625</v>
      </c>
    </row>
    <row r="335" spans="1:7" x14ac:dyDescent="0.25">
      <c r="A335" t="s">
        <v>147</v>
      </c>
      <c r="B335">
        <v>2012</v>
      </c>
      <c r="C335">
        <v>12</v>
      </c>
      <c r="D335">
        <v>105</v>
      </c>
      <c r="E335">
        <v>6.4</v>
      </c>
      <c r="F335">
        <v>45.29</v>
      </c>
      <c r="G335" s="1">
        <v>94559</v>
      </c>
    </row>
    <row r="336" spans="1:7" x14ac:dyDescent="0.25">
      <c r="A336" t="s">
        <v>149</v>
      </c>
      <c r="B336">
        <v>2012</v>
      </c>
      <c r="C336">
        <v>15</v>
      </c>
      <c r="D336">
        <v>130</v>
      </c>
      <c r="E336">
        <v>7</v>
      </c>
      <c r="F336">
        <v>80.069999999999993</v>
      </c>
      <c r="G336" s="1">
        <v>357638</v>
      </c>
    </row>
    <row r="337" spans="1:7" x14ac:dyDescent="0.25">
      <c r="A337" t="s">
        <v>151</v>
      </c>
      <c r="B337">
        <v>2012</v>
      </c>
      <c r="C337">
        <v>15</v>
      </c>
      <c r="D337">
        <v>102</v>
      </c>
      <c r="E337">
        <v>6.2</v>
      </c>
      <c r="F337">
        <v>0.26</v>
      </c>
      <c r="G337" s="1">
        <v>22871</v>
      </c>
    </row>
    <row r="338" spans="1:7" x14ac:dyDescent="0.25">
      <c r="A338" t="s">
        <v>152</v>
      </c>
      <c r="B338">
        <v>2012</v>
      </c>
      <c r="C338">
        <v>15</v>
      </c>
      <c r="D338">
        <v>93</v>
      </c>
      <c r="E338">
        <v>5.2</v>
      </c>
      <c r="F338">
        <v>0</v>
      </c>
      <c r="G338" s="1">
        <v>2778</v>
      </c>
    </row>
    <row r="339" spans="1:7" x14ac:dyDescent="0.25">
      <c r="A339" t="s">
        <v>158</v>
      </c>
      <c r="B339">
        <v>2012</v>
      </c>
      <c r="C339">
        <v>15</v>
      </c>
      <c r="D339">
        <v>125</v>
      </c>
      <c r="E339">
        <v>6.4</v>
      </c>
      <c r="F339">
        <v>5.13</v>
      </c>
      <c r="G339" s="1">
        <v>34650</v>
      </c>
    </row>
    <row r="340" spans="1:7" x14ac:dyDescent="0.25">
      <c r="A340" t="s">
        <v>163</v>
      </c>
      <c r="B340">
        <v>2012</v>
      </c>
      <c r="C340">
        <v>15</v>
      </c>
      <c r="D340">
        <v>140</v>
      </c>
      <c r="E340">
        <v>7.3</v>
      </c>
      <c r="F340">
        <v>21.38</v>
      </c>
      <c r="G340" s="1">
        <v>284662</v>
      </c>
    </row>
    <row r="341" spans="1:7" x14ac:dyDescent="0.25">
      <c r="A341" t="s">
        <v>168</v>
      </c>
      <c r="B341">
        <v>2012</v>
      </c>
      <c r="C341">
        <v>15</v>
      </c>
      <c r="D341">
        <v>105</v>
      </c>
      <c r="E341">
        <v>7.4</v>
      </c>
      <c r="F341">
        <v>0.35</v>
      </c>
      <c r="G341" s="1">
        <v>33803</v>
      </c>
    </row>
    <row r="342" spans="1:7" x14ac:dyDescent="0.25">
      <c r="A342" t="s">
        <v>169</v>
      </c>
      <c r="B342">
        <v>2012</v>
      </c>
      <c r="C342">
        <v>15</v>
      </c>
      <c r="D342">
        <v>112</v>
      </c>
      <c r="E342">
        <v>5.8</v>
      </c>
      <c r="F342">
        <v>0.59</v>
      </c>
      <c r="G342" s="1">
        <v>29712</v>
      </c>
    </row>
    <row r="343" spans="1:7" x14ac:dyDescent="0.25">
      <c r="A343" t="s">
        <v>171</v>
      </c>
      <c r="B343">
        <v>2012</v>
      </c>
      <c r="C343">
        <v>15</v>
      </c>
      <c r="D343">
        <v>105</v>
      </c>
      <c r="E343">
        <v>5.7</v>
      </c>
      <c r="F343">
        <v>13.1</v>
      </c>
      <c r="G343" s="1">
        <v>31009</v>
      </c>
    </row>
    <row r="344" spans="1:7" x14ac:dyDescent="0.25">
      <c r="A344" t="s">
        <v>172</v>
      </c>
      <c r="B344">
        <v>2012</v>
      </c>
      <c r="C344">
        <v>15</v>
      </c>
      <c r="D344">
        <v>83</v>
      </c>
      <c r="E344">
        <v>4.8</v>
      </c>
      <c r="F344">
        <v>2.46</v>
      </c>
      <c r="G344" s="1">
        <v>9764</v>
      </c>
    </row>
    <row r="345" spans="1:7" x14ac:dyDescent="0.25">
      <c r="A345" t="s">
        <v>173</v>
      </c>
      <c r="B345">
        <v>2012</v>
      </c>
      <c r="C345">
        <v>15</v>
      </c>
      <c r="D345">
        <v>111</v>
      </c>
      <c r="E345">
        <v>6.5</v>
      </c>
      <c r="F345">
        <v>2.29</v>
      </c>
      <c r="G345" s="1">
        <v>5923</v>
      </c>
    </row>
    <row r="346" spans="1:7" x14ac:dyDescent="0.25">
      <c r="A346" t="s">
        <v>177</v>
      </c>
      <c r="B346">
        <v>2012</v>
      </c>
      <c r="C346">
        <v>15</v>
      </c>
      <c r="D346">
        <v>107</v>
      </c>
      <c r="E346">
        <v>6.5</v>
      </c>
      <c r="F346">
        <v>3.35</v>
      </c>
      <c r="G346" s="1">
        <v>14636</v>
      </c>
    </row>
    <row r="347" spans="1:7" x14ac:dyDescent="0.25">
      <c r="A347" t="s">
        <v>183</v>
      </c>
      <c r="B347">
        <v>2012</v>
      </c>
      <c r="C347">
        <v>15</v>
      </c>
      <c r="D347">
        <v>115</v>
      </c>
      <c r="E347">
        <v>6.3</v>
      </c>
      <c r="F347">
        <v>2.46</v>
      </c>
      <c r="G347" s="1">
        <v>1750</v>
      </c>
    </row>
    <row r="348" spans="1:7" x14ac:dyDescent="0.25">
      <c r="A348" t="s">
        <v>186</v>
      </c>
      <c r="B348">
        <v>2012</v>
      </c>
      <c r="C348">
        <v>15</v>
      </c>
      <c r="D348">
        <v>106</v>
      </c>
      <c r="E348">
        <v>6.8</v>
      </c>
      <c r="F348">
        <v>1.94</v>
      </c>
      <c r="G348" s="1">
        <v>78058</v>
      </c>
    </row>
    <row r="349" spans="1:7" x14ac:dyDescent="0.25">
      <c r="A349" t="s">
        <v>187</v>
      </c>
      <c r="B349">
        <v>2012</v>
      </c>
      <c r="C349">
        <v>15</v>
      </c>
      <c r="D349">
        <v>107</v>
      </c>
      <c r="E349">
        <v>6.4</v>
      </c>
      <c r="F349">
        <v>0.03</v>
      </c>
      <c r="G349">
        <v>620</v>
      </c>
    </row>
    <row r="350" spans="1:7" x14ac:dyDescent="0.25">
      <c r="A350" t="s">
        <v>197</v>
      </c>
      <c r="B350">
        <v>2012</v>
      </c>
      <c r="C350">
        <v>15</v>
      </c>
      <c r="D350">
        <v>94</v>
      </c>
      <c r="E350">
        <v>4.8</v>
      </c>
      <c r="F350">
        <v>0.02</v>
      </c>
      <c r="G350" s="1">
        <v>11957</v>
      </c>
    </row>
    <row r="351" spans="1:7" x14ac:dyDescent="0.25">
      <c r="A351" t="s">
        <v>198</v>
      </c>
      <c r="B351">
        <v>2012</v>
      </c>
      <c r="C351">
        <v>12</v>
      </c>
      <c r="D351">
        <v>118</v>
      </c>
      <c r="E351">
        <v>6.5</v>
      </c>
      <c r="F351">
        <v>0.08</v>
      </c>
      <c r="G351" s="1">
        <v>45373</v>
      </c>
    </row>
    <row r="352" spans="1:7" x14ac:dyDescent="0.25">
      <c r="A352" t="s">
        <v>203</v>
      </c>
      <c r="B352">
        <v>2012</v>
      </c>
      <c r="C352">
        <v>15</v>
      </c>
      <c r="D352">
        <v>106</v>
      </c>
      <c r="E352">
        <v>6.6</v>
      </c>
      <c r="F352">
        <v>7.6</v>
      </c>
      <c r="G352" s="1">
        <v>39477</v>
      </c>
    </row>
    <row r="353" spans="1:7" x14ac:dyDescent="0.25">
      <c r="A353" t="s">
        <v>204</v>
      </c>
      <c r="B353">
        <v>2012</v>
      </c>
      <c r="C353">
        <v>18</v>
      </c>
      <c r="D353">
        <v>130</v>
      </c>
      <c r="E353">
        <v>7.4</v>
      </c>
      <c r="F353">
        <v>21.59</v>
      </c>
      <c r="G353" s="1">
        <v>186279</v>
      </c>
    </row>
    <row r="354" spans="1:7" x14ac:dyDescent="0.25">
      <c r="A354" t="s">
        <v>205</v>
      </c>
      <c r="B354">
        <v>2012</v>
      </c>
      <c r="C354">
        <v>15</v>
      </c>
      <c r="D354">
        <v>95</v>
      </c>
      <c r="E354">
        <v>6.4</v>
      </c>
      <c r="F354">
        <v>0.21</v>
      </c>
      <c r="G354" s="1">
        <v>6759</v>
      </c>
    </row>
    <row r="355" spans="1:7" x14ac:dyDescent="0.25">
      <c r="A355" t="s">
        <v>206</v>
      </c>
      <c r="B355">
        <v>2012</v>
      </c>
      <c r="C355">
        <v>15</v>
      </c>
      <c r="D355">
        <v>134</v>
      </c>
      <c r="E355">
        <v>6.2</v>
      </c>
      <c r="F355">
        <v>67.540000000000006</v>
      </c>
      <c r="G355" s="1">
        <v>148234</v>
      </c>
    </row>
    <row r="356" spans="1:7" x14ac:dyDescent="0.25">
      <c r="A356" t="s">
        <v>208</v>
      </c>
      <c r="B356">
        <v>2012</v>
      </c>
      <c r="C356">
        <v>15</v>
      </c>
      <c r="D356">
        <v>85</v>
      </c>
      <c r="E356">
        <v>5.7</v>
      </c>
      <c r="F356">
        <v>2.46</v>
      </c>
      <c r="G356">
        <v>763</v>
      </c>
    </row>
    <row r="357" spans="1:7" x14ac:dyDescent="0.25">
      <c r="A357" t="s">
        <v>220</v>
      </c>
      <c r="B357">
        <v>2012</v>
      </c>
      <c r="C357">
        <v>12</v>
      </c>
      <c r="D357">
        <v>92</v>
      </c>
      <c r="E357">
        <v>6.2</v>
      </c>
      <c r="F357">
        <v>139.85</v>
      </c>
      <c r="G357" s="1">
        <v>318048</v>
      </c>
    </row>
    <row r="358" spans="1:7" x14ac:dyDescent="0.25">
      <c r="A358" t="s">
        <v>223</v>
      </c>
      <c r="B358">
        <v>2012</v>
      </c>
      <c r="C358">
        <v>15</v>
      </c>
      <c r="D358">
        <v>115</v>
      </c>
      <c r="E358">
        <v>7.5</v>
      </c>
      <c r="F358">
        <v>7.44</v>
      </c>
      <c r="G358" s="1">
        <v>77619</v>
      </c>
    </row>
    <row r="359" spans="1:7" x14ac:dyDescent="0.25">
      <c r="A359" t="s">
        <v>236</v>
      </c>
      <c r="B359">
        <v>2012</v>
      </c>
      <c r="C359">
        <v>15</v>
      </c>
      <c r="D359">
        <v>93</v>
      </c>
      <c r="E359">
        <v>5.6</v>
      </c>
      <c r="F359">
        <v>2.46</v>
      </c>
      <c r="G359" s="1">
        <v>7697</v>
      </c>
    </row>
    <row r="360" spans="1:7" x14ac:dyDescent="0.25">
      <c r="A360" t="s">
        <v>241</v>
      </c>
      <c r="B360">
        <v>2012</v>
      </c>
      <c r="C360">
        <v>15</v>
      </c>
      <c r="D360">
        <v>101</v>
      </c>
      <c r="E360">
        <v>7.6</v>
      </c>
      <c r="F360">
        <v>2.42</v>
      </c>
      <c r="G360" s="1">
        <v>5800</v>
      </c>
    </row>
    <row r="361" spans="1:7" x14ac:dyDescent="0.25">
      <c r="A361" t="s">
        <v>245</v>
      </c>
      <c r="B361">
        <v>2012</v>
      </c>
      <c r="C361">
        <v>12</v>
      </c>
      <c r="D361">
        <v>158</v>
      </c>
      <c r="E361">
        <v>7.5</v>
      </c>
      <c r="F361">
        <v>148.81</v>
      </c>
      <c r="G361" s="1">
        <v>341279</v>
      </c>
    </row>
    <row r="362" spans="1:7" x14ac:dyDescent="0.25">
      <c r="A362" t="s">
        <v>247</v>
      </c>
      <c r="B362">
        <v>2012</v>
      </c>
      <c r="C362">
        <v>12</v>
      </c>
      <c r="D362">
        <v>118</v>
      </c>
      <c r="E362">
        <v>5.6</v>
      </c>
      <c r="F362">
        <v>2.46</v>
      </c>
      <c r="G362" s="1">
        <v>2140</v>
      </c>
    </row>
    <row r="363" spans="1:7" x14ac:dyDescent="0.25">
      <c r="A363" t="s">
        <v>248</v>
      </c>
      <c r="B363">
        <v>2012</v>
      </c>
      <c r="C363">
        <v>15</v>
      </c>
      <c r="D363">
        <v>101</v>
      </c>
      <c r="E363">
        <v>6.3</v>
      </c>
      <c r="F363">
        <v>0.01</v>
      </c>
      <c r="G363" s="1">
        <v>16786</v>
      </c>
    </row>
    <row r="364" spans="1:7" x14ac:dyDescent="0.25">
      <c r="A364" t="s">
        <v>250</v>
      </c>
      <c r="B364">
        <v>2012</v>
      </c>
      <c r="C364">
        <v>12</v>
      </c>
      <c r="D364">
        <v>89</v>
      </c>
      <c r="E364">
        <v>5.9</v>
      </c>
      <c r="F364">
        <v>0.05</v>
      </c>
      <c r="G364" s="1">
        <v>6065</v>
      </c>
    </row>
    <row r="365" spans="1:7" x14ac:dyDescent="0.25">
      <c r="A365" t="s">
        <v>252</v>
      </c>
      <c r="B365">
        <v>2012</v>
      </c>
      <c r="C365">
        <v>12</v>
      </c>
      <c r="D365">
        <v>108</v>
      </c>
      <c r="E365">
        <v>5.7</v>
      </c>
      <c r="F365">
        <v>2.46</v>
      </c>
      <c r="G365" s="1">
        <v>15076</v>
      </c>
    </row>
    <row r="366" spans="1:7" x14ac:dyDescent="0.25">
      <c r="A366" t="s">
        <v>264</v>
      </c>
      <c r="B366">
        <v>2012</v>
      </c>
      <c r="C366">
        <v>15</v>
      </c>
      <c r="D366">
        <v>115</v>
      </c>
      <c r="E366">
        <v>6.9</v>
      </c>
      <c r="F366">
        <v>0.01</v>
      </c>
      <c r="G366" s="1">
        <v>2367</v>
      </c>
    </row>
    <row r="367" spans="1:7" x14ac:dyDescent="0.25">
      <c r="A367" t="s">
        <v>266</v>
      </c>
      <c r="B367">
        <v>2012</v>
      </c>
      <c r="C367">
        <v>12</v>
      </c>
      <c r="D367">
        <v>117</v>
      </c>
      <c r="E367">
        <v>6</v>
      </c>
      <c r="F367">
        <v>0.61</v>
      </c>
      <c r="G367" s="1">
        <v>4915</v>
      </c>
    </row>
    <row r="368" spans="1:7" x14ac:dyDescent="0.25">
      <c r="A368" t="s">
        <v>276</v>
      </c>
      <c r="B368">
        <v>2012</v>
      </c>
      <c r="C368">
        <v>15</v>
      </c>
      <c r="D368">
        <v>85</v>
      </c>
      <c r="E368">
        <v>5.9</v>
      </c>
      <c r="F368">
        <v>2.46</v>
      </c>
      <c r="G368" s="1">
        <v>3748</v>
      </c>
    </row>
    <row r="369" spans="1:7" x14ac:dyDescent="0.25">
      <c r="A369" t="s">
        <v>278</v>
      </c>
      <c r="B369">
        <v>2012</v>
      </c>
      <c r="C369">
        <v>15</v>
      </c>
      <c r="D369">
        <v>99</v>
      </c>
      <c r="E369">
        <v>7.4</v>
      </c>
      <c r="F369">
        <v>1.07</v>
      </c>
      <c r="G369" s="1">
        <v>28439</v>
      </c>
    </row>
    <row r="370" spans="1:7" x14ac:dyDescent="0.25">
      <c r="A370" t="s">
        <v>290</v>
      </c>
      <c r="B370">
        <v>2012</v>
      </c>
      <c r="C370">
        <v>15</v>
      </c>
      <c r="D370">
        <v>115</v>
      </c>
      <c r="E370">
        <v>8.3000000000000007</v>
      </c>
      <c r="F370">
        <v>0.69</v>
      </c>
      <c r="G370" s="1">
        <v>353227</v>
      </c>
    </row>
    <row r="371" spans="1:7" x14ac:dyDescent="0.25">
      <c r="A371" t="s">
        <v>294</v>
      </c>
      <c r="B371">
        <v>2012</v>
      </c>
      <c r="C371">
        <v>15</v>
      </c>
      <c r="D371">
        <v>97</v>
      </c>
      <c r="E371">
        <v>7.2</v>
      </c>
      <c r="F371">
        <v>0.08</v>
      </c>
      <c r="G371" s="1">
        <v>91038</v>
      </c>
    </row>
    <row r="372" spans="1:7" x14ac:dyDescent="0.25">
      <c r="A372" t="s">
        <v>296</v>
      </c>
      <c r="B372">
        <v>2012</v>
      </c>
      <c r="C372">
        <v>15</v>
      </c>
      <c r="D372">
        <v>127</v>
      </c>
      <c r="E372">
        <v>7.3</v>
      </c>
      <c r="F372">
        <v>0.01</v>
      </c>
      <c r="G372" s="1">
        <v>17233</v>
      </c>
    </row>
    <row r="373" spans="1:7" x14ac:dyDescent="0.25">
      <c r="A373" t="s">
        <v>299</v>
      </c>
      <c r="B373">
        <v>2012</v>
      </c>
      <c r="C373">
        <v>15</v>
      </c>
      <c r="D373">
        <v>110</v>
      </c>
      <c r="E373">
        <v>6</v>
      </c>
      <c r="F373">
        <v>0.05</v>
      </c>
      <c r="G373" s="1">
        <v>2008</v>
      </c>
    </row>
    <row r="374" spans="1:7" x14ac:dyDescent="0.25">
      <c r="A374" t="s">
        <v>302</v>
      </c>
      <c r="B374">
        <v>2012</v>
      </c>
      <c r="C374">
        <v>15</v>
      </c>
      <c r="D374">
        <v>112</v>
      </c>
      <c r="E374">
        <v>6.4</v>
      </c>
      <c r="F374">
        <v>1.06</v>
      </c>
      <c r="G374" s="1">
        <v>29284</v>
      </c>
    </row>
    <row r="375" spans="1:7" x14ac:dyDescent="0.25">
      <c r="A375" t="s">
        <v>328</v>
      </c>
      <c r="B375">
        <v>2012</v>
      </c>
      <c r="C375">
        <v>15</v>
      </c>
      <c r="D375">
        <v>104</v>
      </c>
      <c r="E375">
        <v>7.5</v>
      </c>
      <c r="F375">
        <v>0.28000000000000003</v>
      </c>
      <c r="G375" s="1">
        <v>11471</v>
      </c>
    </row>
    <row r="376" spans="1:7" x14ac:dyDescent="0.25">
      <c r="A376" t="s">
        <v>331</v>
      </c>
      <c r="B376">
        <v>2012</v>
      </c>
      <c r="C376">
        <v>15</v>
      </c>
      <c r="D376">
        <v>94</v>
      </c>
      <c r="E376">
        <v>5.8</v>
      </c>
      <c r="F376">
        <v>2.46</v>
      </c>
      <c r="G376" s="1">
        <v>5360</v>
      </c>
    </row>
    <row r="377" spans="1:7" x14ac:dyDescent="0.25">
      <c r="A377" t="s">
        <v>349</v>
      </c>
      <c r="B377">
        <v>2012</v>
      </c>
      <c r="C377">
        <v>15</v>
      </c>
      <c r="D377">
        <v>97</v>
      </c>
      <c r="E377">
        <v>7.1</v>
      </c>
      <c r="F377">
        <v>0</v>
      </c>
      <c r="G377" s="1">
        <v>3227</v>
      </c>
    </row>
    <row r="378" spans="1:7" x14ac:dyDescent="0.25">
      <c r="A378" t="s">
        <v>358</v>
      </c>
      <c r="B378">
        <v>2012</v>
      </c>
      <c r="C378">
        <v>15</v>
      </c>
      <c r="D378">
        <v>113</v>
      </c>
      <c r="E378">
        <v>7.1</v>
      </c>
      <c r="F378">
        <v>0.71</v>
      </c>
      <c r="G378" s="1">
        <v>11860</v>
      </c>
    </row>
    <row r="379" spans="1:7" x14ac:dyDescent="0.25">
      <c r="A379" t="s">
        <v>389</v>
      </c>
      <c r="B379">
        <v>2012</v>
      </c>
      <c r="C379">
        <v>12</v>
      </c>
      <c r="D379">
        <v>98</v>
      </c>
      <c r="E379">
        <v>7.5</v>
      </c>
      <c r="F379">
        <v>1.35</v>
      </c>
      <c r="G379" s="1">
        <v>21183</v>
      </c>
    </row>
    <row r="380" spans="1:7" x14ac:dyDescent="0.25">
      <c r="A380" t="s">
        <v>413</v>
      </c>
      <c r="B380">
        <v>2012</v>
      </c>
      <c r="C380">
        <v>15</v>
      </c>
      <c r="D380">
        <v>102</v>
      </c>
      <c r="E380">
        <v>7.1</v>
      </c>
      <c r="F380">
        <v>0.15</v>
      </c>
      <c r="G380" s="1">
        <v>5399</v>
      </c>
    </row>
    <row r="381" spans="1:7" x14ac:dyDescent="0.25">
      <c r="A381" t="s">
        <v>455</v>
      </c>
      <c r="B381">
        <v>2012</v>
      </c>
      <c r="C381">
        <v>15</v>
      </c>
      <c r="D381">
        <v>89</v>
      </c>
      <c r="E381">
        <v>5.8</v>
      </c>
      <c r="F381">
        <v>57.01</v>
      </c>
      <c r="G381" s="1">
        <v>26569</v>
      </c>
    </row>
    <row r="382" spans="1:7" x14ac:dyDescent="0.25">
      <c r="A382" t="s">
        <v>539</v>
      </c>
      <c r="B382">
        <v>2012</v>
      </c>
      <c r="C382">
        <v>12</v>
      </c>
      <c r="D382">
        <v>101</v>
      </c>
      <c r="E382">
        <v>6.4</v>
      </c>
      <c r="F382">
        <v>0.25</v>
      </c>
      <c r="G382" s="1">
        <v>6051</v>
      </c>
    </row>
    <row r="383" spans="1:7" x14ac:dyDescent="0.25">
      <c r="A383" t="s">
        <v>543</v>
      </c>
      <c r="B383">
        <v>2012</v>
      </c>
      <c r="C383">
        <v>15</v>
      </c>
      <c r="D383">
        <v>86</v>
      </c>
      <c r="E383">
        <v>7.3</v>
      </c>
      <c r="F383">
        <v>0.15</v>
      </c>
      <c r="G383" s="1">
        <v>17273</v>
      </c>
    </row>
    <row r="384" spans="1:7" x14ac:dyDescent="0.25">
      <c r="A384" t="s">
        <v>555</v>
      </c>
      <c r="B384">
        <v>2012</v>
      </c>
      <c r="C384">
        <v>15</v>
      </c>
      <c r="D384">
        <v>101</v>
      </c>
      <c r="E384">
        <v>6.6</v>
      </c>
      <c r="F384">
        <v>2.46</v>
      </c>
      <c r="G384">
        <v>778</v>
      </c>
    </row>
    <row r="385" spans="1:7" x14ac:dyDescent="0.25">
      <c r="A385" t="s">
        <v>601</v>
      </c>
      <c r="B385">
        <v>2012</v>
      </c>
      <c r="C385">
        <v>15</v>
      </c>
      <c r="D385">
        <v>89</v>
      </c>
      <c r="E385">
        <v>7.6</v>
      </c>
      <c r="F385">
        <v>0.01</v>
      </c>
      <c r="G385" s="1">
        <v>1618</v>
      </c>
    </row>
    <row r="386" spans="1:7" x14ac:dyDescent="0.25">
      <c r="A386" t="s">
        <v>657</v>
      </c>
      <c r="B386">
        <v>2012</v>
      </c>
      <c r="C386">
        <v>18</v>
      </c>
      <c r="D386">
        <v>110</v>
      </c>
      <c r="E386">
        <v>7.1</v>
      </c>
      <c r="F386">
        <v>15.02</v>
      </c>
      <c r="G386" s="1">
        <v>270090</v>
      </c>
    </row>
    <row r="387" spans="1:7" x14ac:dyDescent="0.25">
      <c r="A387" t="s">
        <v>662</v>
      </c>
      <c r="B387">
        <v>2012</v>
      </c>
      <c r="C387">
        <v>15</v>
      </c>
      <c r="D387">
        <v>79</v>
      </c>
      <c r="E387">
        <v>6.6</v>
      </c>
      <c r="F387">
        <v>0.1</v>
      </c>
      <c r="G387" s="1">
        <v>2597</v>
      </c>
    </row>
    <row r="388" spans="1:7" x14ac:dyDescent="0.25">
      <c r="A388" t="s">
        <v>815</v>
      </c>
      <c r="B388">
        <v>2012</v>
      </c>
      <c r="C388">
        <v>15</v>
      </c>
      <c r="D388">
        <v>80</v>
      </c>
      <c r="E388">
        <v>7.8</v>
      </c>
      <c r="F388">
        <v>0.28999999999999998</v>
      </c>
      <c r="G388" s="1">
        <v>21783</v>
      </c>
    </row>
    <row r="389" spans="1:7" x14ac:dyDescent="0.25">
      <c r="A389" t="s">
        <v>883</v>
      </c>
      <c r="B389">
        <v>2012</v>
      </c>
      <c r="C389">
        <v>15</v>
      </c>
      <c r="D389">
        <v>79</v>
      </c>
      <c r="E389">
        <v>6.9</v>
      </c>
      <c r="F389">
        <v>0.02</v>
      </c>
      <c r="G389">
        <v>844</v>
      </c>
    </row>
    <row r="390" spans="1:7" x14ac:dyDescent="0.25">
      <c r="A390" t="s">
        <v>922</v>
      </c>
      <c r="B390">
        <v>2012</v>
      </c>
      <c r="C390">
        <v>15</v>
      </c>
      <c r="D390">
        <v>136</v>
      </c>
      <c r="E390">
        <v>7.6</v>
      </c>
      <c r="F390">
        <v>7.0000000000000007E-2</v>
      </c>
      <c r="G390" s="1">
        <v>7383</v>
      </c>
    </row>
    <row r="391" spans="1:7" x14ac:dyDescent="0.25">
      <c r="A391" t="s">
        <v>936</v>
      </c>
      <c r="B391">
        <v>2012</v>
      </c>
      <c r="C391">
        <v>15</v>
      </c>
      <c r="D391">
        <v>65</v>
      </c>
      <c r="E391">
        <v>6</v>
      </c>
      <c r="F391">
        <v>2.46</v>
      </c>
      <c r="G391">
        <v>573</v>
      </c>
    </row>
    <row r="392" spans="1:7" x14ac:dyDescent="0.25">
      <c r="A392" t="s">
        <v>968</v>
      </c>
      <c r="B392">
        <v>2012</v>
      </c>
      <c r="C392">
        <v>15</v>
      </c>
      <c r="D392">
        <v>106</v>
      </c>
      <c r="E392">
        <v>7.8</v>
      </c>
      <c r="F392">
        <v>0.09</v>
      </c>
      <c r="G392" s="1">
        <v>6412</v>
      </c>
    </row>
    <row r="393" spans="1:7" x14ac:dyDescent="0.25">
      <c r="A393" t="s">
        <v>1028</v>
      </c>
      <c r="B393">
        <v>2012</v>
      </c>
      <c r="C393">
        <v>15</v>
      </c>
      <c r="D393">
        <v>102</v>
      </c>
      <c r="E393">
        <v>6.1</v>
      </c>
      <c r="F393">
        <v>0.11</v>
      </c>
      <c r="G393" s="1">
        <v>1622</v>
      </c>
    </row>
    <row r="394" spans="1:7" x14ac:dyDescent="0.25">
      <c r="A394" t="s">
        <v>1030</v>
      </c>
      <c r="B394">
        <v>2012</v>
      </c>
      <c r="C394">
        <v>12</v>
      </c>
      <c r="D394">
        <v>103</v>
      </c>
      <c r="E394">
        <v>6.2</v>
      </c>
      <c r="F394">
        <v>2.46</v>
      </c>
      <c r="G394" s="1">
        <v>27667</v>
      </c>
    </row>
    <row r="395" spans="1:7" x14ac:dyDescent="0.25">
      <c r="A395" t="s">
        <v>1050</v>
      </c>
      <c r="B395">
        <v>2012</v>
      </c>
      <c r="C395">
        <v>15</v>
      </c>
      <c r="D395">
        <v>89</v>
      </c>
      <c r="E395">
        <v>6.5</v>
      </c>
      <c r="F395">
        <v>0.06</v>
      </c>
      <c r="G395">
        <v>242</v>
      </c>
    </row>
    <row r="396" spans="1:7" x14ac:dyDescent="0.25">
      <c r="A396" t="s">
        <v>1103</v>
      </c>
      <c r="B396">
        <v>2012</v>
      </c>
      <c r="C396">
        <v>15</v>
      </c>
      <c r="D396">
        <v>128</v>
      </c>
      <c r="E396">
        <v>6.3</v>
      </c>
      <c r="F396">
        <v>0.26</v>
      </c>
      <c r="G396" s="1">
        <v>13589</v>
      </c>
    </row>
    <row r="397" spans="1:7" x14ac:dyDescent="0.25">
      <c r="A397" t="s">
        <v>1122</v>
      </c>
      <c r="B397">
        <v>2012</v>
      </c>
      <c r="C397">
        <v>18</v>
      </c>
      <c r="D397">
        <v>86</v>
      </c>
      <c r="E397">
        <v>7.4</v>
      </c>
      <c r="F397">
        <v>4.0599999999999996</v>
      </c>
      <c r="G397" s="1">
        <v>91435</v>
      </c>
    </row>
    <row r="398" spans="1:7" x14ac:dyDescent="0.25">
      <c r="A398" t="s">
        <v>1330</v>
      </c>
      <c r="B398">
        <v>2012</v>
      </c>
      <c r="C398">
        <v>15</v>
      </c>
      <c r="D398">
        <v>99</v>
      </c>
      <c r="E398">
        <v>7.6</v>
      </c>
      <c r="F398">
        <v>0.03</v>
      </c>
      <c r="G398" s="1">
        <v>13655</v>
      </c>
    </row>
    <row r="399" spans="1:7" x14ac:dyDescent="0.25">
      <c r="A399" t="s">
        <v>1399</v>
      </c>
      <c r="B399">
        <v>2012</v>
      </c>
      <c r="C399">
        <v>15</v>
      </c>
      <c r="D399">
        <v>85</v>
      </c>
      <c r="E399">
        <v>7</v>
      </c>
      <c r="F399">
        <v>2.46</v>
      </c>
      <c r="G399">
        <v>555</v>
      </c>
    </row>
    <row r="400" spans="1:7" x14ac:dyDescent="0.25">
      <c r="A400" t="s">
        <v>1533</v>
      </c>
      <c r="B400">
        <v>2012</v>
      </c>
      <c r="C400">
        <v>15</v>
      </c>
      <c r="D400">
        <v>89</v>
      </c>
      <c r="E400">
        <v>6.4</v>
      </c>
      <c r="F400">
        <v>0.02</v>
      </c>
      <c r="G400" s="1">
        <v>3476</v>
      </c>
    </row>
    <row r="401" spans="1:7" x14ac:dyDescent="0.25">
      <c r="A401" t="s">
        <v>1537</v>
      </c>
      <c r="B401">
        <v>2012</v>
      </c>
      <c r="C401">
        <v>15</v>
      </c>
      <c r="D401">
        <v>90</v>
      </c>
      <c r="E401">
        <v>7.6</v>
      </c>
      <c r="F401">
        <v>2.46</v>
      </c>
      <c r="G401">
        <v>853</v>
      </c>
    </row>
    <row r="402" spans="1:7" x14ac:dyDescent="0.25">
      <c r="A402" t="s">
        <v>1628</v>
      </c>
      <c r="B402">
        <v>2012</v>
      </c>
      <c r="C402">
        <v>15</v>
      </c>
      <c r="D402">
        <v>105</v>
      </c>
      <c r="E402">
        <v>5.2</v>
      </c>
      <c r="F402">
        <v>2.46</v>
      </c>
      <c r="G402" s="1">
        <v>1806</v>
      </c>
    </row>
    <row r="403" spans="1:7" x14ac:dyDescent="0.25">
      <c r="A403" t="s">
        <v>1721</v>
      </c>
      <c r="B403">
        <v>2012</v>
      </c>
      <c r="C403">
        <v>12</v>
      </c>
      <c r="D403">
        <v>91</v>
      </c>
      <c r="E403">
        <v>6.7</v>
      </c>
      <c r="F403">
        <v>12.5</v>
      </c>
      <c r="G403" s="1">
        <v>8184</v>
      </c>
    </row>
    <row r="404" spans="1:7" x14ac:dyDescent="0.25">
      <c r="A404" t="s">
        <v>17</v>
      </c>
      <c r="B404">
        <v>2013</v>
      </c>
      <c r="C404">
        <v>15</v>
      </c>
      <c r="D404">
        <v>22</v>
      </c>
      <c r="E404">
        <v>5.7</v>
      </c>
      <c r="F404">
        <v>2.46</v>
      </c>
      <c r="G404" s="1">
        <v>3947</v>
      </c>
    </row>
    <row r="405" spans="1:7" x14ac:dyDescent="0.25">
      <c r="A405" t="s">
        <v>19</v>
      </c>
      <c r="B405">
        <v>2013</v>
      </c>
      <c r="C405">
        <v>15</v>
      </c>
      <c r="D405">
        <v>60</v>
      </c>
      <c r="E405">
        <v>6.6</v>
      </c>
      <c r="F405">
        <v>2.46</v>
      </c>
      <c r="G405" s="1">
        <v>3829</v>
      </c>
    </row>
    <row r="406" spans="1:7" x14ac:dyDescent="0.25">
      <c r="A406" t="s">
        <v>93</v>
      </c>
      <c r="B406">
        <v>2013</v>
      </c>
      <c r="C406">
        <v>15</v>
      </c>
      <c r="D406">
        <v>113</v>
      </c>
      <c r="E406">
        <v>6.7</v>
      </c>
      <c r="F406">
        <v>46</v>
      </c>
      <c r="G406" s="1">
        <v>220922</v>
      </c>
    </row>
    <row r="407" spans="1:7" x14ac:dyDescent="0.25">
      <c r="A407" t="s">
        <v>112</v>
      </c>
      <c r="B407">
        <v>2013</v>
      </c>
      <c r="C407">
        <v>15</v>
      </c>
      <c r="D407">
        <v>100</v>
      </c>
      <c r="E407">
        <v>6.2</v>
      </c>
      <c r="F407">
        <v>71.63</v>
      </c>
      <c r="G407" s="1">
        <v>189272</v>
      </c>
    </row>
    <row r="408" spans="1:7" x14ac:dyDescent="0.25">
      <c r="A408" t="s">
        <v>119</v>
      </c>
      <c r="B408">
        <v>2013</v>
      </c>
      <c r="C408">
        <v>12</v>
      </c>
      <c r="D408">
        <v>106</v>
      </c>
      <c r="E408">
        <v>7.1</v>
      </c>
      <c r="F408">
        <v>32.17</v>
      </c>
      <c r="G408" s="1">
        <v>195383</v>
      </c>
    </row>
    <row r="409" spans="1:7" x14ac:dyDescent="0.25">
      <c r="A409" t="s">
        <v>150</v>
      </c>
      <c r="B409">
        <v>2013</v>
      </c>
      <c r="C409">
        <v>15</v>
      </c>
      <c r="D409">
        <v>104</v>
      </c>
      <c r="E409">
        <v>5.0999999999999996</v>
      </c>
      <c r="F409">
        <v>2.46</v>
      </c>
      <c r="G409" s="1">
        <v>4904</v>
      </c>
    </row>
    <row r="410" spans="1:7" x14ac:dyDescent="0.25">
      <c r="A410" t="s">
        <v>153</v>
      </c>
      <c r="B410">
        <v>2013</v>
      </c>
      <c r="C410">
        <v>15</v>
      </c>
      <c r="D410">
        <v>97</v>
      </c>
      <c r="E410">
        <v>6.3</v>
      </c>
      <c r="F410">
        <v>17.41</v>
      </c>
      <c r="G410" s="1">
        <v>78813</v>
      </c>
    </row>
    <row r="411" spans="1:7" x14ac:dyDescent="0.25">
      <c r="A411" t="s">
        <v>154</v>
      </c>
      <c r="B411">
        <v>2013</v>
      </c>
      <c r="C411">
        <v>15</v>
      </c>
      <c r="D411">
        <v>109</v>
      </c>
      <c r="E411">
        <v>6.1</v>
      </c>
      <c r="F411">
        <v>19.7</v>
      </c>
      <c r="G411" s="1">
        <v>82711</v>
      </c>
    </row>
    <row r="412" spans="1:7" x14ac:dyDescent="0.25">
      <c r="A412" t="s">
        <v>155</v>
      </c>
      <c r="B412">
        <v>2013</v>
      </c>
      <c r="C412">
        <v>15</v>
      </c>
      <c r="D412">
        <v>89</v>
      </c>
      <c r="E412">
        <v>5.6</v>
      </c>
      <c r="F412">
        <v>2.46</v>
      </c>
      <c r="G412" s="1">
        <v>20680</v>
      </c>
    </row>
    <row r="413" spans="1:7" x14ac:dyDescent="0.25">
      <c r="A413" t="s">
        <v>156</v>
      </c>
      <c r="B413">
        <v>2013</v>
      </c>
      <c r="C413">
        <v>15</v>
      </c>
      <c r="D413">
        <v>124</v>
      </c>
      <c r="E413">
        <v>7</v>
      </c>
      <c r="F413">
        <v>89.02</v>
      </c>
      <c r="G413" s="1">
        <v>545192</v>
      </c>
    </row>
    <row r="414" spans="1:7" x14ac:dyDescent="0.25">
      <c r="A414" t="s">
        <v>38</v>
      </c>
      <c r="B414">
        <v>2013</v>
      </c>
      <c r="C414">
        <v>15</v>
      </c>
      <c r="D414">
        <v>125</v>
      </c>
      <c r="E414">
        <v>5.8</v>
      </c>
      <c r="F414">
        <v>26.63</v>
      </c>
      <c r="G414" s="1">
        <v>117722</v>
      </c>
    </row>
    <row r="415" spans="1:7" x14ac:dyDescent="0.25">
      <c r="A415" t="s">
        <v>157</v>
      </c>
      <c r="B415">
        <v>2013</v>
      </c>
      <c r="C415">
        <v>15</v>
      </c>
      <c r="D415">
        <v>130</v>
      </c>
      <c r="E415">
        <v>7.1</v>
      </c>
      <c r="F415">
        <v>409.01</v>
      </c>
      <c r="G415" s="1">
        <v>884835</v>
      </c>
    </row>
    <row r="416" spans="1:7" x14ac:dyDescent="0.25">
      <c r="A416" t="s">
        <v>159</v>
      </c>
      <c r="B416">
        <v>2013</v>
      </c>
      <c r="C416">
        <v>15</v>
      </c>
      <c r="D416">
        <v>88</v>
      </c>
      <c r="E416">
        <v>6.1</v>
      </c>
      <c r="F416">
        <v>55.7</v>
      </c>
      <c r="G416" s="1">
        <v>214163</v>
      </c>
    </row>
    <row r="417" spans="1:7" x14ac:dyDescent="0.25">
      <c r="A417" t="s">
        <v>160</v>
      </c>
      <c r="B417">
        <v>2013</v>
      </c>
      <c r="C417">
        <v>15</v>
      </c>
      <c r="D417">
        <v>115</v>
      </c>
      <c r="E417">
        <v>6.6</v>
      </c>
      <c r="F417">
        <v>71.349999999999994</v>
      </c>
      <c r="G417" s="1">
        <v>114866</v>
      </c>
    </row>
    <row r="418" spans="1:7" x14ac:dyDescent="0.25">
      <c r="A418" t="s">
        <v>161</v>
      </c>
      <c r="B418">
        <v>2013</v>
      </c>
      <c r="C418">
        <v>15</v>
      </c>
      <c r="D418">
        <v>118</v>
      </c>
      <c r="E418">
        <v>6.2</v>
      </c>
      <c r="F418">
        <v>17.62</v>
      </c>
      <c r="G418" s="1">
        <v>127783</v>
      </c>
    </row>
    <row r="419" spans="1:7" x14ac:dyDescent="0.25">
      <c r="A419" t="s">
        <v>162</v>
      </c>
      <c r="B419">
        <v>2013</v>
      </c>
      <c r="C419">
        <v>15</v>
      </c>
      <c r="D419">
        <v>93</v>
      </c>
      <c r="E419">
        <v>5.8</v>
      </c>
      <c r="F419">
        <v>25.68</v>
      </c>
      <c r="G419" s="1">
        <v>76650</v>
      </c>
    </row>
    <row r="420" spans="1:7" x14ac:dyDescent="0.25">
      <c r="A420" t="s">
        <v>164</v>
      </c>
      <c r="B420">
        <v>2013</v>
      </c>
      <c r="C420">
        <v>15</v>
      </c>
      <c r="D420">
        <v>110</v>
      </c>
      <c r="E420">
        <v>6.2</v>
      </c>
      <c r="F420">
        <v>2.46</v>
      </c>
      <c r="G420" s="1">
        <v>1791</v>
      </c>
    </row>
    <row r="421" spans="1:7" x14ac:dyDescent="0.25">
      <c r="A421" t="s">
        <v>167</v>
      </c>
      <c r="B421">
        <v>2013</v>
      </c>
      <c r="C421">
        <v>15</v>
      </c>
      <c r="D421">
        <v>104</v>
      </c>
      <c r="E421">
        <v>6.6</v>
      </c>
      <c r="F421">
        <v>0.06</v>
      </c>
      <c r="G421" s="1">
        <v>3114</v>
      </c>
    </row>
    <row r="422" spans="1:7" x14ac:dyDescent="0.25">
      <c r="A422" t="s">
        <v>174</v>
      </c>
      <c r="B422">
        <v>2013</v>
      </c>
      <c r="C422">
        <v>15</v>
      </c>
      <c r="D422">
        <v>97</v>
      </c>
      <c r="E422">
        <v>5.7</v>
      </c>
      <c r="F422">
        <v>0.03</v>
      </c>
      <c r="G422" s="1">
        <v>38878</v>
      </c>
    </row>
    <row r="423" spans="1:7" x14ac:dyDescent="0.25">
      <c r="A423" t="s">
        <v>175</v>
      </c>
      <c r="B423">
        <v>2013</v>
      </c>
      <c r="C423">
        <v>15</v>
      </c>
      <c r="D423">
        <v>118</v>
      </c>
      <c r="E423">
        <v>6.4</v>
      </c>
      <c r="F423">
        <v>10.88</v>
      </c>
      <c r="G423" s="1">
        <v>69619</v>
      </c>
    </row>
    <row r="424" spans="1:7" x14ac:dyDescent="0.25">
      <c r="A424" t="s">
        <v>176</v>
      </c>
      <c r="B424">
        <v>2013</v>
      </c>
      <c r="C424">
        <v>15</v>
      </c>
      <c r="D424">
        <v>85</v>
      </c>
      <c r="E424">
        <v>5.7</v>
      </c>
      <c r="F424">
        <v>64.47</v>
      </c>
      <c r="G424" s="1">
        <v>235921</v>
      </c>
    </row>
    <row r="425" spans="1:7" x14ac:dyDescent="0.25">
      <c r="A425">
        <v>42</v>
      </c>
      <c r="B425">
        <v>2013</v>
      </c>
      <c r="C425">
        <v>12</v>
      </c>
      <c r="D425">
        <v>128</v>
      </c>
      <c r="E425">
        <v>7.5</v>
      </c>
      <c r="F425">
        <v>95</v>
      </c>
      <c r="G425" s="1">
        <v>100735</v>
      </c>
    </row>
    <row r="426" spans="1:7" x14ac:dyDescent="0.25">
      <c r="A426" t="s">
        <v>179</v>
      </c>
      <c r="B426">
        <v>2013</v>
      </c>
      <c r="C426">
        <v>15</v>
      </c>
      <c r="D426">
        <v>112</v>
      </c>
      <c r="E426">
        <v>5.9</v>
      </c>
      <c r="F426">
        <v>0</v>
      </c>
      <c r="G426" s="1">
        <v>11895</v>
      </c>
    </row>
    <row r="427" spans="1:7" x14ac:dyDescent="0.25">
      <c r="A427" t="s">
        <v>180</v>
      </c>
      <c r="B427">
        <v>2013</v>
      </c>
      <c r="C427">
        <v>12</v>
      </c>
      <c r="D427">
        <v>95</v>
      </c>
      <c r="E427">
        <v>5.3</v>
      </c>
      <c r="F427">
        <v>2.46</v>
      </c>
      <c r="G427" s="1">
        <v>46683</v>
      </c>
    </row>
    <row r="428" spans="1:7" x14ac:dyDescent="0.25">
      <c r="A428" t="s">
        <v>181</v>
      </c>
      <c r="B428">
        <v>2013</v>
      </c>
      <c r="C428">
        <v>15</v>
      </c>
      <c r="D428">
        <v>98</v>
      </c>
      <c r="E428">
        <v>7.2</v>
      </c>
      <c r="F428">
        <v>187.17</v>
      </c>
      <c r="G428" s="1">
        <v>227354</v>
      </c>
    </row>
    <row r="429" spans="1:7" x14ac:dyDescent="0.25">
      <c r="A429" t="s">
        <v>184</v>
      </c>
      <c r="B429">
        <v>2013</v>
      </c>
      <c r="C429">
        <v>15</v>
      </c>
      <c r="D429">
        <v>96</v>
      </c>
      <c r="E429">
        <v>6.5</v>
      </c>
      <c r="F429">
        <v>0.44</v>
      </c>
      <c r="G429" s="1">
        <v>34639</v>
      </c>
    </row>
    <row r="430" spans="1:7" x14ac:dyDescent="0.25">
      <c r="A430" t="s">
        <v>185</v>
      </c>
      <c r="B430">
        <v>2013</v>
      </c>
      <c r="C430">
        <v>15</v>
      </c>
      <c r="D430">
        <v>88</v>
      </c>
      <c r="E430">
        <v>5.3</v>
      </c>
      <c r="F430">
        <v>0.04</v>
      </c>
      <c r="G430" s="1">
        <v>3842</v>
      </c>
    </row>
    <row r="431" spans="1:7" x14ac:dyDescent="0.25">
      <c r="A431" t="s">
        <v>188</v>
      </c>
      <c r="B431">
        <v>2013</v>
      </c>
      <c r="C431">
        <v>15</v>
      </c>
      <c r="D431">
        <v>108</v>
      </c>
      <c r="E431">
        <v>5.7</v>
      </c>
      <c r="F431">
        <v>18</v>
      </c>
      <c r="G431" s="1">
        <v>35935</v>
      </c>
    </row>
    <row r="432" spans="1:7" x14ac:dyDescent="0.25">
      <c r="A432" t="s">
        <v>189</v>
      </c>
      <c r="B432">
        <v>2013</v>
      </c>
      <c r="C432">
        <v>15</v>
      </c>
      <c r="D432">
        <v>104</v>
      </c>
      <c r="E432">
        <v>7.2</v>
      </c>
      <c r="F432">
        <v>268.49</v>
      </c>
      <c r="G432" s="1">
        <v>380814</v>
      </c>
    </row>
    <row r="433" spans="1:7" x14ac:dyDescent="0.25">
      <c r="A433" t="s">
        <v>190</v>
      </c>
      <c r="B433">
        <v>2013</v>
      </c>
      <c r="C433">
        <v>15</v>
      </c>
      <c r="D433">
        <v>117</v>
      </c>
      <c r="E433">
        <v>6.6</v>
      </c>
      <c r="F433">
        <v>159.58000000000001</v>
      </c>
      <c r="G433" s="1">
        <v>179148</v>
      </c>
    </row>
    <row r="434" spans="1:7" x14ac:dyDescent="0.25">
      <c r="A434" t="s">
        <v>191</v>
      </c>
      <c r="B434">
        <v>2013</v>
      </c>
      <c r="C434">
        <v>15</v>
      </c>
      <c r="D434">
        <v>90</v>
      </c>
      <c r="E434">
        <v>5.7</v>
      </c>
      <c r="F434">
        <v>0.78</v>
      </c>
      <c r="G434" s="1">
        <v>116647</v>
      </c>
    </row>
    <row r="435" spans="1:7" x14ac:dyDescent="0.25">
      <c r="A435" t="s">
        <v>192</v>
      </c>
      <c r="B435">
        <v>2013</v>
      </c>
      <c r="C435">
        <v>15</v>
      </c>
      <c r="D435">
        <v>93</v>
      </c>
      <c r="E435">
        <v>6.2</v>
      </c>
      <c r="F435">
        <v>0.36</v>
      </c>
      <c r="G435" s="1">
        <v>42263</v>
      </c>
    </row>
    <row r="436" spans="1:7" x14ac:dyDescent="0.25">
      <c r="A436" t="s">
        <v>194</v>
      </c>
      <c r="B436">
        <v>2013</v>
      </c>
      <c r="C436">
        <v>15</v>
      </c>
      <c r="D436">
        <v>143</v>
      </c>
      <c r="E436">
        <v>7.2</v>
      </c>
      <c r="F436">
        <v>144.84</v>
      </c>
      <c r="G436" s="1">
        <v>580687</v>
      </c>
    </row>
    <row r="437" spans="1:7" x14ac:dyDescent="0.25">
      <c r="A437" t="s">
        <v>195</v>
      </c>
      <c r="B437">
        <v>2013</v>
      </c>
      <c r="C437">
        <v>15</v>
      </c>
      <c r="D437">
        <v>90</v>
      </c>
      <c r="E437">
        <v>5.6</v>
      </c>
      <c r="F437">
        <v>21.78</v>
      </c>
      <c r="G437" s="1">
        <v>51421</v>
      </c>
    </row>
    <row r="438" spans="1:7" x14ac:dyDescent="0.25">
      <c r="A438" t="s">
        <v>196</v>
      </c>
      <c r="B438">
        <v>2013</v>
      </c>
      <c r="C438">
        <v>15</v>
      </c>
      <c r="D438">
        <v>129</v>
      </c>
      <c r="E438">
        <v>6.4</v>
      </c>
      <c r="F438">
        <v>49.88</v>
      </c>
      <c r="G438" s="1">
        <v>226373</v>
      </c>
    </row>
    <row r="439" spans="1:7" x14ac:dyDescent="0.25">
      <c r="A439" t="s">
        <v>199</v>
      </c>
      <c r="B439">
        <v>2013</v>
      </c>
      <c r="C439">
        <v>15</v>
      </c>
      <c r="D439">
        <v>124</v>
      </c>
      <c r="E439">
        <v>6.1</v>
      </c>
      <c r="F439">
        <v>19.45</v>
      </c>
      <c r="G439" s="1">
        <v>90333</v>
      </c>
    </row>
    <row r="440" spans="1:7" x14ac:dyDescent="0.25">
      <c r="A440" t="s">
        <v>200</v>
      </c>
      <c r="B440">
        <v>2013</v>
      </c>
      <c r="C440">
        <v>12</v>
      </c>
      <c r="D440">
        <v>101</v>
      </c>
      <c r="E440">
        <v>6</v>
      </c>
      <c r="F440">
        <v>0.02</v>
      </c>
      <c r="G440" s="1">
        <v>7265</v>
      </c>
    </row>
    <row r="441" spans="1:7" x14ac:dyDescent="0.25">
      <c r="A441" t="s">
        <v>201</v>
      </c>
      <c r="B441">
        <v>2013</v>
      </c>
      <c r="C441">
        <v>15</v>
      </c>
      <c r="D441">
        <v>96</v>
      </c>
      <c r="E441">
        <v>5.6</v>
      </c>
      <c r="F441">
        <v>33.619999999999997</v>
      </c>
      <c r="G441" s="1">
        <v>141557</v>
      </c>
    </row>
    <row r="442" spans="1:7" x14ac:dyDescent="0.25">
      <c r="A442" t="s">
        <v>207</v>
      </c>
      <c r="B442">
        <v>2013</v>
      </c>
      <c r="C442">
        <v>15</v>
      </c>
      <c r="D442">
        <v>101</v>
      </c>
      <c r="E442">
        <v>6.9</v>
      </c>
      <c r="F442">
        <v>2.3199999999999998</v>
      </c>
      <c r="G442" s="1">
        <v>116844</v>
      </c>
    </row>
    <row r="443" spans="1:7" x14ac:dyDescent="0.25">
      <c r="A443" t="s">
        <v>210</v>
      </c>
      <c r="B443">
        <v>2013</v>
      </c>
      <c r="C443">
        <v>15</v>
      </c>
      <c r="D443">
        <v>109</v>
      </c>
      <c r="E443">
        <v>6.6</v>
      </c>
      <c r="F443">
        <v>93.05</v>
      </c>
      <c r="G443" s="1">
        <v>464416</v>
      </c>
    </row>
    <row r="444" spans="1:7" x14ac:dyDescent="0.25">
      <c r="A444" t="s">
        <v>211</v>
      </c>
      <c r="B444">
        <v>2013</v>
      </c>
      <c r="C444">
        <v>15</v>
      </c>
      <c r="D444">
        <v>116</v>
      </c>
      <c r="E444">
        <v>7</v>
      </c>
      <c r="F444">
        <v>202.36</v>
      </c>
      <c r="G444" s="1">
        <v>703455</v>
      </c>
    </row>
    <row r="445" spans="1:7" x14ac:dyDescent="0.25">
      <c r="A445" t="s">
        <v>212</v>
      </c>
      <c r="B445">
        <v>2013</v>
      </c>
      <c r="C445">
        <v>15</v>
      </c>
      <c r="D445">
        <v>100</v>
      </c>
      <c r="E445">
        <v>4.8</v>
      </c>
      <c r="F445">
        <v>60.52</v>
      </c>
      <c r="G445" s="1">
        <v>206990</v>
      </c>
    </row>
    <row r="446" spans="1:7" x14ac:dyDescent="0.25">
      <c r="A446" t="s">
        <v>213</v>
      </c>
      <c r="B446">
        <v>2013</v>
      </c>
      <c r="C446">
        <v>15</v>
      </c>
      <c r="D446">
        <v>115</v>
      </c>
      <c r="E446">
        <v>7.2</v>
      </c>
      <c r="F446">
        <v>117.72</v>
      </c>
      <c r="G446" s="1">
        <v>692563</v>
      </c>
    </row>
    <row r="447" spans="1:7" x14ac:dyDescent="0.25">
      <c r="A447" t="s">
        <v>214</v>
      </c>
      <c r="B447">
        <v>2013</v>
      </c>
      <c r="C447">
        <v>15</v>
      </c>
      <c r="D447">
        <v>105</v>
      </c>
      <c r="E447">
        <v>6.4</v>
      </c>
      <c r="F447">
        <v>2.46</v>
      </c>
      <c r="G447" s="1">
        <v>66177</v>
      </c>
    </row>
    <row r="448" spans="1:7" x14ac:dyDescent="0.25">
      <c r="A448" t="s">
        <v>215</v>
      </c>
      <c r="B448">
        <v>2013</v>
      </c>
      <c r="C448">
        <v>15</v>
      </c>
      <c r="D448">
        <v>116</v>
      </c>
      <c r="E448">
        <v>6.8</v>
      </c>
      <c r="F448">
        <v>2.27</v>
      </c>
      <c r="G448" s="1">
        <v>51849</v>
      </c>
    </row>
    <row r="449" spans="1:7" x14ac:dyDescent="0.25">
      <c r="A449" t="s">
        <v>216</v>
      </c>
      <c r="B449">
        <v>2013</v>
      </c>
      <c r="C449">
        <v>15</v>
      </c>
      <c r="D449">
        <v>130</v>
      </c>
      <c r="E449">
        <v>5.8</v>
      </c>
      <c r="F449">
        <v>31.17</v>
      </c>
      <c r="G449" s="1">
        <v>137709</v>
      </c>
    </row>
    <row r="450" spans="1:7" x14ac:dyDescent="0.25">
      <c r="A450" t="s">
        <v>218</v>
      </c>
      <c r="B450">
        <v>2013</v>
      </c>
      <c r="C450">
        <v>15</v>
      </c>
      <c r="D450">
        <v>96</v>
      </c>
      <c r="E450">
        <v>6.4</v>
      </c>
      <c r="F450">
        <v>0.39</v>
      </c>
      <c r="G450" s="1">
        <v>22537</v>
      </c>
    </row>
    <row r="451" spans="1:7" x14ac:dyDescent="0.25">
      <c r="A451" t="s">
        <v>219</v>
      </c>
      <c r="B451">
        <v>2013</v>
      </c>
      <c r="C451">
        <v>15</v>
      </c>
      <c r="D451">
        <v>98</v>
      </c>
      <c r="E451">
        <v>5.2</v>
      </c>
      <c r="F451">
        <v>67.349999999999994</v>
      </c>
      <c r="G451" s="1">
        <v>212742</v>
      </c>
    </row>
    <row r="452" spans="1:7" x14ac:dyDescent="0.25">
      <c r="A452" t="s">
        <v>221</v>
      </c>
      <c r="B452">
        <v>2013</v>
      </c>
      <c r="C452">
        <v>15</v>
      </c>
      <c r="D452">
        <v>131</v>
      </c>
      <c r="E452">
        <v>6.9</v>
      </c>
      <c r="F452">
        <v>101.8</v>
      </c>
      <c r="G452" s="1">
        <v>521597</v>
      </c>
    </row>
    <row r="453" spans="1:7" x14ac:dyDescent="0.25">
      <c r="A453" t="s">
        <v>222</v>
      </c>
      <c r="B453">
        <v>2013</v>
      </c>
      <c r="C453">
        <v>15</v>
      </c>
      <c r="D453">
        <v>128</v>
      </c>
      <c r="E453">
        <v>6</v>
      </c>
      <c r="F453">
        <v>16.13</v>
      </c>
      <c r="G453" s="1">
        <v>101843</v>
      </c>
    </row>
    <row r="454" spans="1:7" x14ac:dyDescent="0.25">
      <c r="A454" t="s">
        <v>224</v>
      </c>
      <c r="B454">
        <v>2013</v>
      </c>
      <c r="C454">
        <v>15</v>
      </c>
      <c r="D454">
        <v>97</v>
      </c>
      <c r="E454">
        <v>6.4</v>
      </c>
      <c r="F454">
        <v>0.13</v>
      </c>
      <c r="G454" s="1">
        <v>74378</v>
      </c>
    </row>
    <row r="455" spans="1:7" x14ac:dyDescent="0.25">
      <c r="A455" t="s">
        <v>225</v>
      </c>
      <c r="B455">
        <v>2013</v>
      </c>
      <c r="C455">
        <v>15</v>
      </c>
      <c r="D455">
        <v>180</v>
      </c>
      <c r="E455">
        <v>7.7</v>
      </c>
      <c r="F455">
        <v>2.2000000000000002</v>
      </c>
      <c r="G455" s="1">
        <v>160138</v>
      </c>
    </row>
    <row r="456" spans="1:7" x14ac:dyDescent="0.25">
      <c r="A456" t="s">
        <v>226</v>
      </c>
      <c r="B456">
        <v>2013</v>
      </c>
      <c r="C456">
        <v>15</v>
      </c>
      <c r="D456">
        <v>96</v>
      </c>
      <c r="E456">
        <v>5.6</v>
      </c>
      <c r="F456">
        <v>0.04</v>
      </c>
      <c r="G456" s="1">
        <v>5769</v>
      </c>
    </row>
    <row r="457" spans="1:7" x14ac:dyDescent="0.25">
      <c r="A457" t="s">
        <v>227</v>
      </c>
      <c r="B457">
        <v>2013</v>
      </c>
      <c r="C457">
        <v>12</v>
      </c>
      <c r="D457">
        <v>96</v>
      </c>
      <c r="E457">
        <v>6.4</v>
      </c>
      <c r="F457">
        <v>83.03</v>
      </c>
      <c r="G457" s="1">
        <v>107226</v>
      </c>
    </row>
    <row r="458" spans="1:7" x14ac:dyDescent="0.25">
      <c r="A458" t="s">
        <v>228</v>
      </c>
      <c r="B458">
        <v>2013</v>
      </c>
      <c r="C458">
        <v>18</v>
      </c>
      <c r="D458">
        <v>98</v>
      </c>
      <c r="E458">
        <v>5.6</v>
      </c>
      <c r="F458">
        <v>2.46</v>
      </c>
      <c r="G458" s="1">
        <v>15112</v>
      </c>
    </row>
    <row r="459" spans="1:7" x14ac:dyDescent="0.25">
      <c r="A459" t="s">
        <v>231</v>
      </c>
      <c r="B459">
        <v>2013</v>
      </c>
      <c r="C459">
        <v>15</v>
      </c>
      <c r="D459">
        <v>90</v>
      </c>
      <c r="E459">
        <v>5.6</v>
      </c>
      <c r="F459">
        <v>5.84</v>
      </c>
      <c r="G459" s="1">
        <v>90724</v>
      </c>
    </row>
    <row r="460" spans="1:7" x14ac:dyDescent="0.25">
      <c r="A460" t="s">
        <v>232</v>
      </c>
      <c r="B460">
        <v>2013</v>
      </c>
      <c r="C460">
        <v>12</v>
      </c>
      <c r="D460">
        <v>132</v>
      </c>
      <c r="E460">
        <v>7.7</v>
      </c>
      <c r="F460">
        <v>228.78</v>
      </c>
      <c r="G460" s="1">
        <v>493469</v>
      </c>
    </row>
    <row r="461" spans="1:7" x14ac:dyDescent="0.25">
      <c r="A461" t="s">
        <v>235</v>
      </c>
      <c r="B461">
        <v>2013</v>
      </c>
      <c r="C461">
        <v>15</v>
      </c>
      <c r="D461">
        <v>93</v>
      </c>
      <c r="E461">
        <v>6.4</v>
      </c>
      <c r="F461">
        <v>0.65</v>
      </c>
      <c r="G461" s="1">
        <v>17134</v>
      </c>
    </row>
    <row r="462" spans="1:7" x14ac:dyDescent="0.25">
      <c r="A462" t="s">
        <v>237</v>
      </c>
      <c r="B462">
        <v>2013</v>
      </c>
      <c r="C462">
        <v>12</v>
      </c>
      <c r="D462">
        <v>153</v>
      </c>
      <c r="E462">
        <v>8.1</v>
      </c>
      <c r="F462">
        <v>61</v>
      </c>
      <c r="G462" s="1">
        <v>779283</v>
      </c>
    </row>
    <row r="463" spans="1:7" x14ac:dyDescent="0.25">
      <c r="A463" t="s">
        <v>238</v>
      </c>
      <c r="B463">
        <v>2013</v>
      </c>
      <c r="C463">
        <v>15</v>
      </c>
      <c r="D463">
        <v>90</v>
      </c>
      <c r="E463">
        <v>4.4000000000000004</v>
      </c>
      <c r="F463">
        <v>10.49</v>
      </c>
      <c r="G463" s="1">
        <v>24988</v>
      </c>
    </row>
    <row r="464" spans="1:7" x14ac:dyDescent="0.25">
      <c r="A464" t="s">
        <v>239</v>
      </c>
      <c r="B464">
        <v>2013</v>
      </c>
      <c r="C464">
        <v>15</v>
      </c>
      <c r="D464">
        <v>103</v>
      </c>
      <c r="E464">
        <v>6.3</v>
      </c>
      <c r="F464">
        <v>0.01</v>
      </c>
      <c r="G464" s="1">
        <v>29443</v>
      </c>
    </row>
    <row r="465" spans="1:7" x14ac:dyDescent="0.25">
      <c r="A465" t="s">
        <v>240</v>
      </c>
      <c r="B465">
        <v>2013</v>
      </c>
      <c r="C465">
        <v>15</v>
      </c>
      <c r="D465">
        <v>112</v>
      </c>
      <c r="E465">
        <v>7.4</v>
      </c>
      <c r="F465">
        <v>0.09</v>
      </c>
      <c r="G465" s="1">
        <v>8739</v>
      </c>
    </row>
    <row r="466" spans="1:7" x14ac:dyDescent="0.25">
      <c r="A466" t="s">
        <v>242</v>
      </c>
      <c r="B466">
        <v>2013</v>
      </c>
      <c r="C466">
        <v>15</v>
      </c>
      <c r="D466">
        <v>100</v>
      </c>
      <c r="E466">
        <v>5.6</v>
      </c>
      <c r="F466">
        <v>2.46</v>
      </c>
      <c r="G466" s="1">
        <v>4242</v>
      </c>
    </row>
    <row r="467" spans="1:7" x14ac:dyDescent="0.25">
      <c r="A467" t="s">
        <v>244</v>
      </c>
      <c r="B467">
        <v>2013</v>
      </c>
      <c r="C467">
        <v>15</v>
      </c>
      <c r="D467">
        <v>112</v>
      </c>
      <c r="E467">
        <v>6.2</v>
      </c>
      <c r="F467">
        <v>0.32</v>
      </c>
      <c r="G467" s="1">
        <v>36106</v>
      </c>
    </row>
    <row r="468" spans="1:7" x14ac:dyDescent="0.25">
      <c r="A468" t="s">
        <v>246</v>
      </c>
      <c r="B468">
        <v>2013</v>
      </c>
      <c r="C468">
        <v>15</v>
      </c>
      <c r="D468">
        <v>111</v>
      </c>
      <c r="E468">
        <v>6.8</v>
      </c>
      <c r="F468">
        <v>2.46</v>
      </c>
      <c r="G468" s="1">
        <v>20487</v>
      </c>
    </row>
    <row r="469" spans="1:7" x14ac:dyDescent="0.25">
      <c r="A469" t="s">
        <v>249</v>
      </c>
      <c r="B469">
        <v>2013</v>
      </c>
      <c r="C469">
        <v>15</v>
      </c>
      <c r="D469">
        <v>116</v>
      </c>
      <c r="E469">
        <v>6.6</v>
      </c>
      <c r="F469">
        <v>53.26</v>
      </c>
      <c r="G469" s="1">
        <v>178272</v>
      </c>
    </row>
    <row r="470" spans="1:7" x14ac:dyDescent="0.25">
      <c r="A470" t="s">
        <v>251</v>
      </c>
      <c r="B470">
        <v>2013</v>
      </c>
      <c r="C470">
        <v>15</v>
      </c>
      <c r="D470">
        <v>81</v>
      </c>
      <c r="E470">
        <v>5.7</v>
      </c>
      <c r="F470">
        <v>0.03</v>
      </c>
      <c r="G470" s="1">
        <v>2083</v>
      </c>
    </row>
    <row r="471" spans="1:7" x14ac:dyDescent="0.25">
      <c r="A471" t="s">
        <v>253</v>
      </c>
      <c r="B471">
        <v>2013</v>
      </c>
      <c r="C471">
        <v>18</v>
      </c>
      <c r="D471">
        <v>84</v>
      </c>
      <c r="E471">
        <v>3.5</v>
      </c>
      <c r="F471">
        <v>2.46</v>
      </c>
      <c r="G471" s="1">
        <v>4236</v>
      </c>
    </row>
    <row r="472" spans="1:7" x14ac:dyDescent="0.25">
      <c r="A472" t="s">
        <v>256</v>
      </c>
      <c r="B472">
        <v>2013</v>
      </c>
      <c r="C472">
        <v>15</v>
      </c>
      <c r="D472">
        <v>95</v>
      </c>
      <c r="E472">
        <v>7</v>
      </c>
      <c r="F472">
        <v>6.85</v>
      </c>
      <c r="G472" s="1">
        <v>159585</v>
      </c>
    </row>
    <row r="473" spans="1:7" x14ac:dyDescent="0.25">
      <c r="A473" t="s">
        <v>257</v>
      </c>
      <c r="B473">
        <v>2013</v>
      </c>
      <c r="C473">
        <v>12</v>
      </c>
      <c r="D473">
        <v>98</v>
      </c>
      <c r="E473">
        <v>5.5</v>
      </c>
      <c r="F473">
        <v>0.02</v>
      </c>
      <c r="G473" s="1">
        <v>38504</v>
      </c>
    </row>
    <row r="474" spans="1:7" x14ac:dyDescent="0.25">
      <c r="A474" t="s">
        <v>258</v>
      </c>
      <c r="B474">
        <v>2013</v>
      </c>
      <c r="C474">
        <v>15</v>
      </c>
      <c r="D474">
        <v>101</v>
      </c>
      <c r="E474">
        <v>6.4</v>
      </c>
      <c r="F474">
        <v>0.06</v>
      </c>
      <c r="G474" s="1">
        <v>31666</v>
      </c>
    </row>
    <row r="475" spans="1:7" x14ac:dyDescent="0.25">
      <c r="A475" t="s">
        <v>259</v>
      </c>
      <c r="B475">
        <v>2013</v>
      </c>
      <c r="C475">
        <v>18</v>
      </c>
      <c r="D475">
        <v>116</v>
      </c>
      <c r="E475">
        <v>6.7</v>
      </c>
      <c r="F475">
        <v>11.33</v>
      </c>
      <c r="G475" s="1">
        <v>122719</v>
      </c>
    </row>
    <row r="476" spans="1:7" x14ac:dyDescent="0.25">
      <c r="A476" t="s">
        <v>261</v>
      </c>
      <c r="B476">
        <v>2013</v>
      </c>
      <c r="C476">
        <v>15</v>
      </c>
      <c r="D476">
        <v>106</v>
      </c>
      <c r="E476">
        <v>6.5</v>
      </c>
      <c r="F476">
        <v>83.59</v>
      </c>
      <c r="G476" s="1">
        <v>185468</v>
      </c>
    </row>
    <row r="477" spans="1:7" x14ac:dyDescent="0.25">
      <c r="A477" t="s">
        <v>262</v>
      </c>
      <c r="B477">
        <v>2013</v>
      </c>
      <c r="C477">
        <v>12</v>
      </c>
      <c r="D477">
        <v>106</v>
      </c>
      <c r="E477">
        <v>5.7</v>
      </c>
      <c r="F477">
        <v>68.56</v>
      </c>
      <c r="G477" s="1">
        <v>123363</v>
      </c>
    </row>
    <row r="478" spans="1:7" x14ac:dyDescent="0.25">
      <c r="A478" t="s">
        <v>267</v>
      </c>
      <c r="B478">
        <v>2013</v>
      </c>
      <c r="C478">
        <v>15</v>
      </c>
      <c r="D478">
        <v>85</v>
      </c>
      <c r="E478">
        <v>7.5</v>
      </c>
      <c r="F478">
        <v>16.100000000000001</v>
      </c>
      <c r="G478" s="1">
        <v>84827</v>
      </c>
    </row>
    <row r="479" spans="1:7" x14ac:dyDescent="0.25">
      <c r="A479" t="s">
        <v>268</v>
      </c>
      <c r="B479">
        <v>2013</v>
      </c>
      <c r="C479">
        <v>15</v>
      </c>
      <c r="D479">
        <v>134</v>
      </c>
      <c r="E479">
        <v>7.8</v>
      </c>
      <c r="F479">
        <v>107.1</v>
      </c>
      <c r="G479" s="1">
        <v>483422</v>
      </c>
    </row>
    <row r="480" spans="1:7" x14ac:dyDescent="0.25">
      <c r="A480" t="s">
        <v>269</v>
      </c>
      <c r="B480">
        <v>2013</v>
      </c>
      <c r="C480">
        <v>15</v>
      </c>
      <c r="D480">
        <v>103</v>
      </c>
      <c r="E480">
        <v>7.4</v>
      </c>
      <c r="F480">
        <v>21.5</v>
      </c>
      <c r="G480" s="1">
        <v>155158</v>
      </c>
    </row>
    <row r="481" spans="1:7" x14ac:dyDescent="0.25">
      <c r="A481" t="s">
        <v>270</v>
      </c>
      <c r="B481">
        <v>2013</v>
      </c>
      <c r="C481">
        <v>15</v>
      </c>
      <c r="D481">
        <v>91</v>
      </c>
      <c r="E481">
        <v>7.7</v>
      </c>
      <c r="F481">
        <v>274.08999999999997</v>
      </c>
      <c r="G481" s="1">
        <v>851272</v>
      </c>
    </row>
    <row r="482" spans="1:7" x14ac:dyDescent="0.25">
      <c r="A482" t="s">
        <v>271</v>
      </c>
      <c r="B482">
        <v>2013</v>
      </c>
      <c r="C482">
        <v>12</v>
      </c>
      <c r="D482">
        <v>111</v>
      </c>
      <c r="E482">
        <v>6.7</v>
      </c>
      <c r="F482">
        <v>2.46</v>
      </c>
      <c r="G482" s="1">
        <v>13096</v>
      </c>
    </row>
    <row r="483" spans="1:7" x14ac:dyDescent="0.25">
      <c r="A483" t="s">
        <v>272</v>
      </c>
      <c r="B483">
        <v>2013</v>
      </c>
      <c r="C483">
        <v>15</v>
      </c>
      <c r="D483">
        <v>131</v>
      </c>
      <c r="E483">
        <v>6.3</v>
      </c>
      <c r="F483">
        <v>73.099999999999994</v>
      </c>
      <c r="G483" s="1">
        <v>232787</v>
      </c>
    </row>
    <row r="484" spans="1:7" x14ac:dyDescent="0.25">
      <c r="A484" t="s">
        <v>273</v>
      </c>
      <c r="B484">
        <v>2013</v>
      </c>
      <c r="C484">
        <v>12</v>
      </c>
      <c r="D484">
        <v>105</v>
      </c>
      <c r="E484">
        <v>5.9</v>
      </c>
      <c r="F484">
        <v>0.08</v>
      </c>
      <c r="G484" s="1">
        <v>21893</v>
      </c>
    </row>
    <row r="485" spans="1:7" x14ac:dyDescent="0.25">
      <c r="A485" t="s">
        <v>274</v>
      </c>
      <c r="B485">
        <v>2013</v>
      </c>
      <c r="C485">
        <v>15</v>
      </c>
      <c r="D485">
        <v>82</v>
      </c>
      <c r="E485">
        <v>5.7</v>
      </c>
      <c r="F485">
        <v>2.46</v>
      </c>
      <c r="G485" s="1">
        <v>1239</v>
      </c>
    </row>
    <row r="486" spans="1:7" x14ac:dyDescent="0.25">
      <c r="A486" t="s">
        <v>275</v>
      </c>
      <c r="B486">
        <v>2013</v>
      </c>
      <c r="C486">
        <v>15</v>
      </c>
      <c r="D486">
        <v>119</v>
      </c>
      <c r="E486">
        <v>6.4</v>
      </c>
      <c r="F486">
        <v>42.03</v>
      </c>
      <c r="G486" s="1">
        <v>175373</v>
      </c>
    </row>
    <row r="487" spans="1:7" x14ac:dyDescent="0.25">
      <c r="A487" t="s">
        <v>277</v>
      </c>
      <c r="B487">
        <v>2013</v>
      </c>
      <c r="C487">
        <v>15</v>
      </c>
      <c r="D487">
        <v>88</v>
      </c>
      <c r="E487">
        <v>5.6</v>
      </c>
      <c r="F487">
        <v>19.32</v>
      </c>
      <c r="G487" s="1">
        <v>65277</v>
      </c>
    </row>
    <row r="488" spans="1:7" x14ac:dyDescent="0.25">
      <c r="A488" t="s">
        <v>279</v>
      </c>
      <c r="B488">
        <v>2013</v>
      </c>
      <c r="C488">
        <v>15</v>
      </c>
      <c r="D488">
        <v>131</v>
      </c>
      <c r="E488">
        <v>5.7</v>
      </c>
      <c r="F488">
        <v>1.01</v>
      </c>
      <c r="G488" s="1">
        <v>17512</v>
      </c>
    </row>
    <row r="489" spans="1:7" x14ac:dyDescent="0.25">
      <c r="A489" t="s">
        <v>280</v>
      </c>
      <c r="B489">
        <v>2013</v>
      </c>
      <c r="C489">
        <v>12</v>
      </c>
      <c r="D489">
        <v>101</v>
      </c>
      <c r="E489">
        <v>5.8</v>
      </c>
      <c r="F489">
        <v>0.04</v>
      </c>
      <c r="G489" s="1">
        <v>1746</v>
      </c>
    </row>
    <row r="490" spans="1:7" x14ac:dyDescent="0.25">
      <c r="A490" t="s">
        <v>282</v>
      </c>
      <c r="B490">
        <v>2013</v>
      </c>
      <c r="C490">
        <v>15</v>
      </c>
      <c r="D490">
        <v>89</v>
      </c>
      <c r="E490">
        <v>5.6</v>
      </c>
      <c r="F490">
        <v>2.46</v>
      </c>
      <c r="G490" s="1">
        <v>12237</v>
      </c>
    </row>
    <row r="491" spans="1:7" x14ac:dyDescent="0.25">
      <c r="A491" t="s">
        <v>284</v>
      </c>
      <c r="B491">
        <v>2013</v>
      </c>
      <c r="C491">
        <v>15</v>
      </c>
      <c r="D491">
        <v>97</v>
      </c>
      <c r="E491">
        <v>6.4</v>
      </c>
      <c r="F491">
        <v>2.46</v>
      </c>
      <c r="G491" s="1">
        <v>30544</v>
      </c>
    </row>
    <row r="492" spans="1:7" x14ac:dyDescent="0.25">
      <c r="A492" t="s">
        <v>285</v>
      </c>
      <c r="B492">
        <v>2013</v>
      </c>
      <c r="C492">
        <v>15</v>
      </c>
      <c r="D492">
        <v>126</v>
      </c>
      <c r="E492">
        <v>6.7</v>
      </c>
      <c r="F492">
        <v>132.56</v>
      </c>
      <c r="G492" s="1">
        <v>484887</v>
      </c>
    </row>
    <row r="493" spans="1:7" x14ac:dyDescent="0.25">
      <c r="A493" t="s">
        <v>286</v>
      </c>
      <c r="B493">
        <v>2013</v>
      </c>
      <c r="C493">
        <v>15</v>
      </c>
      <c r="D493">
        <v>111</v>
      </c>
      <c r="E493">
        <v>6.3</v>
      </c>
      <c r="F493">
        <v>36.92</v>
      </c>
      <c r="G493" s="1">
        <v>121445</v>
      </c>
    </row>
    <row r="494" spans="1:7" x14ac:dyDescent="0.25">
      <c r="A494" t="s">
        <v>288</v>
      </c>
      <c r="B494">
        <v>2013</v>
      </c>
      <c r="C494">
        <v>15</v>
      </c>
      <c r="D494">
        <v>86</v>
      </c>
      <c r="E494">
        <v>5</v>
      </c>
      <c r="F494">
        <v>2.46</v>
      </c>
      <c r="G494" s="1">
        <v>3720</v>
      </c>
    </row>
    <row r="495" spans="1:7" x14ac:dyDescent="0.25">
      <c r="A495" t="s">
        <v>19</v>
      </c>
      <c r="B495">
        <v>2013</v>
      </c>
      <c r="C495">
        <v>15</v>
      </c>
      <c r="D495">
        <v>131</v>
      </c>
      <c r="E495">
        <v>7.8</v>
      </c>
      <c r="F495">
        <v>0.09</v>
      </c>
      <c r="G495" s="1">
        <v>126029</v>
      </c>
    </row>
    <row r="496" spans="1:7" x14ac:dyDescent="0.25">
      <c r="A496" t="s">
        <v>289</v>
      </c>
      <c r="B496">
        <v>2013</v>
      </c>
      <c r="C496">
        <v>15</v>
      </c>
      <c r="D496">
        <v>132</v>
      </c>
      <c r="E496">
        <v>7.2</v>
      </c>
      <c r="F496">
        <v>116.63</v>
      </c>
      <c r="G496" s="1">
        <v>118627</v>
      </c>
    </row>
    <row r="497" spans="1:7" x14ac:dyDescent="0.25">
      <c r="A497" t="s">
        <v>291</v>
      </c>
      <c r="B497">
        <v>2013</v>
      </c>
      <c r="C497">
        <v>15</v>
      </c>
      <c r="D497">
        <v>110</v>
      </c>
      <c r="E497">
        <v>6.9</v>
      </c>
      <c r="F497">
        <v>2.11</v>
      </c>
      <c r="G497" s="1">
        <v>9220</v>
      </c>
    </row>
    <row r="498" spans="1:7" x14ac:dyDescent="0.25">
      <c r="A498" t="s">
        <v>292</v>
      </c>
      <c r="B498">
        <v>2013</v>
      </c>
      <c r="C498">
        <v>15</v>
      </c>
      <c r="D498">
        <v>130</v>
      </c>
      <c r="E498">
        <v>7.7</v>
      </c>
      <c r="F498">
        <v>1.33</v>
      </c>
      <c r="G498" s="1">
        <v>50354</v>
      </c>
    </row>
    <row r="499" spans="1:7" x14ac:dyDescent="0.25">
      <c r="A499" t="s">
        <v>293</v>
      </c>
      <c r="B499">
        <v>2013</v>
      </c>
      <c r="C499">
        <v>15</v>
      </c>
      <c r="D499">
        <v>90</v>
      </c>
      <c r="E499">
        <v>6.9</v>
      </c>
      <c r="F499">
        <v>0.15</v>
      </c>
      <c r="G499" s="1">
        <v>32716</v>
      </c>
    </row>
    <row r="500" spans="1:7" x14ac:dyDescent="0.25">
      <c r="A500" t="s">
        <v>295</v>
      </c>
      <c r="B500">
        <v>2013</v>
      </c>
      <c r="C500">
        <v>15</v>
      </c>
      <c r="D500">
        <v>141</v>
      </c>
      <c r="E500">
        <v>7.1</v>
      </c>
      <c r="F500">
        <v>8.32</v>
      </c>
      <c r="G500" s="1">
        <v>28796</v>
      </c>
    </row>
    <row r="501" spans="1:7" x14ac:dyDescent="0.25">
      <c r="A501" t="s">
        <v>297</v>
      </c>
      <c r="B501">
        <v>2013</v>
      </c>
      <c r="C501">
        <v>15</v>
      </c>
      <c r="D501">
        <v>150</v>
      </c>
      <c r="E501">
        <v>6.4</v>
      </c>
      <c r="F501">
        <v>89.3</v>
      </c>
      <c r="G501" s="1">
        <v>241951</v>
      </c>
    </row>
    <row r="502" spans="1:7" x14ac:dyDescent="0.25">
      <c r="A502" t="s">
        <v>300</v>
      </c>
      <c r="B502">
        <v>2013</v>
      </c>
      <c r="C502">
        <v>18</v>
      </c>
      <c r="D502">
        <v>146</v>
      </c>
      <c r="E502">
        <v>7.5</v>
      </c>
      <c r="F502">
        <v>424.67</v>
      </c>
      <c r="G502" s="1">
        <v>697677</v>
      </c>
    </row>
    <row r="503" spans="1:7" x14ac:dyDescent="0.25">
      <c r="A503" t="s">
        <v>301</v>
      </c>
      <c r="B503">
        <v>2013</v>
      </c>
      <c r="C503">
        <v>15</v>
      </c>
      <c r="D503">
        <v>86</v>
      </c>
      <c r="E503">
        <v>5.6</v>
      </c>
      <c r="F503">
        <v>2.46</v>
      </c>
      <c r="G503" s="1">
        <v>2460</v>
      </c>
    </row>
    <row r="504" spans="1:7" x14ac:dyDescent="0.25">
      <c r="A504" t="s">
        <v>303</v>
      </c>
      <c r="B504">
        <v>2013</v>
      </c>
      <c r="C504">
        <v>15</v>
      </c>
      <c r="D504">
        <v>134</v>
      </c>
      <c r="E504">
        <v>8.1</v>
      </c>
      <c r="F504">
        <v>56.67</v>
      </c>
      <c r="G504" s="1">
        <v>728764</v>
      </c>
    </row>
    <row r="505" spans="1:7" x14ac:dyDescent="0.25">
      <c r="A505" t="s">
        <v>304</v>
      </c>
      <c r="B505">
        <v>2013</v>
      </c>
      <c r="C505">
        <v>15</v>
      </c>
      <c r="D505">
        <v>180</v>
      </c>
      <c r="E505">
        <v>8.1999999999999993</v>
      </c>
      <c r="F505">
        <v>116.9</v>
      </c>
      <c r="G505" s="1">
        <v>1526302</v>
      </c>
    </row>
    <row r="506" spans="1:7" x14ac:dyDescent="0.25">
      <c r="A506" t="s">
        <v>306</v>
      </c>
      <c r="B506">
        <v>2013</v>
      </c>
      <c r="C506">
        <v>15</v>
      </c>
      <c r="D506">
        <v>121</v>
      </c>
      <c r="E506">
        <v>7.2</v>
      </c>
      <c r="F506">
        <v>37.74</v>
      </c>
      <c r="G506" s="1">
        <v>94109</v>
      </c>
    </row>
    <row r="507" spans="1:7" x14ac:dyDescent="0.25">
      <c r="A507" t="s">
        <v>307</v>
      </c>
      <c r="B507">
        <v>2013</v>
      </c>
      <c r="C507">
        <v>15</v>
      </c>
      <c r="D507">
        <v>117</v>
      </c>
      <c r="E507">
        <v>7.9</v>
      </c>
      <c r="F507">
        <v>27.3</v>
      </c>
      <c r="G507" s="1">
        <v>510005</v>
      </c>
    </row>
    <row r="508" spans="1:7" x14ac:dyDescent="0.25">
      <c r="A508" t="s">
        <v>308</v>
      </c>
      <c r="B508">
        <v>2013</v>
      </c>
      <c r="C508">
        <v>15</v>
      </c>
      <c r="D508">
        <v>114</v>
      </c>
      <c r="E508">
        <v>6.6</v>
      </c>
      <c r="F508">
        <v>61.74</v>
      </c>
      <c r="G508" s="1">
        <v>250362</v>
      </c>
    </row>
    <row r="509" spans="1:7" x14ac:dyDescent="0.25">
      <c r="A509" t="s">
        <v>309</v>
      </c>
      <c r="B509">
        <v>2013</v>
      </c>
      <c r="C509">
        <v>18</v>
      </c>
      <c r="D509">
        <v>115</v>
      </c>
      <c r="E509">
        <v>6.7</v>
      </c>
      <c r="F509">
        <v>25.13</v>
      </c>
      <c r="G509" s="1">
        <v>253965</v>
      </c>
    </row>
    <row r="510" spans="1:7" x14ac:dyDescent="0.25">
      <c r="A510" t="s">
        <v>311</v>
      </c>
      <c r="B510">
        <v>2013</v>
      </c>
      <c r="C510">
        <v>15</v>
      </c>
      <c r="D510">
        <v>93</v>
      </c>
      <c r="E510">
        <v>5.9</v>
      </c>
      <c r="F510">
        <v>0.09</v>
      </c>
      <c r="G510" s="1">
        <v>5993</v>
      </c>
    </row>
    <row r="511" spans="1:7" x14ac:dyDescent="0.25">
      <c r="A511" t="s">
        <v>312</v>
      </c>
      <c r="B511">
        <v>2013</v>
      </c>
      <c r="C511">
        <v>12</v>
      </c>
      <c r="D511">
        <v>90</v>
      </c>
      <c r="E511">
        <v>5.7</v>
      </c>
      <c r="F511">
        <v>2.46</v>
      </c>
      <c r="G511" s="1">
        <v>9603</v>
      </c>
    </row>
    <row r="512" spans="1:7" x14ac:dyDescent="0.25">
      <c r="A512" t="s">
        <v>313</v>
      </c>
      <c r="B512">
        <v>2013</v>
      </c>
      <c r="C512">
        <v>15</v>
      </c>
      <c r="D512">
        <v>102</v>
      </c>
      <c r="E512">
        <v>7.4</v>
      </c>
      <c r="F512">
        <v>400.74</v>
      </c>
      <c r="G512" s="1">
        <v>650846</v>
      </c>
    </row>
    <row r="513" spans="1:7" x14ac:dyDescent="0.25">
      <c r="A513" t="s">
        <v>314</v>
      </c>
      <c r="B513">
        <v>2013</v>
      </c>
      <c r="C513">
        <v>15</v>
      </c>
      <c r="D513">
        <v>126</v>
      </c>
      <c r="E513">
        <v>8</v>
      </c>
      <c r="F513">
        <v>25.57</v>
      </c>
      <c r="G513" s="1">
        <v>651996</v>
      </c>
    </row>
    <row r="514" spans="1:7" x14ac:dyDescent="0.25">
      <c r="A514" t="s">
        <v>315</v>
      </c>
      <c r="B514">
        <v>2013</v>
      </c>
      <c r="C514">
        <v>15</v>
      </c>
      <c r="D514">
        <v>113</v>
      </c>
      <c r="E514">
        <v>5.6</v>
      </c>
      <c r="F514">
        <v>0.33</v>
      </c>
      <c r="G514" s="1">
        <v>20774</v>
      </c>
    </row>
    <row r="515" spans="1:7" x14ac:dyDescent="0.25">
      <c r="A515" t="s">
        <v>317</v>
      </c>
      <c r="B515">
        <v>2013</v>
      </c>
      <c r="C515">
        <v>12</v>
      </c>
      <c r="D515">
        <v>108</v>
      </c>
      <c r="E515">
        <v>7.5</v>
      </c>
      <c r="F515">
        <v>0.49</v>
      </c>
      <c r="G515" s="1">
        <v>5695</v>
      </c>
    </row>
    <row r="516" spans="1:7" x14ac:dyDescent="0.25">
      <c r="A516" t="s">
        <v>318</v>
      </c>
      <c r="B516">
        <v>2013</v>
      </c>
      <c r="C516">
        <v>15</v>
      </c>
      <c r="D516">
        <v>96</v>
      </c>
      <c r="E516">
        <v>7.9</v>
      </c>
      <c r="F516">
        <v>1.01</v>
      </c>
      <c r="G516" s="1">
        <v>90770</v>
      </c>
    </row>
    <row r="517" spans="1:7" x14ac:dyDescent="0.25">
      <c r="A517" t="s">
        <v>319</v>
      </c>
      <c r="B517">
        <v>2013</v>
      </c>
      <c r="C517">
        <v>15</v>
      </c>
      <c r="D517">
        <v>80</v>
      </c>
      <c r="E517">
        <v>8</v>
      </c>
      <c r="F517">
        <v>2.46</v>
      </c>
      <c r="G517" s="1">
        <v>4609</v>
      </c>
    </row>
    <row r="518" spans="1:7" x14ac:dyDescent="0.25">
      <c r="A518" t="s">
        <v>320</v>
      </c>
      <c r="B518">
        <v>2013</v>
      </c>
      <c r="C518">
        <v>15</v>
      </c>
      <c r="D518">
        <v>100</v>
      </c>
      <c r="E518">
        <v>5.8</v>
      </c>
      <c r="F518">
        <v>35.270000000000003</v>
      </c>
      <c r="G518" s="1">
        <v>146370</v>
      </c>
    </row>
    <row r="519" spans="1:7" x14ac:dyDescent="0.25">
      <c r="A519" t="s">
        <v>321</v>
      </c>
      <c r="B519">
        <v>2013</v>
      </c>
      <c r="C519">
        <v>15</v>
      </c>
      <c r="D519">
        <v>90</v>
      </c>
      <c r="E519">
        <v>6.5</v>
      </c>
      <c r="F519">
        <v>24.48</v>
      </c>
      <c r="G519" s="1">
        <v>245105</v>
      </c>
    </row>
    <row r="520" spans="1:7" x14ac:dyDescent="0.25">
      <c r="A520" t="s">
        <v>322</v>
      </c>
      <c r="B520">
        <v>2013</v>
      </c>
      <c r="C520">
        <v>12</v>
      </c>
      <c r="D520">
        <v>110</v>
      </c>
      <c r="E520">
        <v>5.3</v>
      </c>
      <c r="F520">
        <v>0.02</v>
      </c>
      <c r="G520" s="1">
        <v>4158</v>
      </c>
    </row>
    <row r="521" spans="1:7" x14ac:dyDescent="0.25">
      <c r="A521" t="s">
        <v>323</v>
      </c>
      <c r="B521">
        <v>2013</v>
      </c>
      <c r="C521">
        <v>12</v>
      </c>
      <c r="D521">
        <v>123</v>
      </c>
      <c r="E521">
        <v>7.8</v>
      </c>
      <c r="F521">
        <v>15.32</v>
      </c>
      <c r="G521" s="1">
        <v>374882</v>
      </c>
    </row>
    <row r="522" spans="1:7" x14ac:dyDescent="0.25">
      <c r="A522" t="s">
        <v>324</v>
      </c>
      <c r="B522">
        <v>2013</v>
      </c>
      <c r="C522">
        <v>15</v>
      </c>
      <c r="D522">
        <v>100</v>
      </c>
      <c r="E522">
        <v>5.4</v>
      </c>
      <c r="F522">
        <v>1</v>
      </c>
      <c r="G522" s="1">
        <v>7103</v>
      </c>
    </row>
    <row r="523" spans="1:7" x14ac:dyDescent="0.25">
      <c r="A523" t="s">
        <v>325</v>
      </c>
      <c r="B523">
        <v>2013</v>
      </c>
      <c r="C523">
        <v>15</v>
      </c>
      <c r="D523">
        <v>98</v>
      </c>
      <c r="E523">
        <v>5.7</v>
      </c>
      <c r="F523">
        <v>0.17</v>
      </c>
      <c r="G523" s="1">
        <v>11259</v>
      </c>
    </row>
    <row r="524" spans="1:7" x14ac:dyDescent="0.25">
      <c r="A524" t="s">
        <v>326</v>
      </c>
      <c r="B524">
        <v>2013</v>
      </c>
      <c r="C524">
        <v>12</v>
      </c>
      <c r="D524">
        <v>117</v>
      </c>
      <c r="E524">
        <v>5.4</v>
      </c>
      <c r="F524">
        <v>16.97</v>
      </c>
      <c r="G524" s="1">
        <v>104548</v>
      </c>
    </row>
    <row r="525" spans="1:7" x14ac:dyDescent="0.25">
      <c r="A525" t="s">
        <v>327</v>
      </c>
      <c r="B525">
        <v>2013</v>
      </c>
      <c r="C525">
        <v>15</v>
      </c>
      <c r="D525">
        <v>123</v>
      </c>
      <c r="E525">
        <v>8.1</v>
      </c>
      <c r="F525">
        <v>26.95</v>
      </c>
      <c r="G525" s="1">
        <v>502776</v>
      </c>
    </row>
    <row r="526" spans="1:7" x14ac:dyDescent="0.25">
      <c r="A526" t="s">
        <v>330</v>
      </c>
      <c r="B526">
        <v>2013</v>
      </c>
      <c r="C526">
        <v>15</v>
      </c>
      <c r="D526">
        <v>113</v>
      </c>
      <c r="E526">
        <v>6.4</v>
      </c>
      <c r="F526">
        <v>29.81</v>
      </c>
      <c r="G526" s="1">
        <v>62293</v>
      </c>
    </row>
    <row r="527" spans="1:7" x14ac:dyDescent="0.25">
      <c r="A527" t="s">
        <v>333</v>
      </c>
      <c r="B527">
        <v>2013</v>
      </c>
      <c r="C527">
        <v>13</v>
      </c>
      <c r="D527">
        <v>92</v>
      </c>
      <c r="E527">
        <v>6.5</v>
      </c>
      <c r="F527">
        <v>102</v>
      </c>
      <c r="G527" s="1">
        <v>97499</v>
      </c>
    </row>
    <row r="528" spans="1:7" x14ac:dyDescent="0.25">
      <c r="A528" t="s">
        <v>334</v>
      </c>
      <c r="B528">
        <v>2013</v>
      </c>
      <c r="C528">
        <v>15</v>
      </c>
      <c r="D528">
        <v>130</v>
      </c>
      <c r="E528">
        <v>6.3</v>
      </c>
      <c r="F528">
        <v>234.91</v>
      </c>
      <c r="G528" s="1">
        <v>212755</v>
      </c>
    </row>
    <row r="529" spans="1:7" x14ac:dyDescent="0.25">
      <c r="A529" t="s">
        <v>335</v>
      </c>
      <c r="B529">
        <v>2013</v>
      </c>
      <c r="C529">
        <v>15</v>
      </c>
      <c r="D529">
        <v>95</v>
      </c>
      <c r="E529">
        <v>4.9000000000000004</v>
      </c>
      <c r="F529">
        <v>2.46</v>
      </c>
      <c r="G529" s="1">
        <v>13892</v>
      </c>
    </row>
    <row r="530" spans="1:7" x14ac:dyDescent="0.25">
      <c r="A530" t="s">
        <v>336</v>
      </c>
      <c r="B530">
        <v>2013</v>
      </c>
      <c r="C530">
        <v>15</v>
      </c>
      <c r="D530">
        <v>122</v>
      </c>
      <c r="E530">
        <v>6.4</v>
      </c>
      <c r="F530">
        <v>0.14000000000000001</v>
      </c>
      <c r="G530" s="1">
        <v>19670</v>
      </c>
    </row>
    <row r="531" spans="1:7" x14ac:dyDescent="0.25">
      <c r="A531" t="s">
        <v>342</v>
      </c>
      <c r="B531">
        <v>2013</v>
      </c>
      <c r="C531">
        <v>15</v>
      </c>
      <c r="D531">
        <v>105</v>
      </c>
      <c r="E531">
        <v>6.6</v>
      </c>
      <c r="F531">
        <v>63.91</v>
      </c>
      <c r="G531" s="1">
        <v>135805</v>
      </c>
    </row>
    <row r="532" spans="1:7" x14ac:dyDescent="0.25">
      <c r="A532" t="s">
        <v>344</v>
      </c>
      <c r="B532">
        <v>2013</v>
      </c>
      <c r="C532">
        <v>12</v>
      </c>
      <c r="D532">
        <v>100</v>
      </c>
      <c r="E532">
        <v>6.5</v>
      </c>
      <c r="F532">
        <v>20.16</v>
      </c>
      <c r="G532" s="1">
        <v>127333</v>
      </c>
    </row>
    <row r="533" spans="1:7" x14ac:dyDescent="0.25">
      <c r="A533" t="s">
        <v>345</v>
      </c>
      <c r="B533">
        <v>2013</v>
      </c>
      <c r="C533">
        <v>12</v>
      </c>
      <c r="D533">
        <v>93</v>
      </c>
      <c r="E533">
        <v>6.7</v>
      </c>
      <c r="F533">
        <v>2.96</v>
      </c>
      <c r="G533" s="1">
        <v>32670</v>
      </c>
    </row>
    <row r="534" spans="1:7" x14ac:dyDescent="0.25">
      <c r="A534" t="s">
        <v>347</v>
      </c>
      <c r="B534">
        <v>2013</v>
      </c>
      <c r="C534">
        <v>18</v>
      </c>
      <c r="D534">
        <v>91</v>
      </c>
      <c r="E534">
        <v>7.3</v>
      </c>
      <c r="F534">
        <v>0.01</v>
      </c>
      <c r="G534" s="1">
        <v>12643</v>
      </c>
    </row>
    <row r="535" spans="1:7" x14ac:dyDescent="0.25">
      <c r="A535" t="s">
        <v>353</v>
      </c>
      <c r="B535">
        <v>2013</v>
      </c>
      <c r="C535">
        <v>15</v>
      </c>
      <c r="D535">
        <v>118</v>
      </c>
      <c r="E535">
        <v>7</v>
      </c>
      <c r="F535">
        <v>0.04</v>
      </c>
      <c r="G535" s="1">
        <v>3481</v>
      </c>
    </row>
    <row r="536" spans="1:7" x14ac:dyDescent="0.25">
      <c r="A536" t="s">
        <v>357</v>
      </c>
      <c r="B536">
        <v>2013</v>
      </c>
      <c r="C536">
        <v>12</v>
      </c>
      <c r="D536">
        <v>91</v>
      </c>
      <c r="E536">
        <v>7.4</v>
      </c>
      <c r="F536">
        <v>4.95</v>
      </c>
      <c r="G536" s="1">
        <v>13824</v>
      </c>
    </row>
    <row r="537" spans="1:7" x14ac:dyDescent="0.25">
      <c r="A537" t="s">
        <v>359</v>
      </c>
      <c r="B537">
        <v>2013</v>
      </c>
      <c r="C537">
        <v>15</v>
      </c>
      <c r="D537">
        <v>97</v>
      </c>
      <c r="E537">
        <v>7</v>
      </c>
      <c r="F537">
        <v>0.03</v>
      </c>
      <c r="G537" s="1">
        <v>114087</v>
      </c>
    </row>
    <row r="538" spans="1:7" x14ac:dyDescent="0.25">
      <c r="A538" t="s">
        <v>361</v>
      </c>
      <c r="B538">
        <v>2013</v>
      </c>
      <c r="C538">
        <v>12</v>
      </c>
      <c r="D538">
        <v>97</v>
      </c>
      <c r="E538">
        <v>6.1</v>
      </c>
      <c r="F538">
        <v>0</v>
      </c>
      <c r="G538" s="1">
        <v>9994</v>
      </c>
    </row>
    <row r="539" spans="1:7" x14ac:dyDescent="0.25">
      <c r="A539" t="s">
        <v>363</v>
      </c>
      <c r="B539">
        <v>2013</v>
      </c>
      <c r="C539">
        <v>15</v>
      </c>
      <c r="D539">
        <v>107</v>
      </c>
      <c r="E539">
        <v>6.5</v>
      </c>
      <c r="F539">
        <v>0.15</v>
      </c>
      <c r="G539" s="1">
        <v>1256</v>
      </c>
    </row>
    <row r="540" spans="1:7" x14ac:dyDescent="0.25">
      <c r="A540" t="s">
        <v>366</v>
      </c>
      <c r="B540">
        <v>2013</v>
      </c>
      <c r="C540">
        <v>15</v>
      </c>
      <c r="D540">
        <v>143</v>
      </c>
      <c r="E540">
        <v>7.1</v>
      </c>
      <c r="F540">
        <v>291.05</v>
      </c>
      <c r="G540" s="1">
        <v>800031</v>
      </c>
    </row>
    <row r="541" spans="1:7" x14ac:dyDescent="0.25">
      <c r="A541" t="s">
        <v>369</v>
      </c>
      <c r="B541">
        <v>2013</v>
      </c>
      <c r="C541">
        <v>15</v>
      </c>
      <c r="D541">
        <v>80</v>
      </c>
      <c r="E541">
        <v>5.0999999999999996</v>
      </c>
      <c r="F541">
        <v>2.46</v>
      </c>
      <c r="G541" s="1">
        <v>1159</v>
      </c>
    </row>
    <row r="542" spans="1:7" x14ac:dyDescent="0.25">
      <c r="A542" t="s">
        <v>373</v>
      </c>
      <c r="B542">
        <v>2013</v>
      </c>
      <c r="C542">
        <v>15</v>
      </c>
      <c r="D542">
        <v>90</v>
      </c>
      <c r="E542">
        <v>6.3</v>
      </c>
      <c r="F542">
        <v>0.06</v>
      </c>
      <c r="G542" s="1">
        <v>25723</v>
      </c>
    </row>
    <row r="543" spans="1:7" x14ac:dyDescent="0.25">
      <c r="A543" t="s">
        <v>374</v>
      </c>
      <c r="B543">
        <v>2013</v>
      </c>
      <c r="C543">
        <v>15</v>
      </c>
      <c r="D543">
        <v>95</v>
      </c>
      <c r="E543">
        <v>6.5</v>
      </c>
      <c r="F543">
        <v>0.02</v>
      </c>
      <c r="G543" s="1">
        <v>3878</v>
      </c>
    </row>
    <row r="544" spans="1:7" x14ac:dyDescent="0.25">
      <c r="A544" t="s">
        <v>379</v>
      </c>
      <c r="B544">
        <v>2013</v>
      </c>
      <c r="C544">
        <v>15</v>
      </c>
      <c r="D544">
        <v>104</v>
      </c>
      <c r="E544">
        <v>5.8</v>
      </c>
      <c r="F544">
        <v>2.19</v>
      </c>
      <c r="G544" s="1">
        <v>79532</v>
      </c>
    </row>
    <row r="545" spans="1:7" x14ac:dyDescent="0.25">
      <c r="A545" t="s">
        <v>386</v>
      </c>
      <c r="B545">
        <v>2013</v>
      </c>
      <c r="C545">
        <v>18</v>
      </c>
      <c r="D545">
        <v>104</v>
      </c>
      <c r="E545">
        <v>6.4</v>
      </c>
      <c r="F545">
        <v>1.03</v>
      </c>
      <c r="G545" s="1">
        <v>40584</v>
      </c>
    </row>
    <row r="546" spans="1:7" x14ac:dyDescent="0.25">
      <c r="A546" t="s">
        <v>387</v>
      </c>
      <c r="B546">
        <v>2013</v>
      </c>
      <c r="C546">
        <v>15</v>
      </c>
      <c r="D546">
        <v>138</v>
      </c>
      <c r="E546">
        <v>7.2</v>
      </c>
      <c r="F546">
        <v>150.12</v>
      </c>
      <c r="G546" s="1">
        <v>494957</v>
      </c>
    </row>
    <row r="547" spans="1:7" x14ac:dyDescent="0.25">
      <c r="A547" t="s">
        <v>391</v>
      </c>
      <c r="B547">
        <v>2013</v>
      </c>
      <c r="C547">
        <v>15</v>
      </c>
      <c r="D547">
        <v>99</v>
      </c>
      <c r="E547">
        <v>6.5</v>
      </c>
      <c r="F547">
        <v>0.05</v>
      </c>
      <c r="G547" s="1">
        <v>9006</v>
      </c>
    </row>
    <row r="548" spans="1:7" x14ac:dyDescent="0.25">
      <c r="A548" t="s">
        <v>392</v>
      </c>
      <c r="B548">
        <v>2013</v>
      </c>
      <c r="C548">
        <v>15</v>
      </c>
      <c r="D548">
        <v>121</v>
      </c>
      <c r="E548">
        <v>6.6</v>
      </c>
      <c r="F548">
        <v>2.46</v>
      </c>
      <c r="G548" s="1">
        <v>8377</v>
      </c>
    </row>
    <row r="549" spans="1:7" x14ac:dyDescent="0.25">
      <c r="A549" t="s">
        <v>393</v>
      </c>
      <c r="B549">
        <v>2013</v>
      </c>
      <c r="C549">
        <v>18</v>
      </c>
      <c r="D549">
        <v>90</v>
      </c>
      <c r="E549">
        <v>5.9</v>
      </c>
      <c r="F549">
        <v>0.02</v>
      </c>
      <c r="G549" s="1">
        <v>19450</v>
      </c>
    </row>
    <row r="550" spans="1:7" x14ac:dyDescent="0.25">
      <c r="A550" t="s">
        <v>394</v>
      </c>
      <c r="B550">
        <v>2013</v>
      </c>
      <c r="C550">
        <v>15</v>
      </c>
      <c r="D550">
        <v>106</v>
      </c>
      <c r="E550">
        <v>6.9</v>
      </c>
      <c r="F550">
        <v>6.26</v>
      </c>
      <c r="G550" s="1">
        <v>82971</v>
      </c>
    </row>
    <row r="551" spans="1:7" x14ac:dyDescent="0.25">
      <c r="A551" t="s">
        <v>396</v>
      </c>
      <c r="B551">
        <v>2013</v>
      </c>
      <c r="C551">
        <v>15</v>
      </c>
      <c r="D551">
        <v>126</v>
      </c>
      <c r="E551">
        <v>7.1</v>
      </c>
      <c r="F551">
        <v>4.5599999999999996</v>
      </c>
      <c r="G551" s="1">
        <v>380549</v>
      </c>
    </row>
    <row r="552" spans="1:7" x14ac:dyDescent="0.25">
      <c r="A552" t="s">
        <v>397</v>
      </c>
      <c r="B552">
        <v>2013</v>
      </c>
      <c r="C552">
        <v>15</v>
      </c>
      <c r="D552">
        <v>122</v>
      </c>
      <c r="E552">
        <v>6.1</v>
      </c>
      <c r="F552">
        <v>2.46</v>
      </c>
      <c r="G552" s="1">
        <v>9003</v>
      </c>
    </row>
    <row r="553" spans="1:7" x14ac:dyDescent="0.25">
      <c r="A553" t="s">
        <v>399</v>
      </c>
      <c r="B553">
        <v>2013</v>
      </c>
      <c r="C553">
        <v>15</v>
      </c>
      <c r="D553">
        <v>93</v>
      </c>
      <c r="E553">
        <v>7</v>
      </c>
      <c r="F553">
        <v>17.54</v>
      </c>
      <c r="G553" s="1">
        <v>65430</v>
      </c>
    </row>
    <row r="554" spans="1:7" x14ac:dyDescent="0.25">
      <c r="A554" t="s">
        <v>402</v>
      </c>
      <c r="B554">
        <v>2013</v>
      </c>
      <c r="C554">
        <v>15</v>
      </c>
      <c r="D554">
        <v>110</v>
      </c>
      <c r="E554">
        <v>5.9</v>
      </c>
      <c r="F554">
        <v>2.46</v>
      </c>
      <c r="G554" s="1">
        <v>10477</v>
      </c>
    </row>
    <row r="555" spans="1:7" x14ac:dyDescent="0.25">
      <c r="A555" t="s">
        <v>403</v>
      </c>
      <c r="B555">
        <v>2013</v>
      </c>
      <c r="C555">
        <v>18</v>
      </c>
      <c r="D555">
        <v>128</v>
      </c>
      <c r="E555">
        <v>6.2</v>
      </c>
      <c r="F555">
        <v>3.25</v>
      </c>
      <c r="G555" s="1">
        <v>42344</v>
      </c>
    </row>
    <row r="556" spans="1:7" x14ac:dyDescent="0.25">
      <c r="A556" t="s">
        <v>404</v>
      </c>
      <c r="B556">
        <v>2013</v>
      </c>
      <c r="C556">
        <v>15</v>
      </c>
      <c r="D556">
        <v>103</v>
      </c>
      <c r="E556">
        <v>7.2</v>
      </c>
      <c r="F556">
        <v>0.14000000000000001</v>
      </c>
      <c r="G556" s="1">
        <v>2484</v>
      </c>
    </row>
    <row r="557" spans="1:7" x14ac:dyDescent="0.25">
      <c r="A557" t="s">
        <v>405</v>
      </c>
      <c r="B557">
        <v>2013</v>
      </c>
      <c r="C557">
        <v>12</v>
      </c>
      <c r="D557">
        <v>97</v>
      </c>
      <c r="E557">
        <v>6.3</v>
      </c>
      <c r="F557">
        <v>2.15</v>
      </c>
      <c r="G557" s="1">
        <v>22813</v>
      </c>
    </row>
    <row r="558" spans="1:7" x14ac:dyDescent="0.25">
      <c r="A558" t="s">
        <v>406</v>
      </c>
      <c r="B558">
        <v>2013</v>
      </c>
      <c r="C558">
        <v>12</v>
      </c>
      <c r="D558">
        <v>82</v>
      </c>
      <c r="E558">
        <v>7.2</v>
      </c>
      <c r="F558">
        <v>0.2</v>
      </c>
      <c r="G558" s="1">
        <v>4723</v>
      </c>
    </row>
    <row r="559" spans="1:7" x14ac:dyDescent="0.25">
      <c r="A559" t="s">
        <v>407</v>
      </c>
      <c r="B559">
        <v>2013</v>
      </c>
      <c r="C559">
        <v>15</v>
      </c>
      <c r="D559">
        <v>85</v>
      </c>
      <c r="E559">
        <v>5.4</v>
      </c>
      <c r="F559">
        <v>2.46</v>
      </c>
      <c r="G559" s="1">
        <v>10022</v>
      </c>
    </row>
    <row r="560" spans="1:7" x14ac:dyDescent="0.25">
      <c r="A560" t="s">
        <v>409</v>
      </c>
      <c r="B560">
        <v>2013</v>
      </c>
      <c r="C560">
        <v>18</v>
      </c>
      <c r="D560">
        <v>86</v>
      </c>
      <c r="E560">
        <v>6.2</v>
      </c>
      <c r="F560">
        <v>2.46</v>
      </c>
      <c r="G560" s="1">
        <v>2373</v>
      </c>
    </row>
    <row r="561" spans="1:7" x14ac:dyDescent="0.25">
      <c r="A561" t="s">
        <v>410</v>
      </c>
      <c r="B561">
        <v>2013</v>
      </c>
      <c r="C561">
        <v>15</v>
      </c>
      <c r="D561">
        <v>117</v>
      </c>
      <c r="E561">
        <v>6.1</v>
      </c>
      <c r="F561">
        <v>0.02</v>
      </c>
      <c r="G561" s="1">
        <v>3068</v>
      </c>
    </row>
    <row r="562" spans="1:7" x14ac:dyDescent="0.25">
      <c r="A562" t="s">
        <v>411</v>
      </c>
      <c r="B562">
        <v>2013</v>
      </c>
      <c r="C562">
        <v>15</v>
      </c>
      <c r="D562">
        <v>101</v>
      </c>
      <c r="E562">
        <v>7.2</v>
      </c>
      <c r="F562">
        <v>2.46</v>
      </c>
      <c r="G562" s="1">
        <v>1270</v>
      </c>
    </row>
    <row r="563" spans="1:7" x14ac:dyDescent="0.25">
      <c r="A563" t="s">
        <v>412</v>
      </c>
      <c r="B563">
        <v>2013</v>
      </c>
      <c r="C563">
        <v>15</v>
      </c>
      <c r="D563">
        <v>86</v>
      </c>
      <c r="E563">
        <v>5.6</v>
      </c>
      <c r="F563">
        <v>0.09</v>
      </c>
      <c r="G563" s="1">
        <v>21298</v>
      </c>
    </row>
    <row r="564" spans="1:7" x14ac:dyDescent="0.25">
      <c r="A564" t="s">
        <v>414</v>
      </c>
      <c r="B564">
        <v>2013</v>
      </c>
      <c r="C564">
        <v>15</v>
      </c>
      <c r="D564">
        <v>124</v>
      </c>
      <c r="E564">
        <v>7.3</v>
      </c>
      <c r="F564">
        <v>0.38</v>
      </c>
      <c r="G564" s="1">
        <v>7825</v>
      </c>
    </row>
    <row r="565" spans="1:7" x14ac:dyDescent="0.25">
      <c r="A565" t="s">
        <v>416</v>
      </c>
      <c r="B565">
        <v>2013</v>
      </c>
      <c r="C565">
        <v>15</v>
      </c>
      <c r="D565">
        <v>103</v>
      </c>
      <c r="E565">
        <v>6.8</v>
      </c>
      <c r="F565">
        <v>0.09</v>
      </c>
      <c r="G565" s="1">
        <v>12975</v>
      </c>
    </row>
    <row r="566" spans="1:7" x14ac:dyDescent="0.25">
      <c r="A566" t="s">
        <v>420</v>
      </c>
      <c r="B566">
        <v>2013</v>
      </c>
      <c r="C566">
        <v>15</v>
      </c>
      <c r="D566">
        <v>108</v>
      </c>
      <c r="E566">
        <v>6.4</v>
      </c>
      <c r="F566">
        <v>2.46</v>
      </c>
      <c r="G566">
        <v>92</v>
      </c>
    </row>
    <row r="567" spans="1:7" x14ac:dyDescent="0.25">
      <c r="A567" t="s">
        <v>421</v>
      </c>
      <c r="B567">
        <v>2013</v>
      </c>
      <c r="C567">
        <v>15</v>
      </c>
      <c r="D567">
        <v>120</v>
      </c>
      <c r="E567">
        <v>6.6</v>
      </c>
      <c r="F567">
        <v>2.0099999999999998</v>
      </c>
      <c r="G567" s="1">
        <v>33273</v>
      </c>
    </row>
    <row r="568" spans="1:7" x14ac:dyDescent="0.25">
      <c r="A568" t="s">
        <v>422</v>
      </c>
      <c r="B568">
        <v>2013</v>
      </c>
      <c r="C568">
        <v>15</v>
      </c>
      <c r="D568">
        <v>93</v>
      </c>
      <c r="E568">
        <v>6.4</v>
      </c>
      <c r="F568">
        <v>2.2200000000000002</v>
      </c>
      <c r="G568" s="1">
        <v>8642</v>
      </c>
    </row>
    <row r="569" spans="1:7" x14ac:dyDescent="0.25">
      <c r="A569" t="s">
        <v>425</v>
      </c>
      <c r="B569">
        <v>2013</v>
      </c>
      <c r="C569">
        <v>15</v>
      </c>
      <c r="D569">
        <v>111</v>
      </c>
      <c r="E569">
        <v>6.1</v>
      </c>
      <c r="F569">
        <v>1.23</v>
      </c>
      <c r="G569" s="1">
        <v>10318</v>
      </c>
    </row>
    <row r="570" spans="1:7" x14ac:dyDescent="0.25">
      <c r="A570" t="s">
        <v>427</v>
      </c>
      <c r="B570">
        <v>2013</v>
      </c>
      <c r="C570">
        <v>12</v>
      </c>
      <c r="D570">
        <v>127</v>
      </c>
      <c r="E570">
        <v>6.5</v>
      </c>
      <c r="F570">
        <v>0.04</v>
      </c>
      <c r="G570" s="1">
        <v>20827</v>
      </c>
    </row>
    <row r="571" spans="1:7" x14ac:dyDescent="0.25">
      <c r="A571" t="s">
        <v>433</v>
      </c>
      <c r="B571">
        <v>2013</v>
      </c>
      <c r="C571">
        <v>15</v>
      </c>
      <c r="D571">
        <v>95</v>
      </c>
      <c r="E571">
        <v>7.5</v>
      </c>
      <c r="F571">
        <v>2.46</v>
      </c>
      <c r="G571">
        <v>148</v>
      </c>
    </row>
    <row r="572" spans="1:7" x14ac:dyDescent="0.25">
      <c r="A572" t="s">
        <v>439</v>
      </c>
      <c r="B572">
        <v>2013</v>
      </c>
      <c r="C572">
        <v>15</v>
      </c>
      <c r="D572">
        <v>116</v>
      </c>
      <c r="E572">
        <v>7.1</v>
      </c>
      <c r="F572">
        <v>4.4400000000000004</v>
      </c>
      <c r="G572" s="1">
        <v>42093</v>
      </c>
    </row>
    <row r="573" spans="1:7" x14ac:dyDescent="0.25">
      <c r="A573" t="s">
        <v>441</v>
      </c>
      <c r="B573">
        <v>2013</v>
      </c>
      <c r="C573">
        <v>15</v>
      </c>
      <c r="D573">
        <v>98</v>
      </c>
      <c r="E573">
        <v>5.9</v>
      </c>
      <c r="F573">
        <v>2.46</v>
      </c>
      <c r="G573" s="1">
        <v>8698</v>
      </c>
    </row>
    <row r="574" spans="1:7" x14ac:dyDescent="0.25">
      <c r="A574" t="s">
        <v>442</v>
      </c>
      <c r="B574">
        <v>2013</v>
      </c>
      <c r="C574">
        <v>12</v>
      </c>
      <c r="D574">
        <v>94</v>
      </c>
      <c r="E574">
        <v>6.2</v>
      </c>
      <c r="F574">
        <v>2.46</v>
      </c>
      <c r="G574" s="1">
        <v>2790</v>
      </c>
    </row>
    <row r="575" spans="1:7" x14ac:dyDescent="0.25">
      <c r="A575" t="s">
        <v>443</v>
      </c>
      <c r="B575">
        <v>2013</v>
      </c>
      <c r="C575">
        <v>15</v>
      </c>
      <c r="D575">
        <v>125</v>
      </c>
      <c r="E575">
        <v>7.5</v>
      </c>
      <c r="F575">
        <v>83.3</v>
      </c>
      <c r="G575" s="1">
        <v>168055</v>
      </c>
    </row>
    <row r="576" spans="1:7" x14ac:dyDescent="0.25">
      <c r="A576" t="s">
        <v>446</v>
      </c>
      <c r="B576">
        <v>2013</v>
      </c>
      <c r="C576">
        <v>15</v>
      </c>
      <c r="D576">
        <v>90</v>
      </c>
      <c r="E576">
        <v>8</v>
      </c>
      <c r="F576">
        <v>0.65</v>
      </c>
      <c r="G576" s="1">
        <v>26398</v>
      </c>
    </row>
    <row r="577" spans="1:7" x14ac:dyDescent="0.25">
      <c r="A577" t="s">
        <v>450</v>
      </c>
      <c r="B577">
        <v>2013</v>
      </c>
      <c r="C577">
        <v>12</v>
      </c>
      <c r="D577">
        <v>99</v>
      </c>
      <c r="E577">
        <v>4.9000000000000004</v>
      </c>
      <c r="F577">
        <v>2.46</v>
      </c>
      <c r="G577">
        <v>299</v>
      </c>
    </row>
    <row r="578" spans="1:7" x14ac:dyDescent="0.25">
      <c r="A578" t="s">
        <v>453</v>
      </c>
      <c r="B578">
        <v>2013</v>
      </c>
      <c r="C578">
        <v>15</v>
      </c>
      <c r="D578">
        <v>91</v>
      </c>
      <c r="E578">
        <v>6</v>
      </c>
      <c r="F578">
        <v>2.46</v>
      </c>
      <c r="G578" s="1">
        <v>31901</v>
      </c>
    </row>
    <row r="579" spans="1:7" x14ac:dyDescent="0.25">
      <c r="A579" t="s">
        <v>454</v>
      </c>
      <c r="B579">
        <v>2013</v>
      </c>
      <c r="C579">
        <v>15</v>
      </c>
      <c r="D579">
        <v>120</v>
      </c>
      <c r="E579">
        <v>6.4</v>
      </c>
      <c r="F579">
        <v>1.36</v>
      </c>
      <c r="G579" s="1">
        <v>9266</v>
      </c>
    </row>
    <row r="580" spans="1:7" x14ac:dyDescent="0.25">
      <c r="A580" t="s">
        <v>456</v>
      </c>
      <c r="B580">
        <v>2013</v>
      </c>
      <c r="C580">
        <v>15</v>
      </c>
      <c r="D580">
        <v>93</v>
      </c>
      <c r="E580">
        <v>6.7</v>
      </c>
      <c r="F580">
        <v>0.41</v>
      </c>
      <c r="G580" s="1">
        <v>7686</v>
      </c>
    </row>
    <row r="581" spans="1:7" x14ac:dyDescent="0.25">
      <c r="A581" t="s">
        <v>457</v>
      </c>
      <c r="B581">
        <v>2013</v>
      </c>
      <c r="C581">
        <v>15</v>
      </c>
      <c r="D581">
        <v>93</v>
      </c>
      <c r="E581">
        <v>4.8</v>
      </c>
      <c r="F581">
        <v>7.02</v>
      </c>
      <c r="G581" s="1">
        <v>2328</v>
      </c>
    </row>
    <row r="582" spans="1:7" x14ac:dyDescent="0.25">
      <c r="A582" t="s">
        <v>459</v>
      </c>
      <c r="B582">
        <v>2013</v>
      </c>
      <c r="C582">
        <v>15</v>
      </c>
      <c r="D582">
        <v>121</v>
      </c>
      <c r="E582">
        <v>7.5</v>
      </c>
      <c r="F582">
        <v>125.1</v>
      </c>
      <c r="G582" s="1">
        <v>300953</v>
      </c>
    </row>
    <row r="583" spans="1:7" x14ac:dyDescent="0.25">
      <c r="A583" t="s">
        <v>464</v>
      </c>
      <c r="B583">
        <v>2013</v>
      </c>
      <c r="C583">
        <v>15</v>
      </c>
      <c r="D583">
        <v>90</v>
      </c>
      <c r="E583">
        <v>7.1</v>
      </c>
      <c r="F583">
        <v>0.26</v>
      </c>
      <c r="G583" s="1">
        <v>77638</v>
      </c>
    </row>
    <row r="584" spans="1:7" x14ac:dyDescent="0.25">
      <c r="A584" t="s">
        <v>468</v>
      </c>
      <c r="B584">
        <v>2013</v>
      </c>
      <c r="C584">
        <v>15</v>
      </c>
      <c r="D584">
        <v>99</v>
      </c>
      <c r="E584">
        <v>6.4</v>
      </c>
      <c r="F584">
        <v>0</v>
      </c>
      <c r="G584" s="1">
        <v>24813</v>
      </c>
    </row>
    <row r="585" spans="1:7" x14ac:dyDescent="0.25">
      <c r="A585" t="s">
        <v>471</v>
      </c>
      <c r="B585">
        <v>2013</v>
      </c>
      <c r="C585">
        <v>18</v>
      </c>
      <c r="D585">
        <v>99</v>
      </c>
      <c r="E585">
        <v>6.1</v>
      </c>
      <c r="F585">
        <v>0.01</v>
      </c>
      <c r="G585" s="1">
        <v>20517</v>
      </c>
    </row>
    <row r="586" spans="1:7" x14ac:dyDescent="0.25">
      <c r="A586" t="s">
        <v>476</v>
      </c>
      <c r="B586">
        <v>2013</v>
      </c>
      <c r="C586">
        <v>15</v>
      </c>
      <c r="D586">
        <v>97</v>
      </c>
      <c r="E586">
        <v>6.1</v>
      </c>
      <c r="F586">
        <v>0.02</v>
      </c>
      <c r="G586" s="1">
        <v>18453</v>
      </c>
    </row>
    <row r="587" spans="1:7" x14ac:dyDescent="0.25">
      <c r="A587" t="s">
        <v>485</v>
      </c>
      <c r="B587">
        <v>2013</v>
      </c>
      <c r="C587">
        <v>15</v>
      </c>
      <c r="D587">
        <v>99</v>
      </c>
      <c r="E587">
        <v>5.4</v>
      </c>
      <c r="F587">
        <v>2.46</v>
      </c>
      <c r="G587" s="1">
        <v>7256</v>
      </c>
    </row>
    <row r="588" spans="1:7" x14ac:dyDescent="0.25">
      <c r="A588" t="s">
        <v>488</v>
      </c>
      <c r="B588">
        <v>2013</v>
      </c>
      <c r="C588">
        <v>15</v>
      </c>
      <c r="D588">
        <v>104</v>
      </c>
      <c r="E588">
        <v>6.1</v>
      </c>
      <c r="F588">
        <v>0.05</v>
      </c>
      <c r="G588" s="1">
        <v>7111</v>
      </c>
    </row>
    <row r="589" spans="1:7" x14ac:dyDescent="0.25">
      <c r="A589" t="s">
        <v>490</v>
      </c>
      <c r="B589">
        <v>2013</v>
      </c>
      <c r="C589">
        <v>18</v>
      </c>
      <c r="D589">
        <v>91</v>
      </c>
      <c r="E589">
        <v>6.9</v>
      </c>
      <c r="F589">
        <v>1.01</v>
      </c>
      <c r="G589" s="1">
        <v>208290</v>
      </c>
    </row>
    <row r="590" spans="1:7" x14ac:dyDescent="0.25">
      <c r="A590" t="s">
        <v>491</v>
      </c>
      <c r="B590">
        <v>2013</v>
      </c>
      <c r="C590">
        <v>15</v>
      </c>
      <c r="D590">
        <v>93</v>
      </c>
      <c r="E590">
        <v>6.1</v>
      </c>
      <c r="F590">
        <v>0.52</v>
      </c>
      <c r="G590" s="1">
        <v>27432</v>
      </c>
    </row>
    <row r="591" spans="1:7" x14ac:dyDescent="0.25">
      <c r="A591" t="s">
        <v>492</v>
      </c>
      <c r="B591">
        <v>2013</v>
      </c>
      <c r="C591">
        <v>15</v>
      </c>
      <c r="D591">
        <v>105</v>
      </c>
      <c r="E591">
        <v>6.8</v>
      </c>
      <c r="F591">
        <v>2.46</v>
      </c>
      <c r="G591" s="1">
        <v>5324</v>
      </c>
    </row>
    <row r="592" spans="1:7" x14ac:dyDescent="0.25">
      <c r="A592" t="s">
        <v>493</v>
      </c>
      <c r="B592">
        <v>2013</v>
      </c>
      <c r="C592">
        <v>15</v>
      </c>
      <c r="D592">
        <v>91</v>
      </c>
      <c r="E592">
        <v>6.2</v>
      </c>
      <c r="F592">
        <v>0.04</v>
      </c>
      <c r="G592" s="1">
        <v>3287</v>
      </c>
    </row>
    <row r="593" spans="1:7" x14ac:dyDescent="0.25">
      <c r="A593" t="s">
        <v>495</v>
      </c>
      <c r="B593">
        <v>2013</v>
      </c>
      <c r="C593">
        <v>12</v>
      </c>
      <c r="D593">
        <v>117</v>
      </c>
      <c r="E593">
        <v>6.8</v>
      </c>
      <c r="F593">
        <v>0.37</v>
      </c>
      <c r="G593" s="1">
        <v>50582</v>
      </c>
    </row>
    <row r="594" spans="1:7" x14ac:dyDescent="0.25">
      <c r="A594" t="s">
        <v>496</v>
      </c>
      <c r="B594">
        <v>2013</v>
      </c>
      <c r="C594">
        <v>12</v>
      </c>
      <c r="D594">
        <v>100</v>
      </c>
      <c r="E594">
        <v>7.3</v>
      </c>
      <c r="F594">
        <v>2.46</v>
      </c>
      <c r="G594" s="1">
        <v>3172</v>
      </c>
    </row>
    <row r="595" spans="1:7" x14ac:dyDescent="0.25">
      <c r="A595" t="s">
        <v>497</v>
      </c>
      <c r="B595">
        <v>2013</v>
      </c>
      <c r="C595">
        <v>15</v>
      </c>
      <c r="D595">
        <v>122</v>
      </c>
      <c r="E595">
        <v>6</v>
      </c>
      <c r="F595">
        <v>2.46</v>
      </c>
      <c r="G595" s="1">
        <v>3777</v>
      </c>
    </row>
    <row r="596" spans="1:7" x14ac:dyDescent="0.25">
      <c r="A596" t="s">
        <v>502</v>
      </c>
      <c r="B596">
        <v>2013</v>
      </c>
      <c r="C596">
        <v>15</v>
      </c>
      <c r="D596">
        <v>84</v>
      </c>
      <c r="E596">
        <v>5.4</v>
      </c>
      <c r="F596">
        <v>2.46</v>
      </c>
      <c r="G596" s="1">
        <v>9036</v>
      </c>
    </row>
    <row r="597" spans="1:7" x14ac:dyDescent="0.25">
      <c r="A597" t="s">
        <v>503</v>
      </c>
      <c r="B597">
        <v>2013</v>
      </c>
      <c r="C597">
        <v>15</v>
      </c>
      <c r="D597">
        <v>84</v>
      </c>
      <c r="E597">
        <v>4.5999999999999996</v>
      </c>
      <c r="F597">
        <v>2.46</v>
      </c>
      <c r="G597" s="1">
        <v>4353</v>
      </c>
    </row>
    <row r="598" spans="1:7" x14ac:dyDescent="0.25">
      <c r="A598" t="s">
        <v>504</v>
      </c>
      <c r="B598">
        <v>2013</v>
      </c>
      <c r="C598">
        <v>15</v>
      </c>
      <c r="D598">
        <v>115</v>
      </c>
      <c r="E598">
        <v>7.5</v>
      </c>
      <c r="F598">
        <v>44.47</v>
      </c>
      <c r="G598" s="1">
        <v>32244</v>
      </c>
    </row>
    <row r="599" spans="1:7" x14ac:dyDescent="0.25">
      <c r="A599" t="s">
        <v>507</v>
      </c>
      <c r="B599">
        <v>2013</v>
      </c>
      <c r="C599">
        <v>12</v>
      </c>
      <c r="D599">
        <v>128</v>
      </c>
      <c r="E599">
        <v>6.2</v>
      </c>
      <c r="F599">
        <v>38.36</v>
      </c>
      <c r="G599" s="1">
        <v>168437</v>
      </c>
    </row>
    <row r="600" spans="1:7" x14ac:dyDescent="0.25">
      <c r="A600" t="s">
        <v>509</v>
      </c>
      <c r="B600">
        <v>2013</v>
      </c>
      <c r="C600">
        <v>15</v>
      </c>
      <c r="D600">
        <v>110</v>
      </c>
      <c r="E600">
        <v>5.9</v>
      </c>
      <c r="F600">
        <v>2.46</v>
      </c>
      <c r="G600" s="1">
        <v>1312</v>
      </c>
    </row>
    <row r="601" spans="1:7" x14ac:dyDescent="0.25">
      <c r="A601" t="s">
        <v>511</v>
      </c>
      <c r="B601">
        <v>2013</v>
      </c>
      <c r="C601">
        <v>15</v>
      </c>
      <c r="D601">
        <v>121</v>
      </c>
      <c r="E601">
        <v>7.8</v>
      </c>
      <c r="F601">
        <v>0.28000000000000003</v>
      </c>
      <c r="G601" s="1">
        <v>27248</v>
      </c>
    </row>
    <row r="602" spans="1:7" x14ac:dyDescent="0.25">
      <c r="A602" t="s">
        <v>516</v>
      </c>
      <c r="B602">
        <v>2013</v>
      </c>
      <c r="C602">
        <v>15</v>
      </c>
      <c r="D602">
        <v>104</v>
      </c>
      <c r="E602">
        <v>6.5</v>
      </c>
      <c r="F602">
        <v>27.7</v>
      </c>
      <c r="G602" s="1">
        <v>137381</v>
      </c>
    </row>
    <row r="603" spans="1:7" x14ac:dyDescent="0.25">
      <c r="A603" t="s">
        <v>517</v>
      </c>
      <c r="B603">
        <v>2013</v>
      </c>
      <c r="C603">
        <v>12</v>
      </c>
      <c r="D603">
        <v>98</v>
      </c>
      <c r="E603">
        <v>6.3</v>
      </c>
      <c r="F603">
        <v>0.02</v>
      </c>
      <c r="G603" s="1">
        <v>15508</v>
      </c>
    </row>
    <row r="604" spans="1:7" x14ac:dyDescent="0.25">
      <c r="A604" t="s">
        <v>519</v>
      </c>
      <c r="B604">
        <v>2013</v>
      </c>
      <c r="C604">
        <v>12</v>
      </c>
      <c r="D604">
        <v>93</v>
      </c>
      <c r="E604">
        <v>6.5</v>
      </c>
      <c r="F604">
        <v>0.2</v>
      </c>
      <c r="G604" s="1">
        <v>52452</v>
      </c>
    </row>
    <row r="605" spans="1:7" x14ac:dyDescent="0.25">
      <c r="A605" t="s">
        <v>525</v>
      </c>
      <c r="B605">
        <v>2013</v>
      </c>
      <c r="C605">
        <v>15</v>
      </c>
      <c r="D605">
        <v>94</v>
      </c>
      <c r="E605">
        <v>6.3</v>
      </c>
      <c r="F605">
        <v>0.01</v>
      </c>
      <c r="G605" s="1">
        <v>1843</v>
      </c>
    </row>
    <row r="606" spans="1:7" x14ac:dyDescent="0.25">
      <c r="A606" t="s">
        <v>526</v>
      </c>
      <c r="B606">
        <v>2013</v>
      </c>
      <c r="C606">
        <v>15</v>
      </c>
      <c r="D606">
        <v>108</v>
      </c>
      <c r="E606">
        <v>6.3</v>
      </c>
      <c r="F606">
        <v>2.61</v>
      </c>
      <c r="G606" s="1">
        <v>153313</v>
      </c>
    </row>
    <row r="607" spans="1:7" x14ac:dyDescent="0.25">
      <c r="A607" t="s">
        <v>528</v>
      </c>
      <c r="B607">
        <v>2013</v>
      </c>
      <c r="C607">
        <v>15</v>
      </c>
      <c r="D607">
        <v>112</v>
      </c>
      <c r="E607">
        <v>7.1</v>
      </c>
      <c r="F607">
        <v>0.51</v>
      </c>
      <c r="G607" s="1">
        <v>31165</v>
      </c>
    </row>
    <row r="608" spans="1:7" x14ac:dyDescent="0.25">
      <c r="A608" t="s">
        <v>530</v>
      </c>
      <c r="B608">
        <v>2013</v>
      </c>
      <c r="C608">
        <v>15</v>
      </c>
      <c r="D608">
        <v>100</v>
      </c>
      <c r="E608">
        <v>7.3</v>
      </c>
      <c r="F608">
        <v>10.73</v>
      </c>
      <c r="G608" s="1">
        <v>32628</v>
      </c>
    </row>
    <row r="609" spans="1:7" x14ac:dyDescent="0.25">
      <c r="A609" t="s">
        <v>534</v>
      </c>
      <c r="B609">
        <v>2013</v>
      </c>
      <c r="C609">
        <v>15</v>
      </c>
      <c r="D609">
        <v>91</v>
      </c>
      <c r="E609">
        <v>5.9</v>
      </c>
      <c r="F609">
        <v>2.46</v>
      </c>
      <c r="G609" s="1">
        <v>16215</v>
      </c>
    </row>
    <row r="610" spans="1:7" x14ac:dyDescent="0.25">
      <c r="A610" t="s">
        <v>535</v>
      </c>
      <c r="B610">
        <v>2013</v>
      </c>
      <c r="C610">
        <v>12</v>
      </c>
      <c r="D610">
        <v>114</v>
      </c>
      <c r="E610">
        <v>6.1</v>
      </c>
      <c r="F610">
        <v>2.46</v>
      </c>
      <c r="G610" s="1">
        <v>23390</v>
      </c>
    </row>
    <row r="611" spans="1:7" x14ac:dyDescent="0.25">
      <c r="A611" t="s">
        <v>541</v>
      </c>
      <c r="B611">
        <v>2013</v>
      </c>
      <c r="C611">
        <v>15</v>
      </c>
      <c r="D611">
        <v>111</v>
      </c>
      <c r="E611">
        <v>7.2</v>
      </c>
      <c r="F611">
        <v>0.16</v>
      </c>
      <c r="G611" s="1">
        <v>13277</v>
      </c>
    </row>
    <row r="612" spans="1:7" x14ac:dyDescent="0.25">
      <c r="A612" t="s">
        <v>546</v>
      </c>
      <c r="B612">
        <v>2013</v>
      </c>
      <c r="C612">
        <v>18</v>
      </c>
      <c r="D612">
        <v>92</v>
      </c>
      <c r="E612">
        <v>6.2</v>
      </c>
      <c r="F612">
        <v>0.31</v>
      </c>
      <c r="G612" s="1">
        <v>5839</v>
      </c>
    </row>
    <row r="613" spans="1:7" x14ac:dyDescent="0.25">
      <c r="A613" t="s">
        <v>548</v>
      </c>
      <c r="B613">
        <v>2013</v>
      </c>
      <c r="C613">
        <v>15</v>
      </c>
      <c r="D613">
        <v>106</v>
      </c>
      <c r="E613">
        <v>7.3</v>
      </c>
      <c r="F613">
        <v>0.03</v>
      </c>
      <c r="G613" s="1">
        <v>48115</v>
      </c>
    </row>
    <row r="614" spans="1:7" x14ac:dyDescent="0.25">
      <c r="A614" t="s">
        <v>554</v>
      </c>
      <c r="B614">
        <v>2013</v>
      </c>
      <c r="C614">
        <v>15</v>
      </c>
      <c r="D614">
        <v>98</v>
      </c>
      <c r="E614">
        <v>7.6</v>
      </c>
      <c r="F614">
        <v>37.71</v>
      </c>
      <c r="G614" s="1">
        <v>102928</v>
      </c>
    </row>
    <row r="615" spans="1:7" x14ac:dyDescent="0.25">
      <c r="A615" t="s">
        <v>556</v>
      </c>
      <c r="B615">
        <v>2013</v>
      </c>
      <c r="C615">
        <v>18</v>
      </c>
      <c r="D615">
        <v>100</v>
      </c>
      <c r="E615">
        <v>6.1</v>
      </c>
      <c r="F615">
        <v>0.01</v>
      </c>
      <c r="G615" s="1">
        <v>3663</v>
      </c>
    </row>
    <row r="616" spans="1:7" x14ac:dyDescent="0.25">
      <c r="A616" t="s">
        <v>557</v>
      </c>
      <c r="B616">
        <v>2013</v>
      </c>
      <c r="C616">
        <v>15</v>
      </c>
      <c r="D616">
        <v>111</v>
      </c>
      <c r="E616">
        <v>6.6</v>
      </c>
      <c r="F616">
        <v>2.17</v>
      </c>
      <c r="G616" s="1">
        <v>11301</v>
      </c>
    </row>
    <row r="617" spans="1:7" x14ac:dyDescent="0.25">
      <c r="A617" t="s">
        <v>558</v>
      </c>
      <c r="B617">
        <v>2013</v>
      </c>
      <c r="C617">
        <v>15</v>
      </c>
      <c r="D617">
        <v>104</v>
      </c>
      <c r="E617">
        <v>7.4</v>
      </c>
      <c r="F617">
        <v>16.170000000000002</v>
      </c>
      <c r="G617" s="1">
        <v>164038</v>
      </c>
    </row>
    <row r="618" spans="1:7" x14ac:dyDescent="0.25">
      <c r="A618" t="s">
        <v>562</v>
      </c>
      <c r="B618">
        <v>2013</v>
      </c>
      <c r="C618">
        <v>15</v>
      </c>
      <c r="D618">
        <v>113</v>
      </c>
      <c r="E618">
        <v>7</v>
      </c>
      <c r="F618">
        <v>3.41</v>
      </c>
      <c r="G618" s="1">
        <v>18857</v>
      </c>
    </row>
    <row r="619" spans="1:7" x14ac:dyDescent="0.25">
      <c r="A619" t="s">
        <v>563</v>
      </c>
      <c r="B619">
        <v>2013</v>
      </c>
      <c r="C619">
        <v>15</v>
      </c>
      <c r="D619">
        <v>137</v>
      </c>
      <c r="E619">
        <v>6.3</v>
      </c>
      <c r="F619">
        <v>1.02</v>
      </c>
      <c r="G619" s="1">
        <v>29057</v>
      </c>
    </row>
    <row r="620" spans="1:7" x14ac:dyDescent="0.25">
      <c r="A620" t="s">
        <v>567</v>
      </c>
      <c r="B620">
        <v>2013</v>
      </c>
      <c r="C620">
        <v>15</v>
      </c>
      <c r="D620">
        <v>105</v>
      </c>
      <c r="E620">
        <v>6.1</v>
      </c>
      <c r="F620">
        <v>2.46</v>
      </c>
      <c r="G620" s="1">
        <v>5767</v>
      </c>
    </row>
    <row r="621" spans="1:7" x14ac:dyDescent="0.25">
      <c r="A621" t="s">
        <v>568</v>
      </c>
      <c r="B621">
        <v>2013</v>
      </c>
      <c r="C621">
        <v>15</v>
      </c>
      <c r="D621">
        <v>131</v>
      </c>
      <c r="E621">
        <v>7.5</v>
      </c>
      <c r="F621">
        <v>21.49</v>
      </c>
      <c r="G621" s="1">
        <v>140748</v>
      </c>
    </row>
    <row r="622" spans="1:7" x14ac:dyDescent="0.25">
      <c r="A622" t="s">
        <v>572</v>
      </c>
      <c r="B622">
        <v>2013</v>
      </c>
      <c r="C622">
        <v>15</v>
      </c>
      <c r="D622">
        <v>117</v>
      </c>
      <c r="E622">
        <v>6.2</v>
      </c>
      <c r="F622">
        <v>2.46</v>
      </c>
      <c r="G622" s="1">
        <v>2688</v>
      </c>
    </row>
    <row r="623" spans="1:7" x14ac:dyDescent="0.25">
      <c r="A623" t="s">
        <v>576</v>
      </c>
      <c r="B623">
        <v>2013</v>
      </c>
      <c r="C623">
        <v>15</v>
      </c>
      <c r="D623">
        <v>102</v>
      </c>
      <c r="E623">
        <v>6.2</v>
      </c>
      <c r="F623">
        <v>2.46</v>
      </c>
      <c r="G623" s="1">
        <v>30962</v>
      </c>
    </row>
    <row r="624" spans="1:7" x14ac:dyDescent="0.25">
      <c r="A624" t="s">
        <v>583</v>
      </c>
      <c r="B624">
        <v>2013</v>
      </c>
      <c r="C624">
        <v>15</v>
      </c>
      <c r="D624">
        <v>130</v>
      </c>
      <c r="E624">
        <v>7.1</v>
      </c>
      <c r="F624">
        <v>0.09</v>
      </c>
      <c r="G624" s="1">
        <v>12516</v>
      </c>
    </row>
    <row r="625" spans="1:7" x14ac:dyDescent="0.25">
      <c r="A625" t="s">
        <v>584</v>
      </c>
      <c r="B625">
        <v>2013</v>
      </c>
      <c r="C625">
        <v>15</v>
      </c>
      <c r="D625">
        <v>98</v>
      </c>
      <c r="E625">
        <v>7.3</v>
      </c>
      <c r="F625">
        <v>33.409999999999997</v>
      </c>
      <c r="G625" s="1">
        <v>210319</v>
      </c>
    </row>
    <row r="626" spans="1:7" x14ac:dyDescent="0.25">
      <c r="A626" t="s">
        <v>586</v>
      </c>
      <c r="B626">
        <v>2013</v>
      </c>
      <c r="C626">
        <v>15</v>
      </c>
      <c r="D626">
        <v>113</v>
      </c>
      <c r="E626">
        <v>6.4</v>
      </c>
      <c r="F626">
        <v>0</v>
      </c>
      <c r="G626" s="1">
        <v>3885</v>
      </c>
    </row>
    <row r="627" spans="1:7" x14ac:dyDescent="0.25">
      <c r="A627" t="s">
        <v>587</v>
      </c>
      <c r="B627">
        <v>2013</v>
      </c>
      <c r="C627">
        <v>15</v>
      </c>
      <c r="D627">
        <v>108</v>
      </c>
      <c r="E627">
        <v>7.6</v>
      </c>
      <c r="F627">
        <v>2.46</v>
      </c>
      <c r="G627" s="1">
        <v>5084</v>
      </c>
    </row>
    <row r="628" spans="1:7" x14ac:dyDescent="0.25">
      <c r="A628" t="s">
        <v>592</v>
      </c>
      <c r="B628">
        <v>2013</v>
      </c>
      <c r="C628">
        <v>12</v>
      </c>
      <c r="D628">
        <v>114</v>
      </c>
      <c r="E628">
        <v>7.3</v>
      </c>
      <c r="F628">
        <v>58.24</v>
      </c>
      <c r="G628" s="1">
        <v>332292</v>
      </c>
    </row>
    <row r="629" spans="1:7" x14ac:dyDescent="0.25">
      <c r="A629" t="s">
        <v>594</v>
      </c>
      <c r="B629">
        <v>2013</v>
      </c>
      <c r="C629">
        <v>15</v>
      </c>
      <c r="D629">
        <v>107</v>
      </c>
      <c r="E629">
        <v>6</v>
      </c>
      <c r="F629">
        <v>0.22</v>
      </c>
      <c r="G629" s="1">
        <v>49104</v>
      </c>
    </row>
    <row r="630" spans="1:7" x14ac:dyDescent="0.25">
      <c r="A630" t="s">
        <v>602</v>
      </c>
      <c r="B630">
        <v>2013</v>
      </c>
      <c r="C630">
        <v>15</v>
      </c>
      <c r="D630">
        <v>138</v>
      </c>
      <c r="E630">
        <v>6.9</v>
      </c>
      <c r="F630">
        <v>2.46</v>
      </c>
      <c r="G630" s="1">
        <v>3019</v>
      </c>
    </row>
    <row r="631" spans="1:7" x14ac:dyDescent="0.25">
      <c r="A631" t="s">
        <v>603</v>
      </c>
      <c r="B631">
        <v>2013</v>
      </c>
      <c r="C631">
        <v>12</v>
      </c>
      <c r="D631">
        <v>112</v>
      </c>
      <c r="E631">
        <v>6.1</v>
      </c>
      <c r="F631">
        <v>0.25</v>
      </c>
      <c r="G631" s="1">
        <v>16461</v>
      </c>
    </row>
    <row r="632" spans="1:7" x14ac:dyDescent="0.25">
      <c r="A632" t="s">
        <v>610</v>
      </c>
      <c r="B632">
        <v>2013</v>
      </c>
      <c r="C632">
        <v>15</v>
      </c>
      <c r="D632">
        <v>107</v>
      </c>
      <c r="E632">
        <v>6.1</v>
      </c>
      <c r="F632">
        <v>0.42</v>
      </c>
      <c r="G632" s="1">
        <v>9412</v>
      </c>
    </row>
    <row r="633" spans="1:7" x14ac:dyDescent="0.25">
      <c r="A633" t="s">
        <v>619</v>
      </c>
      <c r="B633">
        <v>2013</v>
      </c>
      <c r="C633">
        <v>15</v>
      </c>
      <c r="D633">
        <v>88</v>
      </c>
      <c r="E633">
        <v>7.1</v>
      </c>
      <c r="F633">
        <v>0.13</v>
      </c>
      <c r="G633" s="1">
        <v>3644</v>
      </c>
    </row>
    <row r="634" spans="1:7" x14ac:dyDescent="0.25">
      <c r="A634" t="s">
        <v>620</v>
      </c>
      <c r="B634">
        <v>2013</v>
      </c>
      <c r="C634">
        <v>12</v>
      </c>
      <c r="D634">
        <v>90</v>
      </c>
      <c r="E634">
        <v>6.1</v>
      </c>
      <c r="F634">
        <v>2.46</v>
      </c>
      <c r="G634" s="1">
        <v>3569</v>
      </c>
    </row>
    <row r="635" spans="1:7" x14ac:dyDescent="0.25">
      <c r="A635" t="s">
        <v>627</v>
      </c>
      <c r="B635">
        <v>2013</v>
      </c>
      <c r="C635">
        <v>15</v>
      </c>
      <c r="D635">
        <v>92</v>
      </c>
      <c r="E635">
        <v>7.3</v>
      </c>
      <c r="F635">
        <v>0.05</v>
      </c>
      <c r="G635" s="1">
        <v>3460</v>
      </c>
    </row>
    <row r="636" spans="1:7" x14ac:dyDescent="0.25">
      <c r="A636" t="s">
        <v>628</v>
      </c>
      <c r="B636">
        <v>2013</v>
      </c>
      <c r="C636">
        <v>15</v>
      </c>
      <c r="D636">
        <v>111</v>
      </c>
      <c r="E636">
        <v>6.9</v>
      </c>
      <c r="F636">
        <v>13.36</v>
      </c>
      <c r="G636" s="1">
        <v>50571</v>
      </c>
    </row>
    <row r="637" spans="1:7" x14ac:dyDescent="0.25">
      <c r="A637" t="s">
        <v>646</v>
      </c>
      <c r="B637">
        <v>2013</v>
      </c>
      <c r="C637">
        <v>15</v>
      </c>
      <c r="D637">
        <v>94</v>
      </c>
      <c r="E637">
        <v>6.9</v>
      </c>
      <c r="F637">
        <v>0.05</v>
      </c>
      <c r="G637" s="1">
        <v>4675</v>
      </c>
    </row>
    <row r="638" spans="1:7" x14ac:dyDescent="0.25">
      <c r="A638" t="s">
        <v>653</v>
      </c>
      <c r="B638">
        <v>2013</v>
      </c>
      <c r="C638">
        <v>12</v>
      </c>
      <c r="D638">
        <v>87</v>
      </c>
      <c r="E638">
        <v>6.6</v>
      </c>
      <c r="F638">
        <v>2.46</v>
      </c>
      <c r="G638" s="1">
        <v>18541</v>
      </c>
    </row>
    <row r="639" spans="1:7" x14ac:dyDescent="0.25">
      <c r="A639" t="s">
        <v>656</v>
      </c>
      <c r="B639">
        <v>2013</v>
      </c>
      <c r="C639">
        <v>15</v>
      </c>
      <c r="D639">
        <v>120</v>
      </c>
      <c r="E639">
        <v>6.4</v>
      </c>
      <c r="F639">
        <v>0.16</v>
      </c>
      <c r="G639" s="1">
        <v>86937</v>
      </c>
    </row>
    <row r="640" spans="1:7" x14ac:dyDescent="0.25">
      <c r="A640" t="s">
        <v>665</v>
      </c>
      <c r="B640">
        <v>2013</v>
      </c>
      <c r="C640">
        <v>15</v>
      </c>
      <c r="D640">
        <v>89</v>
      </c>
      <c r="E640">
        <v>7.2</v>
      </c>
      <c r="F640">
        <v>7.0000000000000007E-2</v>
      </c>
      <c r="G640" s="1">
        <v>141592</v>
      </c>
    </row>
    <row r="641" spans="1:7" x14ac:dyDescent="0.25">
      <c r="A641" t="s">
        <v>666</v>
      </c>
      <c r="B641">
        <v>2013</v>
      </c>
      <c r="C641">
        <v>15</v>
      </c>
      <c r="D641">
        <v>130</v>
      </c>
      <c r="E641">
        <v>7</v>
      </c>
      <c r="F641">
        <v>238.68</v>
      </c>
      <c r="G641" s="1">
        <v>410901</v>
      </c>
    </row>
    <row r="642" spans="1:7" x14ac:dyDescent="0.25">
      <c r="A642" t="s">
        <v>670</v>
      </c>
      <c r="B642">
        <v>2013</v>
      </c>
      <c r="C642">
        <v>15</v>
      </c>
      <c r="D642">
        <v>95</v>
      </c>
      <c r="E642">
        <v>6.3</v>
      </c>
      <c r="F642">
        <v>2.46</v>
      </c>
      <c r="G642" s="1">
        <v>1862</v>
      </c>
    </row>
    <row r="643" spans="1:7" x14ac:dyDescent="0.25">
      <c r="A643" t="s">
        <v>671</v>
      </c>
      <c r="B643">
        <v>2013</v>
      </c>
      <c r="C643">
        <v>15</v>
      </c>
      <c r="D643">
        <v>105</v>
      </c>
      <c r="E643">
        <v>5.3</v>
      </c>
      <c r="F643">
        <v>71.02</v>
      </c>
      <c r="G643" s="1">
        <v>45024</v>
      </c>
    </row>
    <row r="644" spans="1:7" x14ac:dyDescent="0.25">
      <c r="A644" t="s">
        <v>672</v>
      </c>
      <c r="B644">
        <v>2013</v>
      </c>
      <c r="C644">
        <v>15</v>
      </c>
      <c r="D644">
        <v>123</v>
      </c>
      <c r="E644">
        <v>7.2</v>
      </c>
      <c r="F644">
        <v>1.88</v>
      </c>
      <c r="G644" s="1">
        <v>106072</v>
      </c>
    </row>
    <row r="645" spans="1:7" x14ac:dyDescent="0.25">
      <c r="A645" t="s">
        <v>674</v>
      </c>
      <c r="B645">
        <v>2013</v>
      </c>
      <c r="C645">
        <v>15</v>
      </c>
      <c r="D645">
        <v>91</v>
      </c>
      <c r="E645">
        <v>5.7</v>
      </c>
      <c r="F645">
        <v>90.29</v>
      </c>
      <c r="G645" s="1">
        <v>47791</v>
      </c>
    </row>
    <row r="646" spans="1:7" x14ac:dyDescent="0.25">
      <c r="A646" t="s">
        <v>679</v>
      </c>
      <c r="B646">
        <v>2013</v>
      </c>
      <c r="C646">
        <v>15</v>
      </c>
      <c r="D646">
        <v>84</v>
      </c>
      <c r="E646">
        <v>4.9000000000000004</v>
      </c>
      <c r="F646">
        <v>0.01</v>
      </c>
      <c r="G646" s="1">
        <v>1148</v>
      </c>
    </row>
    <row r="647" spans="1:7" x14ac:dyDescent="0.25">
      <c r="A647" t="s">
        <v>681</v>
      </c>
      <c r="B647">
        <v>2013</v>
      </c>
      <c r="C647">
        <v>15</v>
      </c>
      <c r="D647">
        <v>94</v>
      </c>
      <c r="E647">
        <v>6.9</v>
      </c>
      <c r="F647">
        <v>2.46</v>
      </c>
      <c r="G647" s="1">
        <v>7294</v>
      </c>
    </row>
    <row r="648" spans="1:7" x14ac:dyDescent="0.25">
      <c r="A648" t="s">
        <v>682</v>
      </c>
      <c r="B648">
        <v>2013</v>
      </c>
      <c r="C648">
        <v>12</v>
      </c>
      <c r="D648">
        <v>109</v>
      </c>
      <c r="E648">
        <v>6.7</v>
      </c>
      <c r="F648">
        <v>75.61</v>
      </c>
      <c r="G648" s="1">
        <v>222163</v>
      </c>
    </row>
    <row r="649" spans="1:7" x14ac:dyDescent="0.25">
      <c r="A649" t="s">
        <v>685</v>
      </c>
      <c r="B649">
        <v>2013</v>
      </c>
      <c r="C649">
        <v>15</v>
      </c>
      <c r="D649">
        <v>92</v>
      </c>
      <c r="E649">
        <v>6.6</v>
      </c>
      <c r="F649">
        <v>0.05</v>
      </c>
      <c r="G649" s="1">
        <v>2721</v>
      </c>
    </row>
    <row r="650" spans="1:7" x14ac:dyDescent="0.25">
      <c r="A650" t="s">
        <v>694</v>
      </c>
      <c r="B650">
        <v>2013</v>
      </c>
      <c r="C650">
        <v>15</v>
      </c>
      <c r="D650">
        <v>95</v>
      </c>
      <c r="E650">
        <v>6.3</v>
      </c>
      <c r="F650">
        <v>0.01</v>
      </c>
      <c r="G650">
        <v>920</v>
      </c>
    </row>
    <row r="651" spans="1:7" x14ac:dyDescent="0.25">
      <c r="A651" t="s">
        <v>712</v>
      </c>
      <c r="B651">
        <v>2013</v>
      </c>
      <c r="C651">
        <v>13</v>
      </c>
      <c r="D651">
        <v>94</v>
      </c>
      <c r="E651">
        <v>6.7</v>
      </c>
      <c r="F651">
        <v>2.46</v>
      </c>
      <c r="G651" s="1">
        <v>1848</v>
      </c>
    </row>
    <row r="652" spans="1:7" x14ac:dyDescent="0.25">
      <c r="A652" t="s">
        <v>714</v>
      </c>
      <c r="B652">
        <v>2013</v>
      </c>
      <c r="C652">
        <v>15</v>
      </c>
      <c r="D652">
        <v>118</v>
      </c>
      <c r="E652">
        <v>5.7</v>
      </c>
      <c r="F652">
        <v>0.32</v>
      </c>
      <c r="G652" s="1">
        <v>6938</v>
      </c>
    </row>
    <row r="653" spans="1:7" x14ac:dyDescent="0.25">
      <c r="A653" t="s">
        <v>719</v>
      </c>
      <c r="B653">
        <v>2013</v>
      </c>
      <c r="C653">
        <v>12</v>
      </c>
      <c r="D653">
        <v>105</v>
      </c>
      <c r="E653">
        <v>7</v>
      </c>
      <c r="F653">
        <v>0.1</v>
      </c>
      <c r="G653" s="1">
        <v>19416</v>
      </c>
    </row>
    <row r="654" spans="1:7" x14ac:dyDescent="0.25">
      <c r="A654" t="s">
        <v>725</v>
      </c>
      <c r="B654">
        <v>2013</v>
      </c>
      <c r="C654">
        <v>15</v>
      </c>
      <c r="D654">
        <v>97</v>
      </c>
      <c r="E654">
        <v>6.1</v>
      </c>
      <c r="F654">
        <v>0.03</v>
      </c>
      <c r="G654" s="1">
        <v>3983</v>
      </c>
    </row>
    <row r="655" spans="1:7" x14ac:dyDescent="0.25">
      <c r="A655" t="s">
        <v>727</v>
      </c>
      <c r="B655">
        <v>2013</v>
      </c>
      <c r="C655">
        <v>15</v>
      </c>
      <c r="D655">
        <v>94</v>
      </c>
      <c r="E655">
        <v>6</v>
      </c>
      <c r="F655">
        <v>2.46</v>
      </c>
      <c r="G655" s="1">
        <v>4450</v>
      </c>
    </row>
    <row r="656" spans="1:7" x14ac:dyDescent="0.25">
      <c r="A656" t="s">
        <v>728</v>
      </c>
      <c r="B656">
        <v>2013</v>
      </c>
      <c r="C656">
        <v>18</v>
      </c>
      <c r="D656">
        <v>117</v>
      </c>
      <c r="E656">
        <v>6.9</v>
      </c>
      <c r="F656">
        <v>0.79</v>
      </c>
      <c r="G656" s="1">
        <v>129468</v>
      </c>
    </row>
    <row r="657" spans="1:7" x14ac:dyDescent="0.25">
      <c r="A657" t="s">
        <v>730</v>
      </c>
      <c r="B657">
        <v>2013</v>
      </c>
      <c r="C657">
        <v>15</v>
      </c>
      <c r="D657">
        <v>124</v>
      </c>
      <c r="E657">
        <v>6.6</v>
      </c>
      <c r="F657">
        <v>0.33</v>
      </c>
      <c r="G657" s="1">
        <v>96643</v>
      </c>
    </row>
    <row r="658" spans="1:7" x14ac:dyDescent="0.25">
      <c r="A658" t="s">
        <v>731</v>
      </c>
      <c r="B658">
        <v>2013</v>
      </c>
      <c r="C658">
        <v>12</v>
      </c>
      <c r="D658">
        <v>96</v>
      </c>
      <c r="E658">
        <v>5.5</v>
      </c>
      <c r="F658">
        <v>2.46</v>
      </c>
      <c r="G658" s="1">
        <v>8418</v>
      </c>
    </row>
    <row r="659" spans="1:7" x14ac:dyDescent="0.25">
      <c r="A659" t="s">
        <v>732</v>
      </c>
      <c r="B659">
        <v>2013</v>
      </c>
      <c r="C659">
        <v>15</v>
      </c>
      <c r="D659">
        <v>105</v>
      </c>
      <c r="E659">
        <v>6.3</v>
      </c>
      <c r="F659">
        <v>30.66</v>
      </c>
      <c r="G659" s="1">
        <v>82061</v>
      </c>
    </row>
    <row r="660" spans="1:7" x14ac:dyDescent="0.25">
      <c r="A660" t="s">
        <v>735</v>
      </c>
      <c r="B660">
        <v>2013</v>
      </c>
      <c r="C660">
        <v>15</v>
      </c>
      <c r="D660">
        <v>137</v>
      </c>
      <c r="E660">
        <v>8</v>
      </c>
      <c r="F660">
        <v>1.51</v>
      </c>
      <c r="G660" s="1">
        <v>51669</v>
      </c>
    </row>
    <row r="661" spans="1:7" x14ac:dyDescent="0.25">
      <c r="A661" t="s">
        <v>736</v>
      </c>
      <c r="B661">
        <v>2013</v>
      </c>
      <c r="C661">
        <v>15</v>
      </c>
      <c r="D661">
        <v>82</v>
      </c>
      <c r="E661">
        <v>7.4</v>
      </c>
      <c r="F661">
        <v>3.83</v>
      </c>
      <c r="G661" s="1">
        <v>59941</v>
      </c>
    </row>
    <row r="662" spans="1:7" x14ac:dyDescent="0.25">
      <c r="A662" t="s">
        <v>739</v>
      </c>
      <c r="B662">
        <v>2013</v>
      </c>
      <c r="C662">
        <v>15</v>
      </c>
      <c r="D662">
        <v>112</v>
      </c>
      <c r="E662">
        <v>7.5</v>
      </c>
      <c r="F662">
        <v>137.4</v>
      </c>
      <c r="G662" s="1">
        <v>542839</v>
      </c>
    </row>
    <row r="663" spans="1:7" x14ac:dyDescent="0.25">
      <c r="A663" t="s">
        <v>743</v>
      </c>
      <c r="B663">
        <v>2013</v>
      </c>
      <c r="C663">
        <v>15</v>
      </c>
      <c r="D663">
        <v>94</v>
      </c>
      <c r="E663">
        <v>3.6</v>
      </c>
      <c r="F663">
        <v>2.46</v>
      </c>
      <c r="G663" s="1">
        <v>3006</v>
      </c>
    </row>
    <row r="664" spans="1:7" x14ac:dyDescent="0.25">
      <c r="A664" t="s">
        <v>744</v>
      </c>
      <c r="B664">
        <v>2013</v>
      </c>
      <c r="C664">
        <v>15</v>
      </c>
      <c r="D664">
        <v>107</v>
      </c>
      <c r="E664">
        <v>5.6</v>
      </c>
      <c r="F664">
        <v>2.46</v>
      </c>
      <c r="G664" s="1">
        <v>23224</v>
      </c>
    </row>
    <row r="665" spans="1:7" x14ac:dyDescent="0.25">
      <c r="A665" t="s">
        <v>756</v>
      </c>
      <c r="B665">
        <v>2013</v>
      </c>
      <c r="C665">
        <v>15</v>
      </c>
      <c r="D665">
        <v>161</v>
      </c>
      <c r="E665">
        <v>7.8</v>
      </c>
      <c r="F665">
        <v>258.37</v>
      </c>
      <c r="G665" s="1">
        <v>691145</v>
      </c>
    </row>
    <row r="666" spans="1:7" x14ac:dyDescent="0.25">
      <c r="A666" t="s">
        <v>768</v>
      </c>
      <c r="B666">
        <v>2013</v>
      </c>
      <c r="C666">
        <v>15</v>
      </c>
      <c r="D666">
        <v>139</v>
      </c>
      <c r="E666">
        <v>6.9</v>
      </c>
      <c r="F666">
        <v>2.46</v>
      </c>
      <c r="G666" s="1">
        <v>2168</v>
      </c>
    </row>
    <row r="667" spans="1:7" x14ac:dyDescent="0.25">
      <c r="A667" t="s">
        <v>769</v>
      </c>
      <c r="B667">
        <v>2013</v>
      </c>
      <c r="C667">
        <v>15</v>
      </c>
      <c r="D667">
        <v>94</v>
      </c>
      <c r="E667">
        <v>5.7</v>
      </c>
      <c r="F667">
        <v>0.27</v>
      </c>
      <c r="G667" s="1">
        <v>2377</v>
      </c>
    </row>
    <row r="668" spans="1:7" x14ac:dyDescent="0.25">
      <c r="A668" t="s">
        <v>770</v>
      </c>
      <c r="B668">
        <v>2013</v>
      </c>
      <c r="C668">
        <v>12</v>
      </c>
      <c r="D668">
        <v>96</v>
      </c>
      <c r="E668">
        <v>4.5</v>
      </c>
      <c r="F668">
        <v>0.28999999999999998</v>
      </c>
      <c r="G668" s="1">
        <v>1382</v>
      </c>
    </row>
    <row r="669" spans="1:7" x14ac:dyDescent="0.25">
      <c r="A669" t="s">
        <v>814</v>
      </c>
      <c r="B669">
        <v>2013</v>
      </c>
      <c r="C669">
        <v>15</v>
      </c>
      <c r="D669">
        <v>102</v>
      </c>
      <c r="E669">
        <v>5.9</v>
      </c>
      <c r="F669">
        <v>0.01</v>
      </c>
      <c r="G669" s="1">
        <v>4306</v>
      </c>
    </row>
    <row r="670" spans="1:7" x14ac:dyDescent="0.25">
      <c r="A670" t="s">
        <v>828</v>
      </c>
      <c r="B670">
        <v>2013</v>
      </c>
      <c r="C670">
        <v>15</v>
      </c>
      <c r="D670">
        <v>117</v>
      </c>
      <c r="E670">
        <v>7</v>
      </c>
      <c r="F670">
        <v>0.05</v>
      </c>
      <c r="G670" s="1">
        <v>8077</v>
      </c>
    </row>
    <row r="671" spans="1:7" x14ac:dyDescent="0.25">
      <c r="A671" t="s">
        <v>837</v>
      </c>
      <c r="B671">
        <v>2013</v>
      </c>
      <c r="C671">
        <v>15</v>
      </c>
      <c r="D671">
        <v>98</v>
      </c>
      <c r="E671">
        <v>6.6</v>
      </c>
      <c r="F671">
        <v>2.46</v>
      </c>
      <c r="G671" s="1">
        <v>1950</v>
      </c>
    </row>
    <row r="672" spans="1:7" x14ac:dyDescent="0.25">
      <c r="A672" t="s">
        <v>838</v>
      </c>
      <c r="B672">
        <v>2013</v>
      </c>
      <c r="C672">
        <v>15</v>
      </c>
      <c r="D672">
        <v>104</v>
      </c>
      <c r="E672">
        <v>7.4</v>
      </c>
      <c r="F672">
        <v>13.24</v>
      </c>
      <c r="G672" s="1">
        <v>160658</v>
      </c>
    </row>
    <row r="673" spans="1:7" x14ac:dyDescent="0.25">
      <c r="A673" t="s">
        <v>852</v>
      </c>
      <c r="B673">
        <v>2013</v>
      </c>
      <c r="C673">
        <v>12</v>
      </c>
      <c r="D673">
        <v>100</v>
      </c>
      <c r="E673">
        <v>6.9</v>
      </c>
      <c r="F673">
        <v>2.46</v>
      </c>
      <c r="G673" s="1">
        <v>9651</v>
      </c>
    </row>
    <row r="674" spans="1:7" x14ac:dyDescent="0.25">
      <c r="A674" t="s">
        <v>858</v>
      </c>
      <c r="B674">
        <v>2013</v>
      </c>
      <c r="C674">
        <v>15</v>
      </c>
      <c r="D674">
        <v>89</v>
      </c>
      <c r="E674">
        <v>6.8</v>
      </c>
      <c r="F674">
        <v>2.46</v>
      </c>
      <c r="G674" s="1">
        <v>10245</v>
      </c>
    </row>
    <row r="675" spans="1:7" x14ac:dyDescent="0.25">
      <c r="A675" t="s">
        <v>864</v>
      </c>
      <c r="B675">
        <v>2013</v>
      </c>
      <c r="C675">
        <v>15</v>
      </c>
      <c r="D675">
        <v>133</v>
      </c>
      <c r="E675">
        <v>7.5</v>
      </c>
      <c r="F675">
        <v>0.19</v>
      </c>
      <c r="G675" s="1">
        <v>9388</v>
      </c>
    </row>
    <row r="676" spans="1:7" x14ac:dyDescent="0.25">
      <c r="A676" t="s">
        <v>869</v>
      </c>
      <c r="B676">
        <v>2013</v>
      </c>
      <c r="C676">
        <v>15</v>
      </c>
      <c r="D676">
        <v>120</v>
      </c>
      <c r="E676">
        <v>6.7</v>
      </c>
      <c r="F676">
        <v>0.25</v>
      </c>
      <c r="G676" s="1">
        <v>1477</v>
      </c>
    </row>
    <row r="677" spans="1:7" x14ac:dyDescent="0.25">
      <c r="A677" t="s">
        <v>872</v>
      </c>
      <c r="B677">
        <v>2013</v>
      </c>
      <c r="C677">
        <v>15</v>
      </c>
      <c r="D677">
        <v>96</v>
      </c>
      <c r="E677">
        <v>7.2</v>
      </c>
      <c r="F677">
        <v>2.46</v>
      </c>
      <c r="G677" s="1">
        <v>32161</v>
      </c>
    </row>
    <row r="678" spans="1:7" x14ac:dyDescent="0.25">
      <c r="A678" t="s">
        <v>876</v>
      </c>
      <c r="B678">
        <v>2013</v>
      </c>
      <c r="C678">
        <v>18</v>
      </c>
      <c r="D678">
        <v>99</v>
      </c>
      <c r="E678">
        <v>4.5</v>
      </c>
      <c r="F678">
        <v>0</v>
      </c>
      <c r="G678" s="1">
        <v>8217</v>
      </c>
    </row>
    <row r="679" spans="1:7" x14ac:dyDescent="0.25">
      <c r="A679" t="s">
        <v>878</v>
      </c>
      <c r="B679">
        <v>2013</v>
      </c>
      <c r="C679">
        <v>15</v>
      </c>
      <c r="D679">
        <v>92</v>
      </c>
      <c r="E679">
        <v>7.4</v>
      </c>
      <c r="F679">
        <v>2.46</v>
      </c>
      <c r="G679" s="1">
        <v>8712</v>
      </c>
    </row>
    <row r="680" spans="1:7" x14ac:dyDescent="0.25">
      <c r="A680" t="s">
        <v>894</v>
      </c>
      <c r="B680">
        <v>2013</v>
      </c>
      <c r="C680">
        <v>15</v>
      </c>
      <c r="D680">
        <v>104</v>
      </c>
      <c r="E680">
        <v>6.1</v>
      </c>
      <c r="F680">
        <v>2.46</v>
      </c>
      <c r="G680" s="1">
        <v>8314</v>
      </c>
    </row>
    <row r="681" spans="1:7" x14ac:dyDescent="0.25">
      <c r="A681" t="s">
        <v>899</v>
      </c>
      <c r="B681">
        <v>2013</v>
      </c>
      <c r="C681">
        <v>15</v>
      </c>
      <c r="D681">
        <v>85</v>
      </c>
      <c r="E681">
        <v>7.1</v>
      </c>
      <c r="F681">
        <v>1.36</v>
      </c>
      <c r="G681" s="1">
        <v>157005</v>
      </c>
    </row>
    <row r="682" spans="1:7" x14ac:dyDescent="0.25">
      <c r="A682" t="s">
        <v>912</v>
      </c>
      <c r="B682">
        <v>2013</v>
      </c>
      <c r="C682">
        <v>15</v>
      </c>
      <c r="D682">
        <v>120</v>
      </c>
      <c r="E682">
        <v>6.7</v>
      </c>
      <c r="F682">
        <v>0.57999999999999996</v>
      </c>
      <c r="G682" s="1">
        <v>2660</v>
      </c>
    </row>
    <row r="683" spans="1:7" x14ac:dyDescent="0.25">
      <c r="A683" t="s">
        <v>925</v>
      </c>
      <c r="B683">
        <v>2013</v>
      </c>
      <c r="C683">
        <v>15</v>
      </c>
      <c r="D683">
        <v>97</v>
      </c>
      <c r="E683">
        <v>7.4</v>
      </c>
      <c r="F683">
        <v>2.46</v>
      </c>
      <c r="G683" s="1">
        <v>1055</v>
      </c>
    </row>
    <row r="684" spans="1:7" x14ac:dyDescent="0.25">
      <c r="A684" t="s">
        <v>926</v>
      </c>
      <c r="B684">
        <v>2013</v>
      </c>
      <c r="C684">
        <v>12</v>
      </c>
      <c r="D684">
        <v>81</v>
      </c>
      <c r="E684">
        <v>7.5</v>
      </c>
      <c r="F684">
        <v>0.3</v>
      </c>
      <c r="G684">
        <v>977</v>
      </c>
    </row>
    <row r="685" spans="1:7" x14ac:dyDescent="0.25">
      <c r="A685" t="s">
        <v>931</v>
      </c>
      <c r="B685">
        <v>2013</v>
      </c>
      <c r="C685">
        <v>15</v>
      </c>
      <c r="D685">
        <v>98</v>
      </c>
      <c r="E685">
        <v>7.3</v>
      </c>
      <c r="F685">
        <v>2.46</v>
      </c>
      <c r="G685" s="1">
        <v>9976</v>
      </c>
    </row>
    <row r="686" spans="1:7" x14ac:dyDescent="0.25">
      <c r="A686" t="s">
        <v>932</v>
      </c>
      <c r="B686">
        <v>2013</v>
      </c>
      <c r="C686">
        <v>15</v>
      </c>
      <c r="D686">
        <v>95</v>
      </c>
      <c r="E686">
        <v>6</v>
      </c>
      <c r="F686">
        <v>2.46</v>
      </c>
      <c r="G686" s="1">
        <v>1177</v>
      </c>
    </row>
    <row r="687" spans="1:7" x14ac:dyDescent="0.25">
      <c r="A687" t="s">
        <v>939</v>
      </c>
      <c r="B687">
        <v>2013</v>
      </c>
      <c r="C687">
        <v>15</v>
      </c>
      <c r="D687">
        <v>102</v>
      </c>
      <c r="E687">
        <v>6.9</v>
      </c>
      <c r="F687">
        <v>2.46</v>
      </c>
      <c r="G687" s="1">
        <v>19004</v>
      </c>
    </row>
    <row r="688" spans="1:7" x14ac:dyDescent="0.25">
      <c r="A688" t="s">
        <v>952</v>
      </c>
      <c r="B688">
        <v>2013</v>
      </c>
      <c r="C688">
        <v>18</v>
      </c>
      <c r="D688">
        <v>99</v>
      </c>
      <c r="E688">
        <v>5.7</v>
      </c>
      <c r="F688">
        <v>0.02</v>
      </c>
      <c r="G688">
        <v>882</v>
      </c>
    </row>
    <row r="689" spans="1:7" x14ac:dyDescent="0.25">
      <c r="A689" t="s">
        <v>960</v>
      </c>
      <c r="B689">
        <v>2013</v>
      </c>
      <c r="C689">
        <v>15</v>
      </c>
      <c r="D689">
        <v>83</v>
      </c>
      <c r="E689">
        <v>7.7</v>
      </c>
      <c r="F689">
        <v>0.13</v>
      </c>
      <c r="G689" s="1">
        <v>1300</v>
      </c>
    </row>
    <row r="690" spans="1:7" x14ac:dyDescent="0.25">
      <c r="A690" t="s">
        <v>974</v>
      </c>
      <c r="B690">
        <v>2013</v>
      </c>
      <c r="C690">
        <v>15</v>
      </c>
      <c r="D690">
        <v>84</v>
      </c>
      <c r="E690">
        <v>5.3</v>
      </c>
      <c r="F690">
        <v>0</v>
      </c>
      <c r="G690" s="1">
        <v>16159</v>
      </c>
    </row>
    <row r="691" spans="1:7" x14ac:dyDescent="0.25">
      <c r="A691" t="s">
        <v>986</v>
      </c>
      <c r="B691">
        <v>2013</v>
      </c>
      <c r="C691">
        <v>15</v>
      </c>
      <c r="D691">
        <v>115</v>
      </c>
      <c r="E691">
        <v>7.7</v>
      </c>
      <c r="F691">
        <v>17.649999999999999</v>
      </c>
      <c r="G691" s="1">
        <v>121459</v>
      </c>
    </row>
    <row r="692" spans="1:7" x14ac:dyDescent="0.25">
      <c r="A692" t="s">
        <v>1010</v>
      </c>
      <c r="B692">
        <v>2013</v>
      </c>
      <c r="C692">
        <v>15</v>
      </c>
      <c r="D692">
        <v>101</v>
      </c>
      <c r="E692">
        <v>7.4</v>
      </c>
      <c r="F692">
        <v>2.46</v>
      </c>
      <c r="G692" s="1">
        <v>4929</v>
      </c>
    </row>
    <row r="693" spans="1:7" x14ac:dyDescent="0.25">
      <c r="A693" t="s">
        <v>1067</v>
      </c>
      <c r="B693">
        <v>2013</v>
      </c>
      <c r="C693">
        <v>12</v>
      </c>
      <c r="D693">
        <v>100</v>
      </c>
      <c r="E693">
        <v>6.2</v>
      </c>
      <c r="F693">
        <v>2.46</v>
      </c>
      <c r="G693">
        <v>504</v>
      </c>
    </row>
    <row r="694" spans="1:7" x14ac:dyDescent="0.25">
      <c r="A694" t="s">
        <v>1077</v>
      </c>
      <c r="B694">
        <v>2013</v>
      </c>
      <c r="C694">
        <v>15</v>
      </c>
      <c r="D694">
        <v>141</v>
      </c>
      <c r="E694">
        <v>7.7</v>
      </c>
      <c r="F694">
        <v>2.85</v>
      </c>
      <c r="G694" s="1">
        <v>95870</v>
      </c>
    </row>
    <row r="695" spans="1:7" x14ac:dyDescent="0.25">
      <c r="A695" t="s">
        <v>1100</v>
      </c>
      <c r="B695">
        <v>2013</v>
      </c>
      <c r="C695">
        <v>15</v>
      </c>
      <c r="D695">
        <v>87</v>
      </c>
      <c r="E695">
        <v>8.1</v>
      </c>
      <c r="F695">
        <v>0.14000000000000001</v>
      </c>
      <c r="G695" s="1">
        <v>48182</v>
      </c>
    </row>
    <row r="696" spans="1:7" x14ac:dyDescent="0.25">
      <c r="A696" t="s">
        <v>1120</v>
      </c>
      <c r="B696">
        <v>2013</v>
      </c>
      <c r="C696">
        <v>15</v>
      </c>
      <c r="D696">
        <v>96</v>
      </c>
      <c r="E696">
        <v>4.5</v>
      </c>
      <c r="F696">
        <v>0</v>
      </c>
      <c r="G696">
        <v>728</v>
      </c>
    </row>
    <row r="697" spans="1:7" x14ac:dyDescent="0.25">
      <c r="A697" t="s">
        <v>1187</v>
      </c>
      <c r="B697">
        <v>2013</v>
      </c>
      <c r="C697">
        <v>15</v>
      </c>
      <c r="D697">
        <v>107</v>
      </c>
      <c r="E697">
        <v>6.3</v>
      </c>
      <c r="F697">
        <v>2.46</v>
      </c>
      <c r="G697" s="1">
        <v>1140</v>
      </c>
    </row>
    <row r="698" spans="1:7" x14ac:dyDescent="0.25">
      <c r="A698" t="s">
        <v>1206</v>
      </c>
      <c r="B698">
        <v>2013</v>
      </c>
      <c r="C698">
        <v>12</v>
      </c>
      <c r="D698">
        <v>85</v>
      </c>
      <c r="E698">
        <v>5.2</v>
      </c>
      <c r="F698">
        <v>2.46</v>
      </c>
      <c r="G698" s="1">
        <v>12316</v>
      </c>
    </row>
    <row r="699" spans="1:7" x14ac:dyDescent="0.25">
      <c r="A699" t="s">
        <v>1253</v>
      </c>
      <c r="B699">
        <v>2013</v>
      </c>
      <c r="C699">
        <v>15</v>
      </c>
      <c r="D699">
        <v>114</v>
      </c>
      <c r="E699">
        <v>7</v>
      </c>
      <c r="F699">
        <v>1.08</v>
      </c>
      <c r="G699" s="1">
        <v>42143</v>
      </c>
    </row>
    <row r="700" spans="1:7" x14ac:dyDescent="0.25">
      <c r="A700" t="s">
        <v>1301</v>
      </c>
      <c r="B700">
        <v>2013</v>
      </c>
      <c r="C700">
        <v>18</v>
      </c>
      <c r="D700">
        <v>119</v>
      </c>
      <c r="E700">
        <v>6.8</v>
      </c>
      <c r="F700">
        <v>0.11</v>
      </c>
      <c r="G700" s="1">
        <v>5505</v>
      </c>
    </row>
    <row r="701" spans="1:7" x14ac:dyDescent="0.25">
      <c r="A701" t="s">
        <v>1322</v>
      </c>
      <c r="B701">
        <v>2013</v>
      </c>
      <c r="C701">
        <v>15</v>
      </c>
      <c r="D701">
        <v>100</v>
      </c>
      <c r="E701">
        <v>6.9</v>
      </c>
      <c r="F701">
        <v>0.01</v>
      </c>
      <c r="G701" s="1">
        <v>7228</v>
      </c>
    </row>
    <row r="702" spans="1:7" x14ac:dyDescent="0.25">
      <c r="A702" t="s">
        <v>1325</v>
      </c>
      <c r="B702">
        <v>2013</v>
      </c>
      <c r="C702">
        <v>15</v>
      </c>
      <c r="D702">
        <v>95</v>
      </c>
      <c r="E702">
        <v>5.2</v>
      </c>
      <c r="F702">
        <v>0</v>
      </c>
      <c r="G702" s="1">
        <v>2183</v>
      </c>
    </row>
    <row r="703" spans="1:7" x14ac:dyDescent="0.25">
      <c r="A703" t="s">
        <v>1406</v>
      </c>
      <c r="B703">
        <v>2013</v>
      </c>
      <c r="C703">
        <v>15</v>
      </c>
      <c r="D703">
        <v>100</v>
      </c>
      <c r="E703">
        <v>6.2</v>
      </c>
      <c r="F703">
        <v>0.75</v>
      </c>
      <c r="G703" s="1">
        <v>30728</v>
      </c>
    </row>
    <row r="704" spans="1:7" x14ac:dyDescent="0.25">
      <c r="A704" t="s">
        <v>1407</v>
      </c>
      <c r="B704">
        <v>2013</v>
      </c>
      <c r="C704">
        <v>12</v>
      </c>
      <c r="D704">
        <v>88</v>
      </c>
      <c r="E704">
        <v>5.6</v>
      </c>
      <c r="F704">
        <v>0.06</v>
      </c>
      <c r="G704" s="1">
        <v>3871</v>
      </c>
    </row>
    <row r="705" spans="1:7" x14ac:dyDescent="0.25">
      <c r="A705" t="s">
        <v>1436</v>
      </c>
      <c r="B705">
        <v>2013</v>
      </c>
      <c r="C705">
        <v>18</v>
      </c>
      <c r="D705">
        <v>85</v>
      </c>
      <c r="E705">
        <v>6.2</v>
      </c>
      <c r="F705">
        <v>0.31</v>
      </c>
      <c r="G705" s="1">
        <v>2574</v>
      </c>
    </row>
    <row r="706" spans="1:7" x14ac:dyDescent="0.25">
      <c r="A706" t="s">
        <v>1437</v>
      </c>
      <c r="B706">
        <v>2013</v>
      </c>
      <c r="C706">
        <v>15</v>
      </c>
      <c r="D706">
        <v>77</v>
      </c>
      <c r="E706">
        <v>6.5</v>
      </c>
      <c r="F706">
        <v>2.46</v>
      </c>
      <c r="G706">
        <v>113</v>
      </c>
    </row>
    <row r="707" spans="1:7" x14ac:dyDescent="0.25">
      <c r="A707" t="s">
        <v>1460</v>
      </c>
      <c r="B707">
        <v>2013</v>
      </c>
      <c r="C707">
        <v>15</v>
      </c>
      <c r="D707">
        <v>104</v>
      </c>
      <c r="E707">
        <v>6.4</v>
      </c>
      <c r="F707">
        <v>2.46</v>
      </c>
      <c r="G707" s="1">
        <v>4386</v>
      </c>
    </row>
    <row r="708" spans="1:7" x14ac:dyDescent="0.25">
      <c r="A708" t="s">
        <v>1482</v>
      </c>
      <c r="B708">
        <v>2013</v>
      </c>
      <c r="C708">
        <v>15</v>
      </c>
      <c r="D708">
        <v>85</v>
      </c>
      <c r="E708">
        <v>7.4</v>
      </c>
      <c r="F708">
        <v>7.0000000000000007E-2</v>
      </c>
      <c r="G708" s="1">
        <v>1109</v>
      </c>
    </row>
    <row r="709" spans="1:7" x14ac:dyDescent="0.25">
      <c r="A709" t="s">
        <v>1497</v>
      </c>
      <c r="B709">
        <v>2013</v>
      </c>
      <c r="C709">
        <v>12</v>
      </c>
      <c r="D709">
        <v>102</v>
      </c>
      <c r="E709">
        <v>7.3</v>
      </c>
      <c r="F709">
        <v>0.05</v>
      </c>
      <c r="G709" s="1">
        <v>7057</v>
      </c>
    </row>
    <row r="710" spans="1:7" x14ac:dyDescent="0.25">
      <c r="A710" t="s">
        <v>1538</v>
      </c>
      <c r="B710">
        <v>2013</v>
      </c>
      <c r="C710">
        <v>15</v>
      </c>
      <c r="D710">
        <v>90</v>
      </c>
      <c r="E710">
        <v>4.3</v>
      </c>
      <c r="F710">
        <v>8.83</v>
      </c>
      <c r="G710" s="1">
        <v>110520</v>
      </c>
    </row>
    <row r="711" spans="1:7" x14ac:dyDescent="0.25">
      <c r="A711" t="s">
        <v>1545</v>
      </c>
      <c r="B711">
        <v>2013</v>
      </c>
      <c r="C711">
        <v>15</v>
      </c>
      <c r="D711">
        <v>116</v>
      </c>
      <c r="E711">
        <v>5.7</v>
      </c>
      <c r="F711">
        <v>0.01</v>
      </c>
      <c r="G711" s="1">
        <v>11515</v>
      </c>
    </row>
    <row r="712" spans="1:7" x14ac:dyDescent="0.25">
      <c r="A712" t="s">
        <v>1604</v>
      </c>
      <c r="B712">
        <v>2013</v>
      </c>
      <c r="C712">
        <v>15</v>
      </c>
      <c r="D712">
        <v>114</v>
      </c>
      <c r="E712">
        <v>6.4</v>
      </c>
      <c r="F712">
        <v>2.46</v>
      </c>
      <c r="G712" s="1">
        <v>1529</v>
      </c>
    </row>
    <row r="713" spans="1:7" x14ac:dyDescent="0.25">
      <c r="A713" t="s">
        <v>1665</v>
      </c>
      <c r="B713">
        <v>2013</v>
      </c>
      <c r="C713">
        <v>15</v>
      </c>
      <c r="D713">
        <v>119</v>
      </c>
      <c r="E713">
        <v>6.5</v>
      </c>
      <c r="F713">
        <v>98.93</v>
      </c>
      <c r="G713" s="1">
        <v>288159</v>
      </c>
    </row>
    <row r="714" spans="1:7" x14ac:dyDescent="0.25">
      <c r="A714" t="s">
        <v>1709</v>
      </c>
      <c r="B714">
        <v>2013</v>
      </c>
      <c r="C714">
        <v>15</v>
      </c>
      <c r="D714">
        <v>118</v>
      </c>
      <c r="E714">
        <v>7.7</v>
      </c>
      <c r="F714">
        <v>2.46</v>
      </c>
      <c r="G714" s="1">
        <v>5518</v>
      </c>
    </row>
    <row r="715" spans="1:7" x14ac:dyDescent="0.25">
      <c r="A715" t="s">
        <v>1815</v>
      </c>
      <c r="B715">
        <v>2013</v>
      </c>
      <c r="C715">
        <v>15</v>
      </c>
      <c r="D715">
        <v>87</v>
      </c>
      <c r="E715">
        <v>6.6</v>
      </c>
      <c r="F715">
        <v>2.46</v>
      </c>
      <c r="G715">
        <v>197</v>
      </c>
    </row>
    <row r="716" spans="1:7" x14ac:dyDescent="0.25">
      <c r="A716" t="s">
        <v>346</v>
      </c>
      <c r="B716">
        <v>2014</v>
      </c>
      <c r="C716">
        <v>15</v>
      </c>
      <c r="D716">
        <v>109</v>
      </c>
      <c r="E716">
        <v>6.2</v>
      </c>
      <c r="F716">
        <v>2.46</v>
      </c>
      <c r="G716" s="1">
        <v>6234</v>
      </c>
    </row>
    <row r="717" spans="1:7" x14ac:dyDescent="0.25">
      <c r="A717" t="s">
        <v>354</v>
      </c>
      <c r="B717">
        <v>2014</v>
      </c>
      <c r="C717">
        <v>15</v>
      </c>
      <c r="D717">
        <v>92</v>
      </c>
      <c r="E717">
        <v>5.0999999999999996</v>
      </c>
      <c r="F717">
        <v>19.079999999999998</v>
      </c>
      <c r="G717" s="1">
        <v>83174</v>
      </c>
    </row>
    <row r="718" spans="1:7" x14ac:dyDescent="0.25">
      <c r="A718" t="s">
        <v>398</v>
      </c>
      <c r="B718">
        <v>2014</v>
      </c>
      <c r="C718">
        <v>15</v>
      </c>
      <c r="D718">
        <v>99</v>
      </c>
      <c r="E718">
        <v>8.1</v>
      </c>
      <c r="F718">
        <v>59.1</v>
      </c>
      <c r="G718" s="1">
        <v>865027</v>
      </c>
    </row>
    <row r="719" spans="1:7" x14ac:dyDescent="0.25">
      <c r="A719" t="s">
        <v>400</v>
      </c>
      <c r="B719">
        <v>2014</v>
      </c>
      <c r="C719">
        <v>15</v>
      </c>
      <c r="D719">
        <v>102</v>
      </c>
      <c r="E719">
        <v>6.2</v>
      </c>
      <c r="F719">
        <v>106.58</v>
      </c>
      <c r="G719" s="1">
        <v>311941</v>
      </c>
    </row>
    <row r="720" spans="1:7" x14ac:dyDescent="0.25">
      <c r="A720" t="s">
        <v>401</v>
      </c>
      <c r="B720">
        <v>2014</v>
      </c>
      <c r="C720">
        <v>12</v>
      </c>
      <c r="D720">
        <v>93</v>
      </c>
      <c r="E720">
        <v>6.3</v>
      </c>
      <c r="F720">
        <v>0.01</v>
      </c>
      <c r="G720" s="1">
        <v>38494</v>
      </c>
    </row>
    <row r="721" spans="1:7" x14ac:dyDescent="0.25">
      <c r="A721" t="s">
        <v>408</v>
      </c>
      <c r="B721">
        <v>2014</v>
      </c>
      <c r="C721">
        <v>12</v>
      </c>
      <c r="D721">
        <v>91</v>
      </c>
      <c r="E721">
        <v>5.7</v>
      </c>
      <c r="F721">
        <v>2.46</v>
      </c>
      <c r="G721" s="1">
        <v>20579</v>
      </c>
    </row>
    <row r="722" spans="1:7" x14ac:dyDescent="0.25">
      <c r="A722" t="s">
        <v>415</v>
      </c>
      <c r="B722">
        <v>2014</v>
      </c>
      <c r="C722">
        <v>15</v>
      </c>
      <c r="D722">
        <v>91</v>
      </c>
      <c r="E722">
        <v>6.2</v>
      </c>
      <c r="F722">
        <v>7.0000000000000007E-2</v>
      </c>
      <c r="G722" s="1">
        <v>15528</v>
      </c>
    </row>
    <row r="723" spans="1:7" x14ac:dyDescent="0.25">
      <c r="A723" t="s">
        <v>418</v>
      </c>
      <c r="B723">
        <v>2014</v>
      </c>
      <c r="C723">
        <v>15</v>
      </c>
      <c r="D723">
        <v>107</v>
      </c>
      <c r="E723">
        <v>6.7</v>
      </c>
      <c r="F723">
        <v>3.32</v>
      </c>
      <c r="G723" s="1">
        <v>54238</v>
      </c>
    </row>
    <row r="724" spans="1:7" x14ac:dyDescent="0.25">
      <c r="A724" t="s">
        <v>429</v>
      </c>
      <c r="B724">
        <v>2014</v>
      </c>
      <c r="C724">
        <v>15</v>
      </c>
      <c r="D724">
        <v>106</v>
      </c>
      <c r="E724">
        <v>6.2</v>
      </c>
      <c r="F724">
        <v>0.72</v>
      </c>
      <c r="G724" s="1">
        <v>12832</v>
      </c>
    </row>
    <row r="725" spans="1:7" x14ac:dyDescent="0.25">
      <c r="A725" t="s">
        <v>431</v>
      </c>
      <c r="B725">
        <v>2014</v>
      </c>
      <c r="C725">
        <v>15</v>
      </c>
      <c r="D725">
        <v>108</v>
      </c>
      <c r="E725">
        <v>5.2</v>
      </c>
      <c r="F725">
        <v>0.05</v>
      </c>
      <c r="G725" s="1">
        <v>16943</v>
      </c>
    </row>
    <row r="726" spans="1:7" x14ac:dyDescent="0.25">
      <c r="A726" t="s">
        <v>449</v>
      </c>
      <c r="B726">
        <v>2014</v>
      </c>
      <c r="C726">
        <v>15</v>
      </c>
      <c r="D726">
        <v>98</v>
      </c>
      <c r="E726">
        <v>5</v>
      </c>
      <c r="F726">
        <v>2.46</v>
      </c>
      <c r="G726" s="1">
        <v>25227</v>
      </c>
    </row>
    <row r="727" spans="1:7" x14ac:dyDescent="0.25">
      <c r="A727" t="s">
        <v>451</v>
      </c>
      <c r="B727">
        <v>2014</v>
      </c>
      <c r="C727">
        <v>15</v>
      </c>
      <c r="D727">
        <v>117</v>
      </c>
      <c r="E727">
        <v>6.1</v>
      </c>
      <c r="F727">
        <v>58.61</v>
      </c>
      <c r="G727" s="1">
        <v>236708</v>
      </c>
    </row>
    <row r="728" spans="1:7" x14ac:dyDescent="0.25">
      <c r="A728" t="s">
        <v>458</v>
      </c>
      <c r="B728">
        <v>2014</v>
      </c>
      <c r="C728">
        <v>15</v>
      </c>
      <c r="D728">
        <v>78</v>
      </c>
      <c r="E728">
        <v>6.6</v>
      </c>
      <c r="F728">
        <v>2.46</v>
      </c>
      <c r="G728" s="1">
        <v>14317</v>
      </c>
    </row>
    <row r="729" spans="1:7" x14ac:dyDescent="0.25">
      <c r="A729" t="s">
        <v>462</v>
      </c>
      <c r="B729">
        <v>2014</v>
      </c>
      <c r="C729">
        <v>15</v>
      </c>
      <c r="D729">
        <v>118</v>
      </c>
      <c r="E729">
        <v>6.1</v>
      </c>
      <c r="F729">
        <v>78.03</v>
      </c>
      <c r="G729" s="1">
        <v>137436</v>
      </c>
    </row>
    <row r="730" spans="1:7" x14ac:dyDescent="0.25">
      <c r="A730" t="s">
        <v>465</v>
      </c>
      <c r="B730">
        <v>2014</v>
      </c>
      <c r="C730">
        <v>12</v>
      </c>
      <c r="D730">
        <v>105</v>
      </c>
      <c r="E730">
        <v>5.5</v>
      </c>
      <c r="F730">
        <v>23.22</v>
      </c>
      <c r="G730" s="1">
        <v>115099</v>
      </c>
    </row>
    <row r="731" spans="1:7" x14ac:dyDescent="0.25">
      <c r="A731" t="s">
        <v>466</v>
      </c>
      <c r="B731">
        <v>2014</v>
      </c>
      <c r="C731">
        <v>15</v>
      </c>
      <c r="D731">
        <v>117</v>
      </c>
      <c r="E731">
        <v>6.2</v>
      </c>
      <c r="F731">
        <v>30.7</v>
      </c>
      <c r="G731" s="1">
        <v>96652</v>
      </c>
    </row>
    <row r="732" spans="1:7" x14ac:dyDescent="0.25">
      <c r="A732" t="s">
        <v>472</v>
      </c>
      <c r="B732">
        <v>2014</v>
      </c>
      <c r="C732">
        <v>15</v>
      </c>
      <c r="D732">
        <v>95</v>
      </c>
      <c r="E732">
        <v>6</v>
      </c>
      <c r="F732">
        <v>0.04</v>
      </c>
      <c r="G732" s="1">
        <v>56468</v>
      </c>
    </row>
    <row r="733" spans="1:7" x14ac:dyDescent="0.25">
      <c r="A733" t="s">
        <v>481</v>
      </c>
      <c r="B733">
        <v>2014</v>
      </c>
      <c r="C733">
        <v>15</v>
      </c>
      <c r="D733">
        <v>99</v>
      </c>
      <c r="E733">
        <v>4.2</v>
      </c>
      <c r="F733">
        <v>18.850000000000001</v>
      </c>
      <c r="G733" s="1">
        <v>55612</v>
      </c>
    </row>
    <row r="734" spans="1:7" x14ac:dyDescent="0.25">
      <c r="A734" t="s">
        <v>482</v>
      </c>
      <c r="B734">
        <v>2014</v>
      </c>
      <c r="C734">
        <v>12</v>
      </c>
      <c r="D734">
        <v>90</v>
      </c>
      <c r="E734">
        <v>6.5</v>
      </c>
      <c r="F734">
        <v>0.01</v>
      </c>
      <c r="G734" s="1">
        <v>26725</v>
      </c>
    </row>
    <row r="735" spans="1:7" x14ac:dyDescent="0.25">
      <c r="A735" t="s">
        <v>483</v>
      </c>
      <c r="B735">
        <v>2014</v>
      </c>
      <c r="C735">
        <v>12</v>
      </c>
      <c r="D735">
        <v>105</v>
      </c>
      <c r="E735">
        <v>6.2</v>
      </c>
      <c r="F735">
        <v>50.58</v>
      </c>
      <c r="G735" s="1">
        <v>136755</v>
      </c>
    </row>
    <row r="736" spans="1:7" x14ac:dyDescent="0.25">
      <c r="A736" t="s">
        <v>484</v>
      </c>
      <c r="B736">
        <v>2014</v>
      </c>
      <c r="C736">
        <v>15</v>
      </c>
      <c r="D736">
        <v>104</v>
      </c>
      <c r="E736">
        <v>5.4</v>
      </c>
      <c r="F736">
        <v>7.79</v>
      </c>
      <c r="G736" s="1">
        <v>56374</v>
      </c>
    </row>
    <row r="737" spans="1:7" x14ac:dyDescent="0.25">
      <c r="A737" t="s">
        <v>486</v>
      </c>
      <c r="B737">
        <v>2014</v>
      </c>
      <c r="C737">
        <v>12</v>
      </c>
      <c r="D737">
        <v>108</v>
      </c>
      <c r="E737">
        <v>5.7</v>
      </c>
      <c r="F737">
        <v>2.46</v>
      </c>
      <c r="G737" s="1">
        <v>12918</v>
      </c>
    </row>
    <row r="738" spans="1:7" x14ac:dyDescent="0.25">
      <c r="A738" t="s">
        <v>487</v>
      </c>
      <c r="B738">
        <v>2014</v>
      </c>
      <c r="C738">
        <v>15</v>
      </c>
      <c r="D738">
        <v>104</v>
      </c>
      <c r="E738">
        <v>6</v>
      </c>
      <c r="F738">
        <v>2.46</v>
      </c>
      <c r="G738" s="1">
        <v>1492</v>
      </c>
    </row>
    <row r="739" spans="1:7" x14ac:dyDescent="0.25">
      <c r="A739" t="s">
        <v>489</v>
      </c>
      <c r="B739">
        <v>2014</v>
      </c>
      <c r="C739">
        <v>15</v>
      </c>
      <c r="D739">
        <v>118</v>
      </c>
      <c r="E739">
        <v>6.1</v>
      </c>
      <c r="F739">
        <v>0.02</v>
      </c>
      <c r="G739" s="1">
        <v>56129</v>
      </c>
    </row>
    <row r="740" spans="1:7" x14ac:dyDescent="0.25">
      <c r="A740" t="s">
        <v>494</v>
      </c>
      <c r="B740">
        <v>2014</v>
      </c>
      <c r="C740">
        <v>12</v>
      </c>
      <c r="D740">
        <v>104</v>
      </c>
      <c r="E740">
        <v>6</v>
      </c>
      <c r="F740">
        <v>2.46</v>
      </c>
      <c r="G740" s="1">
        <v>1089</v>
      </c>
    </row>
    <row r="741" spans="1:7" x14ac:dyDescent="0.25">
      <c r="A741" t="s">
        <v>512</v>
      </c>
      <c r="B741">
        <v>2014</v>
      </c>
      <c r="C741">
        <v>15</v>
      </c>
      <c r="D741">
        <v>104</v>
      </c>
      <c r="E741">
        <v>6.2</v>
      </c>
      <c r="F741">
        <v>23.39</v>
      </c>
      <c r="G741" s="1">
        <v>47092</v>
      </c>
    </row>
    <row r="742" spans="1:7" x14ac:dyDescent="0.25">
      <c r="A742" t="s">
        <v>515</v>
      </c>
      <c r="B742">
        <v>2014</v>
      </c>
      <c r="C742">
        <v>12</v>
      </c>
      <c r="D742">
        <v>106</v>
      </c>
      <c r="E742">
        <v>6.9</v>
      </c>
      <c r="F742">
        <v>92.17</v>
      </c>
      <c r="G742" s="1">
        <v>273983</v>
      </c>
    </row>
    <row r="743" spans="1:7" x14ac:dyDescent="0.25">
      <c r="A743" t="s">
        <v>520</v>
      </c>
      <c r="B743">
        <v>2014</v>
      </c>
      <c r="C743">
        <v>15</v>
      </c>
      <c r="D743">
        <v>113</v>
      </c>
      <c r="E743">
        <v>7.9</v>
      </c>
      <c r="F743">
        <v>100.21</v>
      </c>
      <c r="G743" s="1">
        <v>718442</v>
      </c>
    </row>
    <row r="744" spans="1:7" x14ac:dyDescent="0.25">
      <c r="A744" t="s">
        <v>521</v>
      </c>
      <c r="B744">
        <v>2014</v>
      </c>
      <c r="C744">
        <v>15</v>
      </c>
      <c r="D744">
        <v>138</v>
      </c>
      <c r="E744">
        <v>5.8</v>
      </c>
      <c r="F744">
        <v>101.2</v>
      </c>
      <c r="G744" s="1">
        <v>263415</v>
      </c>
    </row>
    <row r="745" spans="1:7" x14ac:dyDescent="0.25">
      <c r="A745" t="s">
        <v>522</v>
      </c>
      <c r="B745">
        <v>2014</v>
      </c>
      <c r="C745">
        <v>15</v>
      </c>
      <c r="D745">
        <v>139</v>
      </c>
      <c r="E745">
        <v>6.6</v>
      </c>
      <c r="F745">
        <v>150.94999999999999</v>
      </c>
      <c r="G745" s="1">
        <v>479685</v>
      </c>
    </row>
    <row r="746" spans="1:7" x14ac:dyDescent="0.25">
      <c r="A746" t="s">
        <v>523</v>
      </c>
      <c r="B746">
        <v>2014</v>
      </c>
      <c r="C746">
        <v>15</v>
      </c>
      <c r="D746">
        <v>103</v>
      </c>
      <c r="E746">
        <v>5.7</v>
      </c>
      <c r="F746">
        <v>2.46</v>
      </c>
      <c r="G746" s="1">
        <v>20932</v>
      </c>
    </row>
    <row r="747" spans="1:7" x14ac:dyDescent="0.25">
      <c r="A747" t="s">
        <v>524</v>
      </c>
      <c r="B747">
        <v>2014</v>
      </c>
      <c r="C747">
        <v>15</v>
      </c>
      <c r="D747">
        <v>102</v>
      </c>
      <c r="E747">
        <v>6.4</v>
      </c>
      <c r="F747">
        <v>5.55</v>
      </c>
      <c r="G747" s="1">
        <v>3575</v>
      </c>
    </row>
    <row r="748" spans="1:7" x14ac:dyDescent="0.25">
      <c r="A748" t="s">
        <v>527</v>
      </c>
      <c r="B748">
        <v>2014</v>
      </c>
      <c r="C748">
        <v>15</v>
      </c>
      <c r="D748">
        <v>110</v>
      </c>
      <c r="E748">
        <v>6.8</v>
      </c>
      <c r="F748">
        <v>28.83</v>
      </c>
      <c r="G748" s="1">
        <v>65071</v>
      </c>
    </row>
    <row r="749" spans="1:7" x14ac:dyDescent="0.25">
      <c r="A749" t="s">
        <v>531</v>
      </c>
      <c r="B749">
        <v>2014</v>
      </c>
      <c r="C749">
        <v>15</v>
      </c>
      <c r="D749">
        <v>103</v>
      </c>
      <c r="E749">
        <v>6.6</v>
      </c>
      <c r="F749">
        <v>0.06</v>
      </c>
      <c r="G749" s="1">
        <v>8331</v>
      </c>
    </row>
    <row r="750" spans="1:7" x14ac:dyDescent="0.25">
      <c r="A750" t="s">
        <v>532</v>
      </c>
      <c r="B750">
        <v>2014</v>
      </c>
      <c r="C750">
        <v>18</v>
      </c>
      <c r="D750">
        <v>109</v>
      </c>
      <c r="E750">
        <v>5.7</v>
      </c>
      <c r="F750">
        <v>10.51</v>
      </c>
      <c r="G750" s="1">
        <v>65562</v>
      </c>
    </row>
    <row r="751" spans="1:7" x14ac:dyDescent="0.25">
      <c r="A751" t="s">
        <v>533</v>
      </c>
      <c r="B751">
        <v>2014</v>
      </c>
      <c r="C751">
        <v>18</v>
      </c>
      <c r="D751">
        <v>104</v>
      </c>
      <c r="E751">
        <v>6.3</v>
      </c>
      <c r="F751">
        <v>0.21</v>
      </c>
      <c r="G751" s="1">
        <v>11621</v>
      </c>
    </row>
    <row r="752" spans="1:7" x14ac:dyDescent="0.25">
      <c r="A752" t="s">
        <v>536</v>
      </c>
      <c r="B752">
        <v>2014</v>
      </c>
      <c r="C752">
        <v>15</v>
      </c>
      <c r="D752">
        <v>132</v>
      </c>
      <c r="E752">
        <v>7.9</v>
      </c>
      <c r="F752">
        <v>233.92</v>
      </c>
      <c r="G752" s="1">
        <v>734897</v>
      </c>
    </row>
    <row r="753" spans="1:7" x14ac:dyDescent="0.25">
      <c r="A753" t="s">
        <v>537</v>
      </c>
      <c r="B753">
        <v>2014</v>
      </c>
      <c r="C753">
        <v>15</v>
      </c>
      <c r="D753">
        <v>132</v>
      </c>
      <c r="E753">
        <v>6.4</v>
      </c>
      <c r="F753">
        <v>43.58</v>
      </c>
      <c r="G753" s="1">
        <v>176603</v>
      </c>
    </row>
    <row r="754" spans="1:7" x14ac:dyDescent="0.25">
      <c r="A754" t="s">
        <v>538</v>
      </c>
      <c r="B754">
        <v>2014</v>
      </c>
      <c r="C754">
        <v>15</v>
      </c>
      <c r="D754">
        <v>119</v>
      </c>
      <c r="E754">
        <v>6.2</v>
      </c>
      <c r="F754">
        <v>23.02</v>
      </c>
      <c r="G754" s="1">
        <v>236434</v>
      </c>
    </row>
    <row r="755" spans="1:7" x14ac:dyDescent="0.25">
      <c r="A755" t="s">
        <v>540</v>
      </c>
      <c r="B755">
        <v>2014</v>
      </c>
      <c r="C755">
        <v>15</v>
      </c>
      <c r="D755">
        <v>126</v>
      </c>
      <c r="E755">
        <v>7.7</v>
      </c>
      <c r="F755">
        <v>124.87</v>
      </c>
      <c r="G755" s="1">
        <v>394456</v>
      </c>
    </row>
    <row r="756" spans="1:7" x14ac:dyDescent="0.25">
      <c r="A756" t="s">
        <v>542</v>
      </c>
      <c r="B756">
        <v>2014</v>
      </c>
      <c r="C756">
        <v>15</v>
      </c>
      <c r="D756">
        <v>109</v>
      </c>
      <c r="E756">
        <v>6</v>
      </c>
      <c r="F756">
        <v>83.91</v>
      </c>
      <c r="G756" s="1">
        <v>147747</v>
      </c>
    </row>
    <row r="757" spans="1:7" x14ac:dyDescent="0.25">
      <c r="A757" t="s">
        <v>544</v>
      </c>
      <c r="B757">
        <v>2014</v>
      </c>
      <c r="C757">
        <v>12</v>
      </c>
      <c r="D757">
        <v>142</v>
      </c>
      <c r="E757">
        <v>6.6</v>
      </c>
      <c r="F757">
        <v>202.85</v>
      </c>
      <c r="G757" s="1">
        <v>526293</v>
      </c>
    </row>
    <row r="758" spans="1:7" x14ac:dyDescent="0.25">
      <c r="A758" t="s">
        <v>545</v>
      </c>
      <c r="B758">
        <v>2014</v>
      </c>
      <c r="C758">
        <v>12</v>
      </c>
      <c r="D758">
        <v>123</v>
      </c>
      <c r="E758">
        <v>6.4</v>
      </c>
      <c r="F758">
        <v>200.68</v>
      </c>
      <c r="G758" s="1">
        <v>429753</v>
      </c>
    </row>
    <row r="759" spans="1:7" x14ac:dyDescent="0.25">
      <c r="A759" t="s">
        <v>547</v>
      </c>
      <c r="B759">
        <v>2014</v>
      </c>
      <c r="C759">
        <v>13</v>
      </c>
      <c r="D759">
        <v>103</v>
      </c>
      <c r="E759">
        <v>6.4</v>
      </c>
      <c r="F759">
        <v>71.959999999999994</v>
      </c>
      <c r="G759" s="1">
        <v>159927</v>
      </c>
    </row>
    <row r="760" spans="1:7" x14ac:dyDescent="0.25">
      <c r="A760" t="s">
        <v>549</v>
      </c>
      <c r="B760">
        <v>2014</v>
      </c>
      <c r="C760">
        <v>18</v>
      </c>
      <c r="D760">
        <v>103</v>
      </c>
      <c r="E760">
        <v>6.4</v>
      </c>
      <c r="F760">
        <v>1.1100000000000001</v>
      </c>
      <c r="G760" s="1">
        <v>50471</v>
      </c>
    </row>
    <row r="761" spans="1:7" x14ac:dyDescent="0.25">
      <c r="A761" t="s">
        <v>550</v>
      </c>
      <c r="B761">
        <v>2014</v>
      </c>
      <c r="C761">
        <v>15</v>
      </c>
      <c r="D761">
        <v>93</v>
      </c>
      <c r="E761">
        <v>4.5999999999999996</v>
      </c>
      <c r="F761">
        <v>2.46</v>
      </c>
      <c r="G761" s="1">
        <v>19071</v>
      </c>
    </row>
    <row r="762" spans="1:7" x14ac:dyDescent="0.25">
      <c r="A762" t="s">
        <v>551</v>
      </c>
      <c r="B762">
        <v>2014</v>
      </c>
      <c r="C762">
        <v>15</v>
      </c>
      <c r="D762">
        <v>125</v>
      </c>
      <c r="E762">
        <v>5.6</v>
      </c>
      <c r="F762">
        <v>2.46</v>
      </c>
      <c r="G762" s="1">
        <v>3957</v>
      </c>
    </row>
    <row r="763" spans="1:7" x14ac:dyDescent="0.25">
      <c r="A763" t="s">
        <v>552</v>
      </c>
      <c r="B763">
        <v>2014</v>
      </c>
      <c r="C763">
        <v>15</v>
      </c>
      <c r="D763">
        <v>126</v>
      </c>
      <c r="E763">
        <v>6.1</v>
      </c>
      <c r="F763">
        <v>39.32</v>
      </c>
      <c r="G763" s="1">
        <v>193063</v>
      </c>
    </row>
    <row r="764" spans="1:7" x14ac:dyDescent="0.25">
      <c r="A764" t="s">
        <v>553</v>
      </c>
      <c r="B764">
        <v>2014</v>
      </c>
      <c r="C764">
        <v>15</v>
      </c>
      <c r="D764">
        <v>112</v>
      </c>
      <c r="E764">
        <v>6.7</v>
      </c>
      <c r="F764">
        <v>2.46</v>
      </c>
      <c r="G764" s="1">
        <v>4287</v>
      </c>
    </row>
    <row r="765" spans="1:7" x14ac:dyDescent="0.25">
      <c r="A765" t="s">
        <v>559</v>
      </c>
      <c r="B765">
        <v>2014</v>
      </c>
      <c r="C765">
        <v>15</v>
      </c>
      <c r="D765">
        <v>114</v>
      </c>
      <c r="E765">
        <v>7.3</v>
      </c>
      <c r="F765">
        <v>31.42</v>
      </c>
      <c r="G765" s="1">
        <v>226653</v>
      </c>
    </row>
    <row r="766" spans="1:7" x14ac:dyDescent="0.25">
      <c r="A766" t="s">
        <v>560</v>
      </c>
      <c r="B766">
        <v>2014</v>
      </c>
      <c r="C766">
        <v>18</v>
      </c>
      <c r="D766">
        <v>95</v>
      </c>
      <c r="E766">
        <v>6.9</v>
      </c>
      <c r="F766">
        <v>0.64</v>
      </c>
      <c r="G766" s="1">
        <v>81559</v>
      </c>
    </row>
    <row r="767" spans="1:7" x14ac:dyDescent="0.25">
      <c r="A767" t="s">
        <v>561</v>
      </c>
      <c r="B767">
        <v>2014</v>
      </c>
      <c r="C767">
        <v>15</v>
      </c>
      <c r="D767">
        <v>97</v>
      </c>
      <c r="E767">
        <v>6.4</v>
      </c>
      <c r="F767">
        <v>45.09</v>
      </c>
      <c r="G767" s="1">
        <v>123643</v>
      </c>
    </row>
    <row r="768" spans="1:7" x14ac:dyDescent="0.25">
      <c r="A768" t="s">
        <v>564</v>
      </c>
      <c r="B768">
        <v>2014</v>
      </c>
      <c r="C768">
        <v>15</v>
      </c>
      <c r="D768">
        <v>108</v>
      </c>
      <c r="E768">
        <v>5.8</v>
      </c>
      <c r="F768">
        <v>2.46</v>
      </c>
      <c r="G768" s="1">
        <v>9008</v>
      </c>
    </row>
    <row r="769" spans="1:7" x14ac:dyDescent="0.25">
      <c r="A769" t="s">
        <v>565</v>
      </c>
      <c r="B769">
        <v>2014</v>
      </c>
      <c r="C769">
        <v>15</v>
      </c>
      <c r="D769">
        <v>96</v>
      </c>
      <c r="E769">
        <v>6.2</v>
      </c>
      <c r="F769">
        <v>2.46</v>
      </c>
      <c r="G769" s="1">
        <v>3080</v>
      </c>
    </row>
    <row r="770" spans="1:7" x14ac:dyDescent="0.25">
      <c r="A770" t="s">
        <v>566</v>
      </c>
      <c r="B770">
        <v>2014</v>
      </c>
      <c r="C770">
        <v>15</v>
      </c>
      <c r="D770">
        <v>111</v>
      </c>
      <c r="E770">
        <v>6.2</v>
      </c>
      <c r="F770">
        <v>0.35</v>
      </c>
      <c r="G770" s="1">
        <v>42413</v>
      </c>
    </row>
    <row r="771" spans="1:7" x14ac:dyDescent="0.25">
      <c r="A771" t="s">
        <v>569</v>
      </c>
      <c r="B771">
        <v>2014</v>
      </c>
      <c r="C771">
        <v>12</v>
      </c>
      <c r="D771">
        <v>116</v>
      </c>
      <c r="E771">
        <v>6.1</v>
      </c>
      <c r="F771">
        <v>43.14</v>
      </c>
      <c r="G771" s="1">
        <v>195707</v>
      </c>
    </row>
    <row r="772" spans="1:7" x14ac:dyDescent="0.25">
      <c r="A772" t="s">
        <v>570</v>
      </c>
      <c r="B772">
        <v>2014</v>
      </c>
      <c r="C772">
        <v>15</v>
      </c>
      <c r="D772">
        <v>97</v>
      </c>
      <c r="E772">
        <v>6.3</v>
      </c>
      <c r="F772">
        <v>150.16</v>
      </c>
      <c r="G772" s="1">
        <v>324212</v>
      </c>
    </row>
    <row r="773" spans="1:7" x14ac:dyDescent="0.25">
      <c r="A773" t="s">
        <v>573</v>
      </c>
      <c r="B773">
        <v>2014</v>
      </c>
      <c r="C773">
        <v>12</v>
      </c>
      <c r="D773">
        <v>96</v>
      </c>
      <c r="E773">
        <v>6.2</v>
      </c>
      <c r="F773">
        <v>0.51</v>
      </c>
      <c r="G773" s="1">
        <v>33188</v>
      </c>
    </row>
    <row r="774" spans="1:7" x14ac:dyDescent="0.25">
      <c r="A774" t="s">
        <v>574</v>
      </c>
      <c r="B774">
        <v>2014</v>
      </c>
      <c r="C774">
        <v>12</v>
      </c>
      <c r="D774">
        <v>90</v>
      </c>
      <c r="E774">
        <v>5.5</v>
      </c>
      <c r="F774">
        <v>2.46</v>
      </c>
      <c r="G774" s="1">
        <v>17051</v>
      </c>
    </row>
    <row r="775" spans="1:7" x14ac:dyDescent="0.25">
      <c r="A775" t="s">
        <v>575</v>
      </c>
      <c r="B775">
        <v>2014</v>
      </c>
      <c r="C775">
        <v>15</v>
      </c>
      <c r="D775">
        <v>122</v>
      </c>
      <c r="E775">
        <v>6.6</v>
      </c>
      <c r="F775">
        <v>2.4300000000000002</v>
      </c>
      <c r="G775" s="1">
        <v>34865</v>
      </c>
    </row>
    <row r="776" spans="1:7" x14ac:dyDescent="0.25">
      <c r="A776" t="s">
        <v>577</v>
      </c>
      <c r="B776">
        <v>2014</v>
      </c>
      <c r="C776">
        <v>18</v>
      </c>
      <c r="D776">
        <v>108</v>
      </c>
      <c r="E776">
        <v>6.3</v>
      </c>
      <c r="F776">
        <v>24.98</v>
      </c>
      <c r="G776" s="1">
        <v>69841</v>
      </c>
    </row>
    <row r="777" spans="1:7" x14ac:dyDescent="0.25">
      <c r="A777" t="s">
        <v>578</v>
      </c>
      <c r="B777">
        <v>2014</v>
      </c>
      <c r="C777">
        <v>15</v>
      </c>
      <c r="D777">
        <v>165</v>
      </c>
      <c r="E777">
        <v>5.6</v>
      </c>
      <c r="F777">
        <v>245.44</v>
      </c>
      <c r="G777" s="1">
        <v>327773</v>
      </c>
    </row>
    <row r="778" spans="1:7" x14ac:dyDescent="0.25">
      <c r="A778" t="s">
        <v>579</v>
      </c>
      <c r="B778">
        <v>2014</v>
      </c>
      <c r="C778">
        <v>15</v>
      </c>
      <c r="D778">
        <v>112</v>
      </c>
      <c r="E778">
        <v>6.4</v>
      </c>
      <c r="F778">
        <v>2.46</v>
      </c>
      <c r="G778" s="1">
        <v>22056</v>
      </c>
    </row>
    <row r="779" spans="1:7" x14ac:dyDescent="0.25">
      <c r="A779" t="s">
        <v>580</v>
      </c>
      <c r="B779">
        <v>2014</v>
      </c>
      <c r="C779">
        <v>12</v>
      </c>
      <c r="D779">
        <v>124</v>
      </c>
      <c r="E779">
        <v>7</v>
      </c>
      <c r="F779">
        <v>36.450000000000003</v>
      </c>
      <c r="G779" s="1">
        <v>47385</v>
      </c>
    </row>
    <row r="780" spans="1:7" x14ac:dyDescent="0.25">
      <c r="A780" t="s">
        <v>581</v>
      </c>
      <c r="B780">
        <v>2014</v>
      </c>
      <c r="C780">
        <v>15</v>
      </c>
      <c r="D780">
        <v>91</v>
      </c>
      <c r="E780">
        <v>6.4</v>
      </c>
      <c r="F780">
        <v>0.03</v>
      </c>
      <c r="G780" s="1">
        <v>29717</v>
      </c>
    </row>
    <row r="781" spans="1:7" x14ac:dyDescent="0.25">
      <c r="A781" t="s">
        <v>582</v>
      </c>
      <c r="B781">
        <v>2014</v>
      </c>
      <c r="C781">
        <v>18</v>
      </c>
      <c r="D781">
        <v>88</v>
      </c>
      <c r="E781">
        <v>5.3</v>
      </c>
      <c r="F781">
        <v>2.46</v>
      </c>
      <c r="G781" s="1">
        <v>5099</v>
      </c>
    </row>
    <row r="782" spans="1:7" x14ac:dyDescent="0.25">
      <c r="A782" t="s">
        <v>585</v>
      </c>
      <c r="B782">
        <v>2014</v>
      </c>
      <c r="C782">
        <v>12</v>
      </c>
      <c r="D782">
        <v>109</v>
      </c>
      <c r="E782">
        <v>6</v>
      </c>
      <c r="F782">
        <v>2.46</v>
      </c>
      <c r="G782" s="1">
        <v>58738</v>
      </c>
    </row>
    <row r="783" spans="1:7" x14ac:dyDescent="0.25">
      <c r="A783" t="s">
        <v>588</v>
      </c>
      <c r="B783">
        <v>2014</v>
      </c>
      <c r="C783">
        <v>12</v>
      </c>
      <c r="D783">
        <v>99</v>
      </c>
      <c r="E783">
        <v>6.6</v>
      </c>
      <c r="F783">
        <v>2.46</v>
      </c>
      <c r="G783" s="1">
        <v>4776</v>
      </c>
    </row>
    <row r="784" spans="1:7" x14ac:dyDescent="0.25">
      <c r="A784" t="s">
        <v>589</v>
      </c>
      <c r="B784">
        <v>2014</v>
      </c>
      <c r="C784">
        <v>15</v>
      </c>
      <c r="D784">
        <v>114</v>
      </c>
      <c r="E784">
        <v>6.5</v>
      </c>
      <c r="F784">
        <v>26.31</v>
      </c>
      <c r="G784" s="1">
        <v>125898</v>
      </c>
    </row>
    <row r="785" spans="1:7" x14ac:dyDescent="0.25">
      <c r="A785" t="s">
        <v>590</v>
      </c>
      <c r="B785">
        <v>2014</v>
      </c>
      <c r="C785">
        <v>15</v>
      </c>
      <c r="D785">
        <v>109</v>
      </c>
      <c r="E785">
        <v>6.7</v>
      </c>
      <c r="F785">
        <v>0.41</v>
      </c>
      <c r="G785" s="1">
        <v>37112</v>
      </c>
    </row>
    <row r="786" spans="1:7" x14ac:dyDescent="0.25">
      <c r="A786" t="s">
        <v>591</v>
      </c>
      <c r="B786">
        <v>2014</v>
      </c>
      <c r="C786">
        <v>15</v>
      </c>
      <c r="D786">
        <v>102</v>
      </c>
      <c r="E786">
        <v>6.5</v>
      </c>
      <c r="F786">
        <v>13.76</v>
      </c>
      <c r="G786" s="1">
        <v>168286</v>
      </c>
    </row>
    <row r="787" spans="1:7" x14ac:dyDescent="0.25">
      <c r="A787" t="s">
        <v>595</v>
      </c>
      <c r="B787">
        <v>2014</v>
      </c>
      <c r="C787">
        <v>15</v>
      </c>
      <c r="D787">
        <v>100</v>
      </c>
      <c r="E787">
        <v>5.8</v>
      </c>
      <c r="F787">
        <v>2.46</v>
      </c>
      <c r="G787" s="1">
        <v>10219</v>
      </c>
    </row>
    <row r="788" spans="1:7" x14ac:dyDescent="0.25">
      <c r="A788" t="s">
        <v>596</v>
      </c>
      <c r="B788">
        <v>2014</v>
      </c>
      <c r="C788">
        <v>15</v>
      </c>
      <c r="D788">
        <v>110</v>
      </c>
      <c r="E788">
        <v>3.1</v>
      </c>
      <c r="F788">
        <v>14</v>
      </c>
      <c r="G788" s="1">
        <v>41843</v>
      </c>
    </row>
    <row r="789" spans="1:7" x14ac:dyDescent="0.25">
      <c r="A789" t="s">
        <v>597</v>
      </c>
      <c r="B789">
        <v>2014</v>
      </c>
      <c r="C789">
        <v>15</v>
      </c>
      <c r="D789">
        <v>102</v>
      </c>
      <c r="E789">
        <v>6.3</v>
      </c>
      <c r="F789">
        <v>0.01</v>
      </c>
      <c r="G789" s="1">
        <v>4201</v>
      </c>
    </row>
    <row r="790" spans="1:7" x14ac:dyDescent="0.25">
      <c r="A790" t="s">
        <v>598</v>
      </c>
      <c r="B790">
        <v>2014</v>
      </c>
      <c r="C790">
        <v>15</v>
      </c>
      <c r="D790">
        <v>130</v>
      </c>
      <c r="E790">
        <v>7.6</v>
      </c>
      <c r="F790">
        <v>208.55</v>
      </c>
      <c r="G790" s="1">
        <v>459087</v>
      </c>
    </row>
    <row r="791" spans="1:7" x14ac:dyDescent="0.25">
      <c r="A791" t="s">
        <v>600</v>
      </c>
      <c r="B791">
        <v>2014</v>
      </c>
      <c r="C791">
        <v>18</v>
      </c>
      <c r="D791">
        <v>141</v>
      </c>
      <c r="E791">
        <v>7.4</v>
      </c>
      <c r="F791">
        <v>47.12</v>
      </c>
      <c r="G791" s="1">
        <v>198828</v>
      </c>
    </row>
    <row r="792" spans="1:7" x14ac:dyDescent="0.25">
      <c r="A792" t="s">
        <v>604</v>
      </c>
      <c r="B792">
        <v>2014</v>
      </c>
      <c r="C792">
        <v>18</v>
      </c>
      <c r="D792">
        <v>121</v>
      </c>
      <c r="E792">
        <v>6.7</v>
      </c>
      <c r="F792">
        <v>2.46</v>
      </c>
      <c r="G792" s="1">
        <v>3009</v>
      </c>
    </row>
    <row r="793" spans="1:7" x14ac:dyDescent="0.25">
      <c r="A793" t="s">
        <v>605</v>
      </c>
      <c r="B793">
        <v>2014</v>
      </c>
      <c r="C793">
        <v>15</v>
      </c>
      <c r="D793">
        <v>107</v>
      </c>
      <c r="E793">
        <v>6.7</v>
      </c>
      <c r="F793">
        <v>50.47</v>
      </c>
      <c r="G793" s="1">
        <v>127232</v>
      </c>
    </row>
    <row r="794" spans="1:7" x14ac:dyDescent="0.25">
      <c r="A794" t="s">
        <v>607</v>
      </c>
      <c r="B794">
        <v>2014</v>
      </c>
      <c r="C794">
        <v>15</v>
      </c>
      <c r="D794">
        <v>112</v>
      </c>
      <c r="E794">
        <v>6.4</v>
      </c>
      <c r="F794">
        <v>0.1</v>
      </c>
      <c r="G794" s="1">
        <v>9176</v>
      </c>
    </row>
    <row r="795" spans="1:7" x14ac:dyDescent="0.25">
      <c r="A795" t="s">
        <v>608</v>
      </c>
      <c r="B795">
        <v>2014</v>
      </c>
      <c r="C795">
        <v>12</v>
      </c>
      <c r="D795">
        <v>97</v>
      </c>
      <c r="E795">
        <v>7.4</v>
      </c>
      <c r="F795">
        <v>0.28000000000000003</v>
      </c>
      <c r="G795" s="1">
        <v>11852</v>
      </c>
    </row>
    <row r="796" spans="1:7" x14ac:dyDescent="0.25">
      <c r="A796" t="s">
        <v>611</v>
      </c>
      <c r="B796">
        <v>2014</v>
      </c>
      <c r="C796">
        <v>15</v>
      </c>
      <c r="D796">
        <v>98</v>
      </c>
      <c r="E796">
        <v>6</v>
      </c>
      <c r="F796">
        <v>2.46</v>
      </c>
      <c r="G796" s="1">
        <v>21946</v>
      </c>
    </row>
    <row r="797" spans="1:7" x14ac:dyDescent="0.25">
      <c r="A797" t="s">
        <v>612</v>
      </c>
      <c r="B797">
        <v>2014</v>
      </c>
      <c r="C797">
        <v>15</v>
      </c>
      <c r="D797">
        <v>88</v>
      </c>
      <c r="E797">
        <v>5.8</v>
      </c>
      <c r="F797">
        <v>2.46</v>
      </c>
      <c r="G797" s="1">
        <v>9625</v>
      </c>
    </row>
    <row r="798" spans="1:7" x14ac:dyDescent="0.25">
      <c r="A798" t="s">
        <v>613</v>
      </c>
      <c r="B798">
        <v>2014</v>
      </c>
      <c r="C798">
        <v>15</v>
      </c>
      <c r="D798">
        <v>122</v>
      </c>
      <c r="E798">
        <v>7.3</v>
      </c>
      <c r="F798">
        <v>54.24</v>
      </c>
      <c r="G798" s="1">
        <v>86461</v>
      </c>
    </row>
    <row r="799" spans="1:7" x14ac:dyDescent="0.25">
      <c r="A799" t="s">
        <v>614</v>
      </c>
      <c r="B799">
        <v>2014</v>
      </c>
      <c r="C799">
        <v>15</v>
      </c>
      <c r="D799">
        <v>90</v>
      </c>
      <c r="E799">
        <v>7</v>
      </c>
      <c r="F799">
        <v>0.1</v>
      </c>
      <c r="G799" s="1">
        <v>1386</v>
      </c>
    </row>
    <row r="800" spans="1:7" x14ac:dyDescent="0.25">
      <c r="A800" t="s">
        <v>615</v>
      </c>
      <c r="B800">
        <v>2014</v>
      </c>
      <c r="C800">
        <v>15</v>
      </c>
      <c r="D800">
        <v>89</v>
      </c>
      <c r="E800">
        <v>6.4</v>
      </c>
      <c r="F800">
        <v>126.66</v>
      </c>
      <c r="G800" s="1">
        <v>522693</v>
      </c>
    </row>
    <row r="801" spans="1:7" x14ac:dyDescent="0.25">
      <c r="A801" t="s">
        <v>616</v>
      </c>
      <c r="B801">
        <v>2014</v>
      </c>
      <c r="C801">
        <v>15</v>
      </c>
      <c r="D801">
        <v>92</v>
      </c>
      <c r="E801">
        <v>6.2</v>
      </c>
      <c r="F801">
        <v>56.28</v>
      </c>
      <c r="G801" s="1">
        <v>204612</v>
      </c>
    </row>
    <row r="802" spans="1:7" x14ac:dyDescent="0.25">
      <c r="A802" t="s">
        <v>617</v>
      </c>
      <c r="B802">
        <v>2014</v>
      </c>
      <c r="C802">
        <v>15</v>
      </c>
      <c r="D802">
        <v>97</v>
      </c>
      <c r="E802">
        <v>6.9</v>
      </c>
      <c r="F802">
        <v>241.41</v>
      </c>
      <c r="G802" s="1">
        <v>393906</v>
      </c>
    </row>
    <row r="803" spans="1:7" x14ac:dyDescent="0.25">
      <c r="A803" t="s">
        <v>618</v>
      </c>
      <c r="B803">
        <v>2014</v>
      </c>
      <c r="C803">
        <v>15</v>
      </c>
      <c r="D803">
        <v>97</v>
      </c>
      <c r="E803">
        <v>7.4</v>
      </c>
      <c r="F803">
        <v>7.0000000000000007E-2</v>
      </c>
      <c r="G803" s="1">
        <v>296401</v>
      </c>
    </row>
    <row r="804" spans="1:7" x14ac:dyDescent="0.25">
      <c r="A804" t="s">
        <v>621</v>
      </c>
      <c r="B804">
        <v>2014</v>
      </c>
      <c r="C804">
        <v>18</v>
      </c>
      <c r="D804">
        <v>102</v>
      </c>
      <c r="E804">
        <v>6.6</v>
      </c>
      <c r="F804">
        <v>6.37</v>
      </c>
      <c r="G804" s="1">
        <v>4152</v>
      </c>
    </row>
    <row r="805" spans="1:7" x14ac:dyDescent="0.25">
      <c r="A805" t="s">
        <v>622</v>
      </c>
      <c r="B805">
        <v>2014</v>
      </c>
      <c r="C805">
        <v>15</v>
      </c>
      <c r="D805">
        <v>134</v>
      </c>
      <c r="E805">
        <v>6.8</v>
      </c>
      <c r="F805">
        <v>47.03</v>
      </c>
      <c r="G805" s="1">
        <v>36189</v>
      </c>
    </row>
    <row r="806" spans="1:7" x14ac:dyDescent="0.25">
      <c r="A806" t="s">
        <v>623</v>
      </c>
      <c r="B806">
        <v>2014</v>
      </c>
      <c r="C806">
        <v>12</v>
      </c>
      <c r="D806">
        <v>86</v>
      </c>
      <c r="E806">
        <v>5.4</v>
      </c>
      <c r="F806">
        <v>2.46</v>
      </c>
      <c r="G806" s="1">
        <v>13210</v>
      </c>
    </row>
    <row r="807" spans="1:7" x14ac:dyDescent="0.25">
      <c r="A807" t="s">
        <v>624</v>
      </c>
      <c r="B807">
        <v>2014</v>
      </c>
      <c r="C807">
        <v>15</v>
      </c>
      <c r="D807">
        <v>98</v>
      </c>
      <c r="E807">
        <v>6</v>
      </c>
      <c r="F807">
        <v>72.69</v>
      </c>
      <c r="G807" s="1">
        <v>162469</v>
      </c>
    </row>
    <row r="808" spans="1:7" x14ac:dyDescent="0.25">
      <c r="A808" t="s">
        <v>625</v>
      </c>
      <c r="B808">
        <v>2014</v>
      </c>
      <c r="C808">
        <v>12</v>
      </c>
      <c r="D808">
        <v>99</v>
      </c>
      <c r="E808">
        <v>5.4</v>
      </c>
      <c r="F808">
        <v>84.27</v>
      </c>
      <c r="G808" s="1">
        <v>171736</v>
      </c>
    </row>
    <row r="809" spans="1:7" x14ac:dyDescent="0.25">
      <c r="A809" t="s">
        <v>626</v>
      </c>
      <c r="B809">
        <v>2014</v>
      </c>
      <c r="C809">
        <v>12</v>
      </c>
      <c r="D809">
        <v>88</v>
      </c>
      <c r="E809">
        <v>7.1</v>
      </c>
      <c r="F809">
        <v>2.46</v>
      </c>
      <c r="G809" s="1">
        <v>2317</v>
      </c>
    </row>
    <row r="810" spans="1:7" x14ac:dyDescent="0.25">
      <c r="A810" t="s">
        <v>629</v>
      </c>
      <c r="B810">
        <v>2014</v>
      </c>
      <c r="C810">
        <v>15</v>
      </c>
      <c r="D810">
        <v>111</v>
      </c>
      <c r="E810">
        <v>6.2</v>
      </c>
      <c r="F810">
        <v>0.01</v>
      </c>
      <c r="G810" s="1">
        <v>2191</v>
      </c>
    </row>
    <row r="811" spans="1:7" x14ac:dyDescent="0.25">
      <c r="A811" t="s">
        <v>630</v>
      </c>
      <c r="B811">
        <v>2014</v>
      </c>
      <c r="C811">
        <v>12</v>
      </c>
      <c r="D811">
        <v>109</v>
      </c>
      <c r="E811">
        <v>6.7</v>
      </c>
      <c r="F811">
        <v>0.56000000000000005</v>
      </c>
      <c r="G811" s="1">
        <v>6818</v>
      </c>
    </row>
    <row r="812" spans="1:7" x14ac:dyDescent="0.25">
      <c r="A812" t="s">
        <v>631</v>
      </c>
      <c r="B812">
        <v>2014</v>
      </c>
      <c r="C812">
        <v>15</v>
      </c>
      <c r="D812">
        <v>102</v>
      </c>
      <c r="E812">
        <v>7.2</v>
      </c>
      <c r="F812">
        <v>44.13</v>
      </c>
      <c r="G812" s="1">
        <v>107332</v>
      </c>
    </row>
    <row r="813" spans="1:7" x14ac:dyDescent="0.25">
      <c r="A813" t="s">
        <v>632</v>
      </c>
      <c r="B813">
        <v>2014</v>
      </c>
      <c r="C813">
        <v>15</v>
      </c>
      <c r="D813">
        <v>100</v>
      </c>
      <c r="E813">
        <v>6.7</v>
      </c>
      <c r="F813">
        <v>0.32</v>
      </c>
      <c r="G813" s="1">
        <v>104727</v>
      </c>
    </row>
    <row r="814" spans="1:7" x14ac:dyDescent="0.25">
      <c r="A814" t="s">
        <v>633</v>
      </c>
      <c r="B814">
        <v>2014</v>
      </c>
      <c r="C814">
        <v>15</v>
      </c>
      <c r="D814">
        <v>112</v>
      </c>
      <c r="E814">
        <v>5.9</v>
      </c>
      <c r="F814">
        <v>2.46</v>
      </c>
      <c r="G814" s="1">
        <v>35305</v>
      </c>
    </row>
    <row r="815" spans="1:7" x14ac:dyDescent="0.25">
      <c r="A815" t="s">
        <v>634</v>
      </c>
      <c r="B815">
        <v>2014</v>
      </c>
      <c r="C815">
        <v>15</v>
      </c>
      <c r="D815">
        <v>103</v>
      </c>
      <c r="E815">
        <v>6.6</v>
      </c>
      <c r="F815">
        <v>34.29</v>
      </c>
      <c r="G815" s="1">
        <v>87232</v>
      </c>
    </row>
    <row r="816" spans="1:7" x14ac:dyDescent="0.25">
      <c r="A816" t="s">
        <v>635</v>
      </c>
      <c r="B816">
        <v>2014</v>
      </c>
      <c r="C816">
        <v>15</v>
      </c>
      <c r="D816">
        <v>94</v>
      </c>
      <c r="E816">
        <v>4.5</v>
      </c>
      <c r="F816">
        <v>2.46</v>
      </c>
      <c r="G816" s="1">
        <v>11266</v>
      </c>
    </row>
    <row r="817" spans="1:7" x14ac:dyDescent="0.25">
      <c r="A817" t="s">
        <v>636</v>
      </c>
      <c r="B817">
        <v>2014</v>
      </c>
      <c r="C817">
        <v>15</v>
      </c>
      <c r="D817">
        <v>105</v>
      </c>
      <c r="E817">
        <v>7.4</v>
      </c>
      <c r="F817">
        <v>0.04</v>
      </c>
      <c r="G817" s="1">
        <v>19270</v>
      </c>
    </row>
    <row r="818" spans="1:7" x14ac:dyDescent="0.25">
      <c r="A818" t="s">
        <v>637</v>
      </c>
      <c r="B818">
        <v>2014</v>
      </c>
      <c r="C818">
        <v>15</v>
      </c>
      <c r="D818">
        <v>113</v>
      </c>
      <c r="E818">
        <v>6.8</v>
      </c>
      <c r="F818">
        <v>102.43</v>
      </c>
      <c r="G818" s="1">
        <v>495561</v>
      </c>
    </row>
    <row r="819" spans="1:7" x14ac:dyDescent="0.25">
      <c r="A819" t="s">
        <v>638</v>
      </c>
      <c r="B819">
        <v>2014</v>
      </c>
      <c r="C819">
        <v>15</v>
      </c>
      <c r="D819">
        <v>97</v>
      </c>
      <c r="E819">
        <v>6.5</v>
      </c>
      <c r="F819">
        <v>10.51</v>
      </c>
      <c r="G819" s="1">
        <v>70080</v>
      </c>
    </row>
    <row r="820" spans="1:7" x14ac:dyDescent="0.25">
      <c r="A820" t="s">
        <v>639</v>
      </c>
      <c r="B820">
        <v>2014</v>
      </c>
      <c r="C820">
        <v>15</v>
      </c>
      <c r="D820">
        <v>121</v>
      </c>
      <c r="E820">
        <v>7.8</v>
      </c>
      <c r="F820">
        <v>0.81</v>
      </c>
      <c r="G820" s="1">
        <v>16137</v>
      </c>
    </row>
    <row r="821" spans="1:7" x14ac:dyDescent="0.25">
      <c r="A821" t="s">
        <v>640</v>
      </c>
      <c r="B821">
        <v>2014</v>
      </c>
      <c r="C821">
        <v>16</v>
      </c>
      <c r="D821">
        <v>111</v>
      </c>
      <c r="E821">
        <v>7.2</v>
      </c>
      <c r="F821">
        <v>2.46</v>
      </c>
      <c r="G821" s="1">
        <v>15653</v>
      </c>
    </row>
    <row r="822" spans="1:7" x14ac:dyDescent="0.25">
      <c r="A822" t="s">
        <v>641</v>
      </c>
      <c r="B822">
        <v>2014</v>
      </c>
      <c r="C822">
        <v>15</v>
      </c>
      <c r="D822">
        <v>122</v>
      </c>
      <c r="E822">
        <v>6.7</v>
      </c>
      <c r="F822">
        <v>17.239999999999998</v>
      </c>
      <c r="G822" s="1">
        <v>79171</v>
      </c>
    </row>
    <row r="823" spans="1:7" x14ac:dyDescent="0.25">
      <c r="A823" t="s">
        <v>642</v>
      </c>
      <c r="B823">
        <v>2014</v>
      </c>
      <c r="C823">
        <v>12</v>
      </c>
      <c r="D823">
        <v>127</v>
      </c>
      <c r="E823">
        <v>6.1</v>
      </c>
      <c r="F823">
        <v>0.01</v>
      </c>
      <c r="G823" s="1">
        <v>3236</v>
      </c>
    </row>
    <row r="824" spans="1:7" x14ac:dyDescent="0.25">
      <c r="A824" t="s">
        <v>643</v>
      </c>
      <c r="B824">
        <v>2014</v>
      </c>
      <c r="C824">
        <v>15</v>
      </c>
      <c r="D824">
        <v>110</v>
      </c>
      <c r="E824">
        <v>6.6</v>
      </c>
      <c r="F824">
        <v>7.0000000000000007E-2</v>
      </c>
      <c r="G824" s="1">
        <v>5729</v>
      </c>
    </row>
    <row r="825" spans="1:7" x14ac:dyDescent="0.25">
      <c r="A825" t="s">
        <v>644</v>
      </c>
      <c r="B825">
        <v>2014</v>
      </c>
      <c r="C825">
        <v>18</v>
      </c>
      <c r="D825">
        <v>134</v>
      </c>
      <c r="E825">
        <v>7.6</v>
      </c>
      <c r="F825">
        <v>85.82</v>
      </c>
      <c r="G825" s="1">
        <v>528835</v>
      </c>
    </row>
    <row r="826" spans="1:7" x14ac:dyDescent="0.25">
      <c r="A826" t="s">
        <v>645</v>
      </c>
      <c r="B826">
        <v>2014</v>
      </c>
      <c r="C826">
        <v>15</v>
      </c>
      <c r="D826">
        <v>91</v>
      </c>
      <c r="E826">
        <v>6</v>
      </c>
      <c r="F826">
        <v>2.46</v>
      </c>
      <c r="G826" s="1">
        <v>5416</v>
      </c>
    </row>
    <row r="827" spans="1:7" x14ac:dyDescent="0.25">
      <c r="A827" t="s">
        <v>648</v>
      </c>
      <c r="B827">
        <v>2014</v>
      </c>
      <c r="C827">
        <v>15</v>
      </c>
      <c r="D827">
        <v>106</v>
      </c>
      <c r="E827">
        <v>7.3</v>
      </c>
      <c r="F827">
        <v>0.33</v>
      </c>
      <c r="G827" s="1">
        <v>131344</v>
      </c>
    </row>
    <row r="828" spans="1:7" x14ac:dyDescent="0.25">
      <c r="A828" t="s">
        <v>649</v>
      </c>
      <c r="B828">
        <v>2014</v>
      </c>
      <c r="C828">
        <v>15</v>
      </c>
      <c r="D828">
        <v>149</v>
      </c>
      <c r="E828">
        <v>8.1</v>
      </c>
      <c r="F828">
        <v>167.77</v>
      </c>
      <c r="G828" s="1">
        <v>1038574</v>
      </c>
    </row>
    <row r="829" spans="1:7" x14ac:dyDescent="0.25">
      <c r="A829" t="s">
        <v>650</v>
      </c>
      <c r="B829">
        <v>2014</v>
      </c>
      <c r="C829">
        <v>12</v>
      </c>
      <c r="D829">
        <v>93</v>
      </c>
      <c r="E829">
        <v>6.2</v>
      </c>
      <c r="F829">
        <v>21.2</v>
      </c>
      <c r="G829" s="1">
        <v>107524</v>
      </c>
    </row>
    <row r="830" spans="1:7" x14ac:dyDescent="0.25">
      <c r="A830" t="s">
        <v>651</v>
      </c>
      <c r="B830">
        <v>2014</v>
      </c>
      <c r="C830">
        <v>12</v>
      </c>
      <c r="D830">
        <v>132</v>
      </c>
      <c r="E830">
        <v>7.2</v>
      </c>
      <c r="F830">
        <v>101.53</v>
      </c>
      <c r="G830" s="1">
        <v>404864</v>
      </c>
    </row>
    <row r="831" spans="1:7" x14ac:dyDescent="0.25">
      <c r="A831" t="s">
        <v>652</v>
      </c>
      <c r="B831">
        <v>2014</v>
      </c>
      <c r="C831">
        <v>15</v>
      </c>
      <c r="D831">
        <v>88</v>
      </c>
      <c r="E831">
        <v>6.1</v>
      </c>
      <c r="F831">
        <v>0.1</v>
      </c>
      <c r="G831" s="1">
        <v>12072</v>
      </c>
    </row>
    <row r="832" spans="1:7" x14ac:dyDescent="0.25">
      <c r="A832" t="s">
        <v>654</v>
      </c>
      <c r="B832">
        <v>2014</v>
      </c>
      <c r="C832">
        <v>13</v>
      </c>
      <c r="D832">
        <v>109</v>
      </c>
      <c r="E832">
        <v>5.4</v>
      </c>
      <c r="F832">
        <v>0.18</v>
      </c>
      <c r="G832" s="1">
        <v>30060</v>
      </c>
    </row>
    <row r="833" spans="1:7" x14ac:dyDescent="0.25">
      <c r="A833" t="s">
        <v>655</v>
      </c>
      <c r="B833">
        <v>2014</v>
      </c>
      <c r="C833">
        <v>12</v>
      </c>
      <c r="D833">
        <v>95</v>
      </c>
      <c r="E833">
        <v>7.3</v>
      </c>
      <c r="F833">
        <v>1.44</v>
      </c>
      <c r="G833" s="1">
        <v>50005</v>
      </c>
    </row>
    <row r="834" spans="1:7" x14ac:dyDescent="0.25">
      <c r="A834" t="s">
        <v>659</v>
      </c>
      <c r="B834">
        <v>2014</v>
      </c>
      <c r="C834">
        <v>15</v>
      </c>
      <c r="D834">
        <v>150</v>
      </c>
      <c r="E834">
        <v>7.9</v>
      </c>
      <c r="F834">
        <v>2.63</v>
      </c>
      <c r="G834" s="1">
        <v>129396</v>
      </c>
    </row>
    <row r="835" spans="1:7" x14ac:dyDescent="0.25">
      <c r="A835" t="s">
        <v>660</v>
      </c>
      <c r="B835">
        <v>2014</v>
      </c>
      <c r="C835">
        <v>15</v>
      </c>
      <c r="D835">
        <v>92</v>
      </c>
      <c r="E835">
        <v>6.3</v>
      </c>
      <c r="F835">
        <v>2.96</v>
      </c>
      <c r="G835" s="1">
        <v>82892</v>
      </c>
    </row>
    <row r="836" spans="1:7" x14ac:dyDescent="0.25">
      <c r="A836" t="s">
        <v>661</v>
      </c>
      <c r="B836">
        <v>2014</v>
      </c>
      <c r="C836">
        <v>15</v>
      </c>
      <c r="D836">
        <v>136</v>
      </c>
      <c r="E836">
        <v>7.8</v>
      </c>
      <c r="F836">
        <v>259.77</v>
      </c>
      <c r="G836" s="1">
        <v>883820</v>
      </c>
    </row>
    <row r="837" spans="1:7" x14ac:dyDescent="0.25">
      <c r="A837" t="s">
        <v>664</v>
      </c>
      <c r="B837">
        <v>2014</v>
      </c>
      <c r="C837">
        <v>15</v>
      </c>
      <c r="D837">
        <v>78</v>
      </c>
      <c r="E837">
        <v>8.1999999999999993</v>
      </c>
      <c r="F837">
        <v>0.15</v>
      </c>
      <c r="G837" s="1">
        <v>3209</v>
      </c>
    </row>
    <row r="838" spans="1:7" x14ac:dyDescent="0.25">
      <c r="A838" t="s">
        <v>667</v>
      </c>
      <c r="B838">
        <v>2014</v>
      </c>
      <c r="C838">
        <v>15</v>
      </c>
      <c r="D838">
        <v>94</v>
      </c>
      <c r="E838">
        <v>6.1</v>
      </c>
      <c r="F838">
        <v>2.46</v>
      </c>
      <c r="G838" s="1">
        <v>3247</v>
      </c>
    </row>
    <row r="839" spans="1:7" x14ac:dyDescent="0.25">
      <c r="A839" t="s">
        <v>668</v>
      </c>
      <c r="B839">
        <v>2014</v>
      </c>
      <c r="C839">
        <v>15</v>
      </c>
      <c r="D839">
        <v>70</v>
      </c>
      <c r="E839">
        <v>5.8</v>
      </c>
      <c r="F839">
        <v>2.46</v>
      </c>
      <c r="G839" s="1">
        <v>6222</v>
      </c>
    </row>
    <row r="840" spans="1:7" x14ac:dyDescent="0.25">
      <c r="A840" t="s">
        <v>669</v>
      </c>
      <c r="B840">
        <v>2014</v>
      </c>
      <c r="C840">
        <v>15</v>
      </c>
      <c r="D840">
        <v>101</v>
      </c>
      <c r="E840">
        <v>5.3</v>
      </c>
      <c r="F840">
        <v>2.46</v>
      </c>
      <c r="G840" s="1">
        <v>1762</v>
      </c>
    </row>
    <row r="841" spans="1:7" x14ac:dyDescent="0.25">
      <c r="A841" t="s">
        <v>673</v>
      </c>
      <c r="B841">
        <v>2014</v>
      </c>
      <c r="C841">
        <v>15</v>
      </c>
      <c r="D841">
        <v>165</v>
      </c>
      <c r="E841">
        <v>7.9</v>
      </c>
      <c r="F841">
        <v>25.38</v>
      </c>
      <c r="G841" s="1">
        <v>363792</v>
      </c>
    </row>
    <row r="842" spans="1:7" x14ac:dyDescent="0.25">
      <c r="A842" t="s">
        <v>675</v>
      </c>
      <c r="B842">
        <v>2014</v>
      </c>
      <c r="C842">
        <v>12</v>
      </c>
      <c r="D842">
        <v>101</v>
      </c>
      <c r="E842">
        <v>5.5</v>
      </c>
      <c r="F842">
        <v>2.46</v>
      </c>
      <c r="G842" s="1">
        <v>2722</v>
      </c>
    </row>
    <row r="843" spans="1:7" x14ac:dyDescent="0.25">
      <c r="A843" t="s">
        <v>677</v>
      </c>
      <c r="B843">
        <v>2014</v>
      </c>
      <c r="C843">
        <v>15</v>
      </c>
      <c r="D843">
        <v>99</v>
      </c>
      <c r="E843">
        <v>6.3</v>
      </c>
      <c r="F843">
        <v>2.46</v>
      </c>
      <c r="G843" s="1">
        <v>7768</v>
      </c>
    </row>
    <row r="844" spans="1:7" x14ac:dyDescent="0.25">
      <c r="A844" t="s">
        <v>678</v>
      </c>
      <c r="B844">
        <v>2014</v>
      </c>
      <c r="C844">
        <v>15</v>
      </c>
      <c r="D844">
        <v>117</v>
      </c>
      <c r="E844">
        <v>5.7</v>
      </c>
      <c r="F844">
        <v>2.46</v>
      </c>
      <c r="G844" s="1">
        <v>2259</v>
      </c>
    </row>
    <row r="845" spans="1:7" x14ac:dyDescent="0.25">
      <c r="A845" t="s">
        <v>680</v>
      </c>
      <c r="B845">
        <v>2014</v>
      </c>
      <c r="C845">
        <v>18</v>
      </c>
      <c r="D845">
        <v>93</v>
      </c>
      <c r="E845">
        <v>6.5</v>
      </c>
      <c r="F845">
        <v>2.46</v>
      </c>
      <c r="G845" s="1">
        <v>3662</v>
      </c>
    </row>
    <row r="846" spans="1:7" x14ac:dyDescent="0.25">
      <c r="A846" t="s">
        <v>683</v>
      </c>
      <c r="B846">
        <v>2014</v>
      </c>
      <c r="C846">
        <v>18</v>
      </c>
      <c r="D846">
        <v>102</v>
      </c>
      <c r="E846">
        <v>5.3</v>
      </c>
      <c r="F846">
        <v>2.46</v>
      </c>
      <c r="G846" s="1">
        <v>12401</v>
      </c>
    </row>
    <row r="847" spans="1:7" x14ac:dyDescent="0.25">
      <c r="A847" t="s">
        <v>684</v>
      </c>
      <c r="B847">
        <v>2014</v>
      </c>
      <c r="C847">
        <v>15</v>
      </c>
      <c r="D847">
        <v>104</v>
      </c>
      <c r="E847">
        <v>6.2</v>
      </c>
      <c r="F847">
        <v>2.46</v>
      </c>
      <c r="G847" s="1">
        <v>8709</v>
      </c>
    </row>
    <row r="848" spans="1:7" x14ac:dyDescent="0.25">
      <c r="A848" t="s">
        <v>686</v>
      </c>
      <c r="B848">
        <v>2014</v>
      </c>
      <c r="C848">
        <v>15</v>
      </c>
      <c r="D848">
        <v>114</v>
      </c>
      <c r="E848">
        <v>8</v>
      </c>
      <c r="F848">
        <v>91.13</v>
      </c>
      <c r="G848" s="1">
        <v>807794</v>
      </c>
    </row>
    <row r="849" spans="1:7" x14ac:dyDescent="0.25">
      <c r="A849" t="s">
        <v>687</v>
      </c>
      <c r="B849">
        <v>2014</v>
      </c>
      <c r="C849">
        <v>15</v>
      </c>
      <c r="D849">
        <v>139</v>
      </c>
      <c r="E849">
        <v>6.9</v>
      </c>
      <c r="F849">
        <v>30.51</v>
      </c>
      <c r="G849" s="1">
        <v>25764</v>
      </c>
    </row>
    <row r="850" spans="1:7" x14ac:dyDescent="0.25">
      <c r="A850" t="s">
        <v>688</v>
      </c>
      <c r="B850">
        <v>2014</v>
      </c>
      <c r="C850">
        <v>15</v>
      </c>
      <c r="D850">
        <v>102</v>
      </c>
      <c r="E850">
        <v>7.8</v>
      </c>
      <c r="F850">
        <v>222.53</v>
      </c>
      <c r="G850" s="1">
        <v>489282</v>
      </c>
    </row>
    <row r="851" spans="1:7" x14ac:dyDescent="0.25">
      <c r="A851" t="s">
        <v>689</v>
      </c>
      <c r="B851">
        <v>2014</v>
      </c>
      <c r="C851">
        <v>15</v>
      </c>
      <c r="D851">
        <v>94</v>
      </c>
      <c r="E851">
        <v>6.7</v>
      </c>
      <c r="F851">
        <v>2.25</v>
      </c>
      <c r="G851" s="1">
        <v>13144</v>
      </c>
    </row>
    <row r="852" spans="1:7" x14ac:dyDescent="0.25">
      <c r="A852" t="s">
        <v>690</v>
      </c>
      <c r="B852">
        <v>2014</v>
      </c>
      <c r="C852">
        <v>12</v>
      </c>
      <c r="D852">
        <v>134</v>
      </c>
      <c r="E852">
        <v>7</v>
      </c>
      <c r="F852">
        <v>12.1</v>
      </c>
      <c r="G852" s="1">
        <v>147265</v>
      </c>
    </row>
    <row r="853" spans="1:7" x14ac:dyDescent="0.25">
      <c r="A853" t="s">
        <v>691</v>
      </c>
      <c r="B853">
        <v>2014</v>
      </c>
      <c r="C853">
        <v>15</v>
      </c>
      <c r="D853">
        <v>102</v>
      </c>
      <c r="E853">
        <v>7.8</v>
      </c>
      <c r="F853">
        <v>177</v>
      </c>
      <c r="G853" s="1">
        <v>355652</v>
      </c>
    </row>
    <row r="854" spans="1:7" x14ac:dyDescent="0.25">
      <c r="A854" t="s">
        <v>692</v>
      </c>
      <c r="B854">
        <v>2014</v>
      </c>
      <c r="C854">
        <v>15</v>
      </c>
      <c r="D854">
        <v>100</v>
      </c>
      <c r="E854">
        <v>7.7</v>
      </c>
      <c r="F854">
        <v>257.76</v>
      </c>
      <c r="G854" s="1">
        <v>380519</v>
      </c>
    </row>
    <row r="855" spans="1:7" x14ac:dyDescent="0.25">
      <c r="A855" t="s">
        <v>693</v>
      </c>
      <c r="B855">
        <v>2014</v>
      </c>
      <c r="C855">
        <v>15</v>
      </c>
      <c r="D855">
        <v>94</v>
      </c>
      <c r="E855">
        <v>6.8</v>
      </c>
      <c r="F855">
        <v>0.92</v>
      </c>
      <c r="G855" s="1">
        <v>241716</v>
      </c>
    </row>
    <row r="856" spans="1:7" x14ac:dyDescent="0.25">
      <c r="A856" t="s">
        <v>695</v>
      </c>
      <c r="B856">
        <v>2014</v>
      </c>
      <c r="C856">
        <v>15</v>
      </c>
      <c r="D856">
        <v>125</v>
      </c>
      <c r="E856">
        <v>5.9</v>
      </c>
      <c r="F856">
        <v>128</v>
      </c>
      <c r="G856" s="1">
        <v>146219</v>
      </c>
    </row>
    <row r="857" spans="1:7" x14ac:dyDescent="0.25">
      <c r="A857" t="s">
        <v>696</v>
      </c>
      <c r="B857">
        <v>2014</v>
      </c>
      <c r="C857">
        <v>18</v>
      </c>
      <c r="D857">
        <v>101</v>
      </c>
      <c r="E857">
        <v>7.4</v>
      </c>
      <c r="F857">
        <v>43.04</v>
      </c>
      <c r="G857" s="1">
        <v>719274</v>
      </c>
    </row>
    <row r="858" spans="1:7" x14ac:dyDescent="0.25">
      <c r="A858" t="s">
        <v>697</v>
      </c>
      <c r="B858">
        <v>2014</v>
      </c>
      <c r="C858">
        <v>15</v>
      </c>
      <c r="D858">
        <v>108</v>
      </c>
      <c r="E858">
        <v>6</v>
      </c>
      <c r="F858">
        <v>2.46</v>
      </c>
      <c r="G858" s="1">
        <v>1355</v>
      </c>
    </row>
    <row r="859" spans="1:7" x14ac:dyDescent="0.25">
      <c r="A859" t="s">
        <v>698</v>
      </c>
      <c r="B859">
        <v>2014</v>
      </c>
      <c r="C859">
        <v>12</v>
      </c>
      <c r="D859">
        <v>101</v>
      </c>
      <c r="E859">
        <v>7.5</v>
      </c>
      <c r="F859">
        <v>18.75</v>
      </c>
      <c r="G859" s="1">
        <v>141500</v>
      </c>
    </row>
    <row r="860" spans="1:7" x14ac:dyDescent="0.25">
      <c r="A860" t="s">
        <v>699</v>
      </c>
      <c r="B860">
        <v>2014</v>
      </c>
      <c r="C860">
        <v>15</v>
      </c>
      <c r="D860">
        <v>150</v>
      </c>
      <c r="E860">
        <v>6.8</v>
      </c>
      <c r="F860">
        <v>3.96</v>
      </c>
      <c r="G860" s="1">
        <v>26852</v>
      </c>
    </row>
    <row r="861" spans="1:7" x14ac:dyDescent="0.25">
      <c r="A861" t="s">
        <v>700</v>
      </c>
      <c r="B861">
        <v>2014</v>
      </c>
      <c r="C861">
        <v>15</v>
      </c>
      <c r="D861">
        <v>133</v>
      </c>
      <c r="E861">
        <v>7.3</v>
      </c>
      <c r="F861">
        <v>350.13</v>
      </c>
      <c r="G861" s="1">
        <v>517351</v>
      </c>
    </row>
    <row r="862" spans="1:7" x14ac:dyDescent="0.25">
      <c r="A862" t="s">
        <v>701</v>
      </c>
      <c r="B862">
        <v>2014</v>
      </c>
      <c r="C862">
        <v>18</v>
      </c>
      <c r="D862">
        <v>117</v>
      </c>
      <c r="E862">
        <v>7.8</v>
      </c>
      <c r="F862">
        <v>32.380000000000003</v>
      </c>
      <c r="G862" s="1">
        <v>587585</v>
      </c>
    </row>
    <row r="863" spans="1:7" x14ac:dyDescent="0.25">
      <c r="A863" t="s">
        <v>702</v>
      </c>
      <c r="B863">
        <v>2014</v>
      </c>
      <c r="C863">
        <v>15</v>
      </c>
      <c r="D863">
        <v>124</v>
      </c>
      <c r="E863">
        <v>6.8</v>
      </c>
      <c r="F863">
        <v>1.81</v>
      </c>
      <c r="G863" s="1">
        <v>30791</v>
      </c>
    </row>
    <row r="864" spans="1:7" x14ac:dyDescent="0.25">
      <c r="A864" t="s">
        <v>703</v>
      </c>
      <c r="B864">
        <v>2014</v>
      </c>
      <c r="C864">
        <v>15</v>
      </c>
      <c r="D864">
        <v>95</v>
      </c>
      <c r="E864">
        <v>7.2</v>
      </c>
      <c r="F864">
        <v>50.15</v>
      </c>
      <c r="G864" s="1">
        <v>76067</v>
      </c>
    </row>
    <row r="865" spans="1:7" x14ac:dyDescent="0.25">
      <c r="A865" t="s">
        <v>704</v>
      </c>
      <c r="B865">
        <v>2014</v>
      </c>
      <c r="C865">
        <v>12</v>
      </c>
      <c r="D865">
        <v>106</v>
      </c>
      <c r="E865">
        <v>8.5</v>
      </c>
      <c r="F865">
        <v>13.09</v>
      </c>
      <c r="G865" s="1">
        <v>944166</v>
      </c>
    </row>
    <row r="866" spans="1:7" x14ac:dyDescent="0.25">
      <c r="A866" t="s">
        <v>705</v>
      </c>
      <c r="B866">
        <v>2014</v>
      </c>
      <c r="C866">
        <v>18</v>
      </c>
      <c r="D866">
        <v>119</v>
      </c>
      <c r="E866">
        <v>7.7</v>
      </c>
      <c r="F866">
        <v>42.34</v>
      </c>
      <c r="G866" s="1">
        <v>655329</v>
      </c>
    </row>
    <row r="867" spans="1:7" x14ac:dyDescent="0.25">
      <c r="A867" t="s">
        <v>706</v>
      </c>
      <c r="B867">
        <v>2014</v>
      </c>
      <c r="C867">
        <v>15</v>
      </c>
      <c r="D867">
        <v>169</v>
      </c>
      <c r="E867">
        <v>8.6999999999999993</v>
      </c>
      <c r="F867">
        <v>188.02</v>
      </c>
      <c r="G867" s="1">
        <v>2011555</v>
      </c>
    </row>
    <row r="868" spans="1:7" x14ac:dyDescent="0.25">
      <c r="A868" t="s">
        <v>707</v>
      </c>
      <c r="B868">
        <v>2014</v>
      </c>
      <c r="C868">
        <v>15</v>
      </c>
      <c r="D868">
        <v>99</v>
      </c>
      <c r="E868">
        <v>6.4</v>
      </c>
      <c r="F868">
        <v>0.44</v>
      </c>
      <c r="G868" s="1">
        <v>45402</v>
      </c>
    </row>
    <row r="869" spans="1:7" x14ac:dyDescent="0.25">
      <c r="A869" t="s">
        <v>708</v>
      </c>
      <c r="B869">
        <v>2014</v>
      </c>
      <c r="C869">
        <v>15</v>
      </c>
      <c r="D869">
        <v>93</v>
      </c>
      <c r="E869">
        <v>6.2</v>
      </c>
      <c r="F869">
        <v>0.01</v>
      </c>
      <c r="G869" s="1">
        <v>9160</v>
      </c>
    </row>
    <row r="870" spans="1:7" x14ac:dyDescent="0.25">
      <c r="A870" t="s">
        <v>709</v>
      </c>
      <c r="B870">
        <v>2014</v>
      </c>
      <c r="C870">
        <v>15</v>
      </c>
      <c r="D870">
        <v>119</v>
      </c>
      <c r="E870">
        <v>7.8</v>
      </c>
      <c r="F870">
        <v>2.46</v>
      </c>
      <c r="G870" s="1">
        <v>60620</v>
      </c>
    </row>
    <row r="871" spans="1:7" x14ac:dyDescent="0.25">
      <c r="A871" t="s">
        <v>710</v>
      </c>
      <c r="B871">
        <v>2014</v>
      </c>
      <c r="C871">
        <v>15</v>
      </c>
      <c r="D871">
        <v>137</v>
      </c>
      <c r="E871">
        <v>7.2</v>
      </c>
      <c r="F871">
        <v>115.64</v>
      </c>
      <c r="G871" s="1">
        <v>178860</v>
      </c>
    </row>
    <row r="872" spans="1:7" x14ac:dyDescent="0.25">
      <c r="A872" t="s">
        <v>713</v>
      </c>
      <c r="B872">
        <v>2014</v>
      </c>
      <c r="C872">
        <v>15</v>
      </c>
      <c r="D872">
        <v>91</v>
      </c>
      <c r="E872">
        <v>5.2</v>
      </c>
      <c r="F872">
        <v>2.46</v>
      </c>
      <c r="G872" s="1">
        <v>2458</v>
      </c>
    </row>
    <row r="873" spans="1:7" x14ac:dyDescent="0.25">
      <c r="A873" t="s">
        <v>715</v>
      </c>
      <c r="B873">
        <v>2014</v>
      </c>
      <c r="C873">
        <v>15</v>
      </c>
      <c r="D873">
        <v>92</v>
      </c>
      <c r="E873">
        <v>5.0999999999999996</v>
      </c>
      <c r="F873">
        <v>2.46</v>
      </c>
      <c r="G873" s="1">
        <v>19169</v>
      </c>
    </row>
    <row r="874" spans="1:7" x14ac:dyDescent="0.25">
      <c r="A874" t="s">
        <v>716</v>
      </c>
      <c r="B874">
        <v>2014</v>
      </c>
      <c r="C874">
        <v>15</v>
      </c>
      <c r="D874">
        <v>103</v>
      </c>
      <c r="E874">
        <v>6.3</v>
      </c>
      <c r="F874">
        <v>2.46</v>
      </c>
      <c r="G874" s="1">
        <v>61217</v>
      </c>
    </row>
    <row r="875" spans="1:7" x14ac:dyDescent="0.25">
      <c r="A875">
        <v>71</v>
      </c>
      <c r="B875">
        <v>2014</v>
      </c>
      <c r="C875">
        <v>15</v>
      </c>
      <c r="D875">
        <v>99</v>
      </c>
      <c r="E875">
        <v>7.2</v>
      </c>
      <c r="F875">
        <v>1.27</v>
      </c>
      <c r="G875" s="1">
        <v>59191</v>
      </c>
    </row>
    <row r="876" spans="1:7" x14ac:dyDescent="0.25">
      <c r="A876" t="s">
        <v>717</v>
      </c>
      <c r="B876">
        <v>2014</v>
      </c>
      <c r="C876">
        <v>15</v>
      </c>
      <c r="D876">
        <v>111</v>
      </c>
      <c r="E876">
        <v>6</v>
      </c>
      <c r="F876">
        <v>33.68</v>
      </c>
      <c r="G876" s="1">
        <v>72425</v>
      </c>
    </row>
    <row r="877" spans="1:7" x14ac:dyDescent="0.25">
      <c r="A877" t="s">
        <v>718</v>
      </c>
      <c r="B877">
        <v>2014</v>
      </c>
      <c r="C877">
        <v>15</v>
      </c>
      <c r="D877">
        <v>144</v>
      </c>
      <c r="E877">
        <v>7.4</v>
      </c>
      <c r="F877">
        <v>255.12</v>
      </c>
      <c r="G877" s="1">
        <v>558816</v>
      </c>
    </row>
    <row r="878" spans="1:7" x14ac:dyDescent="0.25">
      <c r="A878" t="s">
        <v>720</v>
      </c>
      <c r="B878">
        <v>2014</v>
      </c>
      <c r="C878">
        <v>15</v>
      </c>
      <c r="D878">
        <v>120</v>
      </c>
      <c r="E878">
        <v>6.5</v>
      </c>
      <c r="F878">
        <v>0.11</v>
      </c>
      <c r="G878" s="1">
        <v>23111</v>
      </c>
    </row>
    <row r="879" spans="1:7" x14ac:dyDescent="0.25">
      <c r="A879" t="s">
        <v>721</v>
      </c>
      <c r="B879">
        <v>2014</v>
      </c>
      <c r="C879">
        <v>15</v>
      </c>
      <c r="D879">
        <v>108</v>
      </c>
      <c r="E879">
        <v>6.4</v>
      </c>
      <c r="F879">
        <v>0</v>
      </c>
      <c r="G879" s="1">
        <v>29227</v>
      </c>
    </row>
    <row r="880" spans="1:7" x14ac:dyDescent="0.25">
      <c r="A880" t="s">
        <v>722</v>
      </c>
      <c r="B880">
        <v>2014</v>
      </c>
      <c r="C880">
        <v>15</v>
      </c>
      <c r="D880">
        <v>76</v>
      </c>
      <c r="E880">
        <v>6.3</v>
      </c>
      <c r="F880">
        <v>0.23</v>
      </c>
      <c r="G880" s="1">
        <v>3616</v>
      </c>
    </row>
    <row r="881" spans="1:7" x14ac:dyDescent="0.25">
      <c r="A881" t="s">
        <v>723</v>
      </c>
      <c r="B881">
        <v>2014</v>
      </c>
      <c r="C881">
        <v>18</v>
      </c>
      <c r="D881">
        <v>118</v>
      </c>
      <c r="E881">
        <v>6.7</v>
      </c>
      <c r="F881">
        <v>26.76</v>
      </c>
      <c r="G881" s="1">
        <v>76348</v>
      </c>
    </row>
    <row r="882" spans="1:7" x14ac:dyDescent="0.25">
      <c r="A882" t="s">
        <v>724</v>
      </c>
      <c r="B882">
        <v>2014</v>
      </c>
      <c r="C882">
        <v>15</v>
      </c>
      <c r="D882">
        <v>94</v>
      </c>
      <c r="E882">
        <v>5.9</v>
      </c>
      <c r="F882">
        <v>2.46</v>
      </c>
      <c r="G882" s="1">
        <v>29664</v>
      </c>
    </row>
    <row r="883" spans="1:7" x14ac:dyDescent="0.25">
      <c r="A883" t="s">
        <v>726</v>
      </c>
      <c r="B883">
        <v>2014</v>
      </c>
      <c r="C883">
        <v>15</v>
      </c>
      <c r="D883">
        <v>109</v>
      </c>
      <c r="E883">
        <v>6.3</v>
      </c>
      <c r="F883">
        <v>2.46</v>
      </c>
      <c r="G883" s="1">
        <v>4471</v>
      </c>
    </row>
    <row r="884" spans="1:7" x14ac:dyDescent="0.25">
      <c r="A884" t="s">
        <v>729</v>
      </c>
      <c r="B884">
        <v>2014</v>
      </c>
      <c r="C884">
        <v>15</v>
      </c>
      <c r="D884">
        <v>106</v>
      </c>
      <c r="E884">
        <v>7</v>
      </c>
      <c r="F884">
        <v>14.48</v>
      </c>
      <c r="G884" s="1">
        <v>97599</v>
      </c>
    </row>
    <row r="885" spans="1:7" x14ac:dyDescent="0.25">
      <c r="A885" t="s">
        <v>734</v>
      </c>
      <c r="B885">
        <v>2014</v>
      </c>
      <c r="C885">
        <v>15</v>
      </c>
      <c r="D885">
        <v>123</v>
      </c>
      <c r="E885">
        <v>6.6</v>
      </c>
      <c r="F885">
        <v>337.14</v>
      </c>
      <c r="G885" s="1">
        <v>483577</v>
      </c>
    </row>
    <row r="886" spans="1:7" x14ac:dyDescent="0.25">
      <c r="A886" t="s">
        <v>737</v>
      </c>
      <c r="B886">
        <v>2014</v>
      </c>
      <c r="C886">
        <v>15</v>
      </c>
      <c r="D886">
        <v>128</v>
      </c>
      <c r="E886">
        <v>7.5</v>
      </c>
      <c r="F886">
        <v>52.08</v>
      </c>
      <c r="G886" s="1">
        <v>94342</v>
      </c>
    </row>
    <row r="887" spans="1:7" x14ac:dyDescent="0.25">
      <c r="A887" t="s">
        <v>738</v>
      </c>
      <c r="B887">
        <v>2014</v>
      </c>
      <c r="C887">
        <v>12</v>
      </c>
      <c r="D887">
        <v>90</v>
      </c>
      <c r="E887">
        <v>5.6</v>
      </c>
      <c r="F887">
        <v>20.399999999999999</v>
      </c>
      <c r="G887" s="1">
        <v>43683</v>
      </c>
    </row>
    <row r="888" spans="1:7" x14ac:dyDescent="0.25">
      <c r="A888" t="s">
        <v>741</v>
      </c>
      <c r="B888">
        <v>2014</v>
      </c>
      <c r="C888">
        <v>15</v>
      </c>
      <c r="D888">
        <v>123</v>
      </c>
      <c r="E888">
        <v>7.7</v>
      </c>
      <c r="F888">
        <v>35.89</v>
      </c>
      <c r="G888" s="1">
        <v>473013</v>
      </c>
    </row>
    <row r="889" spans="1:7" x14ac:dyDescent="0.25">
      <c r="A889" t="s">
        <v>742</v>
      </c>
      <c r="B889">
        <v>2014</v>
      </c>
      <c r="C889">
        <v>15</v>
      </c>
      <c r="D889">
        <v>113</v>
      </c>
      <c r="E889">
        <v>4.5999999999999996</v>
      </c>
      <c r="F889">
        <v>60.76</v>
      </c>
      <c r="G889" s="1">
        <v>44424</v>
      </c>
    </row>
    <row r="890" spans="1:7" x14ac:dyDescent="0.25">
      <c r="A890" t="s">
        <v>746</v>
      </c>
      <c r="B890">
        <v>2014</v>
      </c>
      <c r="C890">
        <v>15</v>
      </c>
      <c r="D890">
        <v>117</v>
      </c>
      <c r="E890">
        <v>6.5</v>
      </c>
      <c r="F890">
        <v>46.29</v>
      </c>
      <c r="G890" s="1">
        <v>140879</v>
      </c>
    </row>
    <row r="891" spans="1:7" x14ac:dyDescent="0.25">
      <c r="A891" t="s">
        <v>747</v>
      </c>
      <c r="B891">
        <v>2014</v>
      </c>
      <c r="C891">
        <v>15</v>
      </c>
      <c r="D891">
        <v>85</v>
      </c>
      <c r="E891">
        <v>5.8</v>
      </c>
      <c r="F891">
        <v>2.46</v>
      </c>
      <c r="G891" s="1">
        <v>1527</v>
      </c>
    </row>
    <row r="892" spans="1:7" x14ac:dyDescent="0.25">
      <c r="A892" t="s">
        <v>748</v>
      </c>
      <c r="B892">
        <v>2014</v>
      </c>
      <c r="C892">
        <v>15</v>
      </c>
      <c r="D892">
        <v>98</v>
      </c>
      <c r="E892">
        <v>6.2</v>
      </c>
      <c r="F892">
        <v>113.75</v>
      </c>
      <c r="G892" s="1">
        <v>132218</v>
      </c>
    </row>
    <row r="893" spans="1:7" x14ac:dyDescent="0.25">
      <c r="A893" t="s">
        <v>750</v>
      </c>
      <c r="B893">
        <v>2014</v>
      </c>
      <c r="C893">
        <v>15</v>
      </c>
      <c r="D893">
        <v>101</v>
      </c>
      <c r="E893">
        <v>7.2</v>
      </c>
      <c r="F893">
        <v>0.26</v>
      </c>
      <c r="G893" s="1">
        <v>2775</v>
      </c>
    </row>
    <row r="894" spans="1:7" x14ac:dyDescent="0.25">
      <c r="A894" t="s">
        <v>751</v>
      </c>
      <c r="B894">
        <v>2014</v>
      </c>
      <c r="C894">
        <v>15</v>
      </c>
      <c r="D894">
        <v>102</v>
      </c>
      <c r="E894">
        <v>6.4</v>
      </c>
      <c r="F894">
        <v>1.87</v>
      </c>
      <c r="G894" s="1">
        <v>38533</v>
      </c>
    </row>
    <row r="895" spans="1:7" x14ac:dyDescent="0.25">
      <c r="A895" t="s">
        <v>752</v>
      </c>
      <c r="B895">
        <v>2014</v>
      </c>
      <c r="C895">
        <v>15</v>
      </c>
      <c r="D895">
        <v>94</v>
      </c>
      <c r="E895">
        <v>6.1</v>
      </c>
      <c r="F895">
        <v>26.05</v>
      </c>
      <c r="G895" s="1">
        <v>106274</v>
      </c>
    </row>
    <row r="896" spans="1:7" x14ac:dyDescent="0.25">
      <c r="A896" t="s">
        <v>753</v>
      </c>
      <c r="B896">
        <v>2014</v>
      </c>
      <c r="C896">
        <v>15</v>
      </c>
      <c r="D896">
        <v>102</v>
      </c>
      <c r="E896">
        <v>7.1</v>
      </c>
      <c r="F896">
        <v>0.02</v>
      </c>
      <c r="G896" s="1">
        <v>151705</v>
      </c>
    </row>
    <row r="897" spans="1:7" x14ac:dyDescent="0.25">
      <c r="A897" t="s">
        <v>754</v>
      </c>
      <c r="B897">
        <v>2014</v>
      </c>
      <c r="C897">
        <v>15</v>
      </c>
      <c r="D897">
        <v>112</v>
      </c>
      <c r="E897">
        <v>6.9</v>
      </c>
      <c r="F897">
        <v>2.4500000000000002</v>
      </c>
      <c r="G897" s="1">
        <v>48342</v>
      </c>
    </row>
    <row r="898" spans="1:7" x14ac:dyDescent="0.25">
      <c r="A898" t="s">
        <v>755</v>
      </c>
      <c r="B898">
        <v>2014</v>
      </c>
      <c r="C898">
        <v>15</v>
      </c>
      <c r="D898">
        <v>107</v>
      </c>
      <c r="E898">
        <v>6.4</v>
      </c>
      <c r="F898">
        <v>4.01</v>
      </c>
      <c r="G898" s="1">
        <v>9835</v>
      </c>
    </row>
    <row r="899" spans="1:7" x14ac:dyDescent="0.25">
      <c r="A899" t="s">
        <v>757</v>
      </c>
      <c r="B899">
        <v>2014</v>
      </c>
      <c r="C899">
        <v>15</v>
      </c>
      <c r="D899">
        <v>111</v>
      </c>
      <c r="E899">
        <v>7</v>
      </c>
      <c r="F899">
        <v>4.1900000000000004</v>
      </c>
      <c r="G899" s="1">
        <v>77340</v>
      </c>
    </row>
    <row r="900" spans="1:7" x14ac:dyDescent="0.25">
      <c r="A900" t="s">
        <v>758</v>
      </c>
      <c r="B900">
        <v>2014</v>
      </c>
      <c r="C900">
        <v>18</v>
      </c>
      <c r="D900">
        <v>150</v>
      </c>
      <c r="E900">
        <v>6</v>
      </c>
      <c r="F900">
        <v>65.010000000000005</v>
      </c>
      <c r="G900" s="1">
        <v>175185</v>
      </c>
    </row>
    <row r="901" spans="1:7" x14ac:dyDescent="0.25">
      <c r="A901" t="s">
        <v>759</v>
      </c>
      <c r="B901">
        <v>2014</v>
      </c>
      <c r="C901">
        <v>15</v>
      </c>
      <c r="D901">
        <v>99</v>
      </c>
      <c r="E901">
        <v>6.4</v>
      </c>
      <c r="F901">
        <v>0.19</v>
      </c>
      <c r="G901" s="1">
        <v>6745</v>
      </c>
    </row>
    <row r="902" spans="1:7" x14ac:dyDescent="0.25">
      <c r="A902" t="s">
        <v>760</v>
      </c>
      <c r="B902">
        <v>2014</v>
      </c>
      <c r="C902">
        <v>18</v>
      </c>
      <c r="D902">
        <v>96</v>
      </c>
      <c r="E902">
        <v>6.8</v>
      </c>
      <c r="F902">
        <v>50.84</v>
      </c>
      <c r="G902" s="1">
        <v>60711</v>
      </c>
    </row>
    <row r="903" spans="1:7" x14ac:dyDescent="0.25">
      <c r="A903" t="s">
        <v>763</v>
      </c>
      <c r="B903">
        <v>2014</v>
      </c>
      <c r="C903">
        <v>15</v>
      </c>
      <c r="D903">
        <v>85</v>
      </c>
      <c r="E903">
        <v>6.5</v>
      </c>
      <c r="F903">
        <v>0.2</v>
      </c>
      <c r="G903">
        <v>616</v>
      </c>
    </row>
    <row r="904" spans="1:7" x14ac:dyDescent="0.25">
      <c r="A904" t="s">
        <v>764</v>
      </c>
      <c r="B904">
        <v>2014</v>
      </c>
      <c r="C904">
        <v>15</v>
      </c>
      <c r="D904">
        <v>114</v>
      </c>
      <c r="E904">
        <v>6.4</v>
      </c>
      <c r="F904">
        <v>1.17</v>
      </c>
      <c r="G904" s="1">
        <v>40320</v>
      </c>
    </row>
    <row r="905" spans="1:7" x14ac:dyDescent="0.25">
      <c r="A905" t="s">
        <v>766</v>
      </c>
      <c r="B905">
        <v>2014</v>
      </c>
      <c r="C905">
        <v>12</v>
      </c>
      <c r="D905">
        <v>86</v>
      </c>
      <c r="E905">
        <v>7.6</v>
      </c>
      <c r="F905">
        <v>3.33</v>
      </c>
      <c r="G905" s="1">
        <v>195618</v>
      </c>
    </row>
    <row r="906" spans="1:7" x14ac:dyDescent="0.25">
      <c r="A906" t="s">
        <v>771</v>
      </c>
      <c r="B906">
        <v>2014</v>
      </c>
      <c r="C906">
        <v>12</v>
      </c>
      <c r="D906">
        <v>129</v>
      </c>
      <c r="E906">
        <v>5.5</v>
      </c>
      <c r="F906">
        <v>2.46</v>
      </c>
      <c r="G906" s="1">
        <v>6016</v>
      </c>
    </row>
    <row r="907" spans="1:7" x14ac:dyDescent="0.25">
      <c r="A907" t="s">
        <v>772</v>
      </c>
      <c r="B907">
        <v>2014</v>
      </c>
      <c r="C907">
        <v>12</v>
      </c>
      <c r="D907">
        <v>119</v>
      </c>
      <c r="E907">
        <v>6.6</v>
      </c>
      <c r="F907">
        <v>0.46</v>
      </c>
      <c r="G907" s="1">
        <v>33363</v>
      </c>
    </row>
    <row r="908" spans="1:7" x14ac:dyDescent="0.25">
      <c r="A908" t="s">
        <v>773</v>
      </c>
      <c r="B908">
        <v>2014</v>
      </c>
      <c r="C908">
        <v>15</v>
      </c>
      <c r="D908">
        <v>108</v>
      </c>
      <c r="E908">
        <v>6.3</v>
      </c>
      <c r="F908">
        <v>5.98</v>
      </c>
      <c r="G908" s="1">
        <v>59065</v>
      </c>
    </row>
    <row r="909" spans="1:7" x14ac:dyDescent="0.25">
      <c r="A909" t="s">
        <v>774</v>
      </c>
      <c r="B909">
        <v>2014</v>
      </c>
      <c r="C909">
        <v>15</v>
      </c>
      <c r="D909">
        <v>114</v>
      </c>
      <c r="E909">
        <v>8</v>
      </c>
      <c r="F909">
        <v>2.8</v>
      </c>
      <c r="G909" s="1">
        <v>57355</v>
      </c>
    </row>
    <row r="910" spans="1:7" x14ac:dyDescent="0.25">
      <c r="A910" t="s">
        <v>775</v>
      </c>
      <c r="B910">
        <v>2014</v>
      </c>
      <c r="C910">
        <v>12</v>
      </c>
      <c r="D910">
        <v>108</v>
      </c>
      <c r="E910">
        <v>6.2</v>
      </c>
      <c r="F910">
        <v>4.4000000000000004</v>
      </c>
      <c r="G910" s="1">
        <v>26371</v>
      </c>
    </row>
    <row r="911" spans="1:7" x14ac:dyDescent="0.25">
      <c r="A911" t="s">
        <v>777</v>
      </c>
      <c r="B911">
        <v>2014</v>
      </c>
      <c r="C911">
        <v>12</v>
      </c>
      <c r="D911">
        <v>105</v>
      </c>
      <c r="E911">
        <v>5.8</v>
      </c>
      <c r="F911">
        <v>2.46</v>
      </c>
      <c r="G911" s="1">
        <v>3815</v>
      </c>
    </row>
    <row r="912" spans="1:7" x14ac:dyDescent="0.25">
      <c r="A912" t="s">
        <v>778</v>
      </c>
      <c r="B912">
        <v>2014</v>
      </c>
      <c r="C912">
        <v>15</v>
      </c>
      <c r="D912">
        <v>122</v>
      </c>
      <c r="E912">
        <v>8.1</v>
      </c>
      <c r="F912">
        <v>3.11</v>
      </c>
      <c r="G912" s="1">
        <v>211062</v>
      </c>
    </row>
    <row r="913" spans="1:7" x14ac:dyDescent="0.25">
      <c r="A913" t="s">
        <v>781</v>
      </c>
      <c r="B913">
        <v>2014</v>
      </c>
      <c r="C913">
        <v>15</v>
      </c>
      <c r="D913">
        <v>97</v>
      </c>
      <c r="E913">
        <v>5.8</v>
      </c>
      <c r="F913">
        <v>2.46</v>
      </c>
      <c r="G913" s="1">
        <v>1465</v>
      </c>
    </row>
    <row r="914" spans="1:7" x14ac:dyDescent="0.25">
      <c r="A914" t="s">
        <v>782</v>
      </c>
      <c r="B914">
        <v>2014</v>
      </c>
      <c r="C914">
        <v>15</v>
      </c>
      <c r="D914">
        <v>112</v>
      </c>
      <c r="E914">
        <v>5.6</v>
      </c>
      <c r="F914">
        <v>2.46</v>
      </c>
      <c r="G914" s="1">
        <v>7120</v>
      </c>
    </row>
    <row r="915" spans="1:7" x14ac:dyDescent="0.25">
      <c r="A915" t="s">
        <v>783</v>
      </c>
      <c r="B915">
        <v>2014</v>
      </c>
      <c r="C915">
        <v>15</v>
      </c>
      <c r="D915">
        <v>148</v>
      </c>
      <c r="E915">
        <v>6.6</v>
      </c>
      <c r="F915">
        <v>8.11</v>
      </c>
      <c r="G915" s="1">
        <v>109095</v>
      </c>
    </row>
    <row r="916" spans="1:7" x14ac:dyDescent="0.25">
      <c r="A916" t="s">
        <v>784</v>
      </c>
      <c r="B916">
        <v>2014</v>
      </c>
      <c r="C916">
        <v>15</v>
      </c>
      <c r="D916">
        <v>115</v>
      </c>
      <c r="E916">
        <v>7.1</v>
      </c>
      <c r="F916">
        <v>37.880000000000003</v>
      </c>
      <c r="G916" s="1">
        <v>135380</v>
      </c>
    </row>
    <row r="917" spans="1:7" x14ac:dyDescent="0.25">
      <c r="A917" t="s">
        <v>785</v>
      </c>
      <c r="B917">
        <v>2014</v>
      </c>
      <c r="C917">
        <v>15</v>
      </c>
      <c r="D917">
        <v>103</v>
      </c>
      <c r="E917">
        <v>6.7</v>
      </c>
      <c r="F917">
        <v>2.46</v>
      </c>
      <c r="G917" s="1">
        <v>7296</v>
      </c>
    </row>
    <row r="918" spans="1:7" x14ac:dyDescent="0.25">
      <c r="A918" t="s">
        <v>786</v>
      </c>
      <c r="B918">
        <v>2014</v>
      </c>
      <c r="C918">
        <v>15</v>
      </c>
      <c r="D918">
        <v>90</v>
      </c>
      <c r="E918">
        <v>5.8</v>
      </c>
      <c r="F918">
        <v>0.02</v>
      </c>
      <c r="G918" s="1">
        <v>24019</v>
      </c>
    </row>
    <row r="919" spans="1:7" x14ac:dyDescent="0.25">
      <c r="A919" t="s">
        <v>787</v>
      </c>
      <c r="B919">
        <v>2014</v>
      </c>
      <c r="C919">
        <v>15</v>
      </c>
      <c r="D919">
        <v>108</v>
      </c>
      <c r="E919">
        <v>6.3</v>
      </c>
      <c r="F919">
        <v>54.45</v>
      </c>
      <c r="G919" s="1">
        <v>181645</v>
      </c>
    </row>
    <row r="920" spans="1:7" x14ac:dyDescent="0.25">
      <c r="A920" t="s">
        <v>789</v>
      </c>
      <c r="B920">
        <v>2014</v>
      </c>
      <c r="C920">
        <v>18</v>
      </c>
      <c r="D920">
        <v>102</v>
      </c>
      <c r="E920">
        <v>5.5</v>
      </c>
      <c r="F920">
        <v>17.22</v>
      </c>
      <c r="G920" s="1">
        <v>79737</v>
      </c>
    </row>
    <row r="921" spans="1:7" x14ac:dyDescent="0.25">
      <c r="A921" t="s">
        <v>790</v>
      </c>
      <c r="B921">
        <v>2014</v>
      </c>
      <c r="C921">
        <v>15</v>
      </c>
      <c r="D921">
        <v>86</v>
      </c>
      <c r="E921">
        <v>5.8</v>
      </c>
      <c r="F921">
        <v>0.03</v>
      </c>
      <c r="G921" s="1">
        <v>10182</v>
      </c>
    </row>
    <row r="922" spans="1:7" x14ac:dyDescent="0.25">
      <c r="A922" t="s">
        <v>791</v>
      </c>
      <c r="B922">
        <v>2014</v>
      </c>
      <c r="C922">
        <v>15</v>
      </c>
      <c r="D922">
        <v>94</v>
      </c>
      <c r="E922">
        <v>5.9</v>
      </c>
      <c r="F922">
        <v>15.16</v>
      </c>
      <c r="G922" s="1">
        <v>15025</v>
      </c>
    </row>
    <row r="923" spans="1:7" x14ac:dyDescent="0.25">
      <c r="A923" t="s">
        <v>792</v>
      </c>
      <c r="B923">
        <v>2014</v>
      </c>
      <c r="C923">
        <v>15</v>
      </c>
      <c r="D923">
        <v>85</v>
      </c>
      <c r="E923">
        <v>7.2</v>
      </c>
      <c r="F923">
        <v>2.46</v>
      </c>
      <c r="G923" s="1">
        <v>1959</v>
      </c>
    </row>
    <row r="924" spans="1:7" x14ac:dyDescent="0.25">
      <c r="A924" t="s">
        <v>793</v>
      </c>
      <c r="B924">
        <v>2014</v>
      </c>
      <c r="C924">
        <v>15</v>
      </c>
      <c r="D924">
        <v>107</v>
      </c>
      <c r="E924">
        <v>6</v>
      </c>
      <c r="F924">
        <v>2.46</v>
      </c>
      <c r="G924" s="1">
        <v>23792</v>
      </c>
    </row>
    <row r="925" spans="1:7" x14ac:dyDescent="0.25">
      <c r="A925" t="s">
        <v>794</v>
      </c>
      <c r="B925">
        <v>2014</v>
      </c>
      <c r="C925">
        <v>12</v>
      </c>
      <c r="D925">
        <v>107</v>
      </c>
      <c r="E925">
        <v>6.3</v>
      </c>
      <c r="F925">
        <v>2.46</v>
      </c>
      <c r="G925" s="1">
        <v>21619</v>
      </c>
    </row>
    <row r="926" spans="1:7" x14ac:dyDescent="0.25">
      <c r="A926" t="s">
        <v>795</v>
      </c>
      <c r="B926">
        <v>2014</v>
      </c>
      <c r="C926">
        <v>15</v>
      </c>
      <c r="D926">
        <v>119</v>
      </c>
      <c r="E926">
        <v>7.1</v>
      </c>
      <c r="F926">
        <v>2.46</v>
      </c>
      <c r="G926" s="1">
        <v>25450</v>
      </c>
    </row>
    <row r="927" spans="1:7" x14ac:dyDescent="0.25">
      <c r="A927" t="s">
        <v>798</v>
      </c>
      <c r="B927">
        <v>2014</v>
      </c>
      <c r="C927">
        <v>15</v>
      </c>
      <c r="D927">
        <v>95</v>
      </c>
      <c r="E927">
        <v>5.9</v>
      </c>
      <c r="F927">
        <v>2.46</v>
      </c>
      <c r="G927" s="1">
        <v>2603</v>
      </c>
    </row>
    <row r="928" spans="1:7" x14ac:dyDescent="0.25">
      <c r="A928" t="s">
        <v>801</v>
      </c>
      <c r="B928">
        <v>2014</v>
      </c>
      <c r="C928">
        <v>15</v>
      </c>
      <c r="D928">
        <v>103</v>
      </c>
      <c r="E928">
        <v>6.6</v>
      </c>
      <c r="F928">
        <v>3.13</v>
      </c>
      <c r="G928" s="1">
        <v>10919</v>
      </c>
    </row>
    <row r="929" spans="1:7" x14ac:dyDescent="0.25">
      <c r="A929" t="s">
        <v>802</v>
      </c>
      <c r="B929">
        <v>2014</v>
      </c>
      <c r="C929">
        <v>15</v>
      </c>
      <c r="D929">
        <v>116</v>
      </c>
      <c r="E929">
        <v>7.1</v>
      </c>
      <c r="F929">
        <v>0.05</v>
      </c>
      <c r="G929" s="1">
        <v>28561</v>
      </c>
    </row>
    <row r="930" spans="1:7" x14ac:dyDescent="0.25">
      <c r="A930" t="s">
        <v>803</v>
      </c>
      <c r="B930">
        <v>2014</v>
      </c>
      <c r="C930">
        <v>15</v>
      </c>
      <c r="D930">
        <v>110</v>
      </c>
      <c r="E930">
        <v>7.4</v>
      </c>
      <c r="F930">
        <v>2.72</v>
      </c>
      <c r="G930" s="1">
        <v>29565</v>
      </c>
    </row>
    <row r="931" spans="1:7" x14ac:dyDescent="0.25">
      <c r="A931" t="s">
        <v>804</v>
      </c>
      <c r="B931">
        <v>2014</v>
      </c>
      <c r="C931">
        <v>12</v>
      </c>
      <c r="D931">
        <v>86</v>
      </c>
      <c r="E931">
        <v>5.8</v>
      </c>
      <c r="F931">
        <v>2.46</v>
      </c>
      <c r="G931" s="1">
        <v>3353</v>
      </c>
    </row>
    <row r="932" spans="1:7" x14ac:dyDescent="0.25">
      <c r="A932" t="s">
        <v>805</v>
      </c>
      <c r="B932">
        <v>2014</v>
      </c>
      <c r="C932">
        <v>18</v>
      </c>
      <c r="D932">
        <v>91</v>
      </c>
      <c r="E932">
        <v>5.6</v>
      </c>
      <c r="F932">
        <v>0.04</v>
      </c>
      <c r="G932" s="1">
        <v>10906</v>
      </c>
    </row>
    <row r="933" spans="1:7" x14ac:dyDescent="0.25">
      <c r="A933" t="s">
        <v>807</v>
      </c>
      <c r="B933">
        <v>2014</v>
      </c>
      <c r="C933">
        <v>15</v>
      </c>
      <c r="D933">
        <v>93</v>
      </c>
      <c r="E933">
        <v>6.1</v>
      </c>
      <c r="F933">
        <v>2.46</v>
      </c>
      <c r="G933" s="1">
        <v>13480</v>
      </c>
    </row>
    <row r="934" spans="1:7" x14ac:dyDescent="0.25">
      <c r="A934" t="s">
        <v>808</v>
      </c>
      <c r="B934">
        <v>2014</v>
      </c>
      <c r="C934">
        <v>12</v>
      </c>
      <c r="D934">
        <v>104</v>
      </c>
      <c r="E934">
        <v>6</v>
      </c>
      <c r="F934">
        <v>0.34</v>
      </c>
      <c r="G934" s="1">
        <v>6679</v>
      </c>
    </row>
    <row r="935" spans="1:7" x14ac:dyDescent="0.25">
      <c r="A935" t="s">
        <v>809</v>
      </c>
      <c r="B935">
        <v>2014</v>
      </c>
      <c r="C935">
        <v>15</v>
      </c>
      <c r="D935">
        <v>108</v>
      </c>
      <c r="E935">
        <v>6</v>
      </c>
      <c r="F935">
        <v>89.26</v>
      </c>
      <c r="G935" s="1">
        <v>201132</v>
      </c>
    </row>
    <row r="936" spans="1:7" x14ac:dyDescent="0.25">
      <c r="A936" t="s">
        <v>810</v>
      </c>
      <c r="B936">
        <v>2014</v>
      </c>
      <c r="C936">
        <v>12</v>
      </c>
      <c r="D936">
        <v>129</v>
      </c>
      <c r="E936">
        <v>7.7</v>
      </c>
      <c r="F936">
        <v>128.26</v>
      </c>
      <c r="G936" s="1">
        <v>701155</v>
      </c>
    </row>
    <row r="937" spans="1:7" x14ac:dyDescent="0.25">
      <c r="A937" t="s">
        <v>811</v>
      </c>
      <c r="B937">
        <v>2014</v>
      </c>
      <c r="C937">
        <v>12</v>
      </c>
      <c r="D937">
        <v>117</v>
      </c>
      <c r="E937">
        <v>6.9</v>
      </c>
      <c r="F937">
        <v>0.01</v>
      </c>
      <c r="G937" s="1">
        <v>42588</v>
      </c>
    </row>
    <row r="938" spans="1:7" x14ac:dyDescent="0.25">
      <c r="A938" t="s">
        <v>812</v>
      </c>
      <c r="B938">
        <v>2014</v>
      </c>
      <c r="C938">
        <v>15</v>
      </c>
      <c r="D938">
        <v>96</v>
      </c>
      <c r="E938">
        <v>6.4</v>
      </c>
      <c r="F938">
        <v>0.01</v>
      </c>
      <c r="G938" s="1">
        <v>1683</v>
      </c>
    </row>
    <row r="939" spans="1:7" x14ac:dyDescent="0.25">
      <c r="A939" t="s">
        <v>813</v>
      </c>
      <c r="B939">
        <v>2014</v>
      </c>
      <c r="C939">
        <v>15</v>
      </c>
      <c r="D939">
        <v>114</v>
      </c>
      <c r="E939">
        <v>6.1</v>
      </c>
      <c r="F939">
        <v>0.04</v>
      </c>
      <c r="G939" s="1">
        <v>2186</v>
      </c>
    </row>
    <row r="940" spans="1:7" x14ac:dyDescent="0.25">
      <c r="A940" t="s">
        <v>816</v>
      </c>
      <c r="B940">
        <v>2014</v>
      </c>
      <c r="C940">
        <v>15</v>
      </c>
      <c r="D940">
        <v>95</v>
      </c>
      <c r="E940">
        <v>5.7</v>
      </c>
      <c r="F940">
        <v>0.04</v>
      </c>
      <c r="G940" s="1">
        <v>18893</v>
      </c>
    </row>
    <row r="941" spans="1:7" x14ac:dyDescent="0.25">
      <c r="A941" t="s">
        <v>821</v>
      </c>
      <c r="B941">
        <v>2014</v>
      </c>
      <c r="C941">
        <v>15</v>
      </c>
      <c r="D941">
        <v>93</v>
      </c>
      <c r="E941">
        <v>6.8</v>
      </c>
      <c r="F941">
        <v>5.28</v>
      </c>
      <c r="G941" s="1">
        <v>44219</v>
      </c>
    </row>
    <row r="942" spans="1:7" x14ac:dyDescent="0.25">
      <c r="A942" t="s">
        <v>822</v>
      </c>
      <c r="B942">
        <v>2014</v>
      </c>
      <c r="C942">
        <v>15</v>
      </c>
      <c r="D942">
        <v>91</v>
      </c>
      <c r="E942">
        <v>7</v>
      </c>
      <c r="F942">
        <v>0.04</v>
      </c>
      <c r="G942" s="1">
        <v>7717</v>
      </c>
    </row>
    <row r="943" spans="1:7" x14ac:dyDescent="0.25">
      <c r="A943" t="s">
        <v>823</v>
      </c>
      <c r="B943">
        <v>2014</v>
      </c>
      <c r="C943">
        <v>15</v>
      </c>
      <c r="D943">
        <v>110</v>
      </c>
      <c r="E943">
        <v>6.3</v>
      </c>
      <c r="F943">
        <v>1.06</v>
      </c>
      <c r="G943" s="1">
        <v>2195</v>
      </c>
    </row>
    <row r="944" spans="1:7" x14ac:dyDescent="0.25">
      <c r="A944" t="s">
        <v>824</v>
      </c>
      <c r="B944">
        <v>2014</v>
      </c>
      <c r="C944">
        <v>15</v>
      </c>
      <c r="D944">
        <v>95</v>
      </c>
      <c r="E944">
        <v>5.8</v>
      </c>
      <c r="F944">
        <v>2.46</v>
      </c>
      <c r="G944" s="1">
        <v>13108</v>
      </c>
    </row>
    <row r="945" spans="1:7" x14ac:dyDescent="0.25">
      <c r="A945" t="s">
        <v>826</v>
      </c>
      <c r="B945">
        <v>2014</v>
      </c>
      <c r="C945">
        <v>15</v>
      </c>
      <c r="D945">
        <v>108</v>
      </c>
      <c r="E945">
        <v>7.7</v>
      </c>
      <c r="F945">
        <v>25.44</v>
      </c>
      <c r="G945" s="1">
        <v>572764</v>
      </c>
    </row>
    <row r="946" spans="1:7" x14ac:dyDescent="0.25">
      <c r="A946" t="s">
        <v>827</v>
      </c>
      <c r="B946">
        <v>2014</v>
      </c>
      <c r="C946">
        <v>15</v>
      </c>
      <c r="D946">
        <v>110</v>
      </c>
      <c r="E946">
        <v>7</v>
      </c>
      <c r="F946">
        <v>2.46</v>
      </c>
      <c r="G946" s="1">
        <v>3196</v>
      </c>
    </row>
    <row r="947" spans="1:7" x14ac:dyDescent="0.25">
      <c r="A947" t="s">
        <v>829</v>
      </c>
      <c r="B947">
        <v>2014</v>
      </c>
      <c r="C947">
        <v>15</v>
      </c>
      <c r="D947">
        <v>92</v>
      </c>
      <c r="E947">
        <v>6.7</v>
      </c>
      <c r="F947">
        <v>0.01</v>
      </c>
      <c r="G947" s="1">
        <v>41991</v>
      </c>
    </row>
    <row r="948" spans="1:7" x14ac:dyDescent="0.25">
      <c r="A948" t="s">
        <v>832</v>
      </c>
      <c r="B948">
        <v>2014</v>
      </c>
      <c r="C948">
        <v>15</v>
      </c>
      <c r="D948">
        <v>102</v>
      </c>
      <c r="E948">
        <v>6.4</v>
      </c>
      <c r="F948">
        <v>0.32</v>
      </c>
      <c r="G948" s="1">
        <v>24684</v>
      </c>
    </row>
    <row r="949" spans="1:7" x14ac:dyDescent="0.25">
      <c r="A949" t="s">
        <v>834</v>
      </c>
      <c r="B949">
        <v>2014</v>
      </c>
      <c r="C949">
        <v>12</v>
      </c>
      <c r="D949">
        <v>116</v>
      </c>
      <c r="E949">
        <v>6.4</v>
      </c>
      <c r="F949">
        <v>2.46</v>
      </c>
      <c r="G949" s="1">
        <v>3485</v>
      </c>
    </row>
    <row r="950" spans="1:7" x14ac:dyDescent="0.25">
      <c r="A950" t="s">
        <v>836</v>
      </c>
      <c r="B950">
        <v>2014</v>
      </c>
      <c r="C950">
        <v>15</v>
      </c>
      <c r="D950">
        <v>91</v>
      </c>
      <c r="E950">
        <v>7</v>
      </c>
      <c r="F950">
        <v>0.51</v>
      </c>
      <c r="G950" s="1">
        <v>42435</v>
      </c>
    </row>
    <row r="951" spans="1:7" x14ac:dyDescent="0.25">
      <c r="A951" t="s">
        <v>839</v>
      </c>
      <c r="B951">
        <v>2014</v>
      </c>
      <c r="C951">
        <v>15</v>
      </c>
      <c r="D951">
        <v>93</v>
      </c>
      <c r="E951">
        <v>8</v>
      </c>
      <c r="F951">
        <v>0.86</v>
      </c>
      <c r="G951" s="1">
        <v>61937</v>
      </c>
    </row>
    <row r="952" spans="1:7" x14ac:dyDescent="0.25">
      <c r="A952" t="s">
        <v>840</v>
      </c>
      <c r="B952">
        <v>2014</v>
      </c>
      <c r="C952">
        <v>15</v>
      </c>
      <c r="D952">
        <v>121</v>
      </c>
      <c r="E952">
        <v>6.6</v>
      </c>
      <c r="F952">
        <v>21.57</v>
      </c>
      <c r="G952" s="1">
        <v>13721</v>
      </c>
    </row>
    <row r="953" spans="1:7" x14ac:dyDescent="0.25">
      <c r="A953" t="s">
        <v>841</v>
      </c>
      <c r="B953">
        <v>2014</v>
      </c>
      <c r="C953">
        <v>12</v>
      </c>
      <c r="D953">
        <v>104</v>
      </c>
      <c r="E953">
        <v>6.5</v>
      </c>
      <c r="F953">
        <v>2.46</v>
      </c>
      <c r="G953" s="1">
        <v>48272</v>
      </c>
    </row>
    <row r="954" spans="1:7" x14ac:dyDescent="0.25">
      <c r="A954" t="s">
        <v>842</v>
      </c>
      <c r="B954">
        <v>2014</v>
      </c>
      <c r="C954">
        <v>15</v>
      </c>
      <c r="D954">
        <v>131</v>
      </c>
      <c r="E954">
        <v>6.4</v>
      </c>
      <c r="F954">
        <v>2.46</v>
      </c>
      <c r="G954" s="1">
        <v>5242</v>
      </c>
    </row>
    <row r="955" spans="1:7" x14ac:dyDescent="0.25">
      <c r="A955" t="s">
        <v>845</v>
      </c>
      <c r="B955">
        <v>2014</v>
      </c>
      <c r="C955">
        <v>15</v>
      </c>
      <c r="D955">
        <v>124</v>
      </c>
      <c r="E955">
        <v>7.3</v>
      </c>
      <c r="F955">
        <v>0.79</v>
      </c>
      <c r="G955" s="1">
        <v>13791</v>
      </c>
    </row>
    <row r="956" spans="1:7" x14ac:dyDescent="0.25">
      <c r="A956" t="s">
        <v>846</v>
      </c>
      <c r="B956">
        <v>2014</v>
      </c>
      <c r="C956">
        <v>15</v>
      </c>
      <c r="D956">
        <v>135</v>
      </c>
      <c r="E956">
        <v>6.8</v>
      </c>
      <c r="F956">
        <v>2.46</v>
      </c>
      <c r="G956" s="1">
        <v>2956</v>
      </c>
    </row>
    <row r="957" spans="1:7" x14ac:dyDescent="0.25">
      <c r="A957" t="s">
        <v>849</v>
      </c>
      <c r="B957">
        <v>2014</v>
      </c>
      <c r="C957">
        <v>15</v>
      </c>
      <c r="D957">
        <v>150</v>
      </c>
      <c r="E957">
        <v>6.1</v>
      </c>
      <c r="F957">
        <v>0.43</v>
      </c>
      <c r="G957" s="1">
        <v>6357</v>
      </c>
    </row>
    <row r="958" spans="1:7" x14ac:dyDescent="0.25">
      <c r="A958" t="s">
        <v>850</v>
      </c>
      <c r="B958">
        <v>2014</v>
      </c>
      <c r="C958">
        <v>12</v>
      </c>
      <c r="D958">
        <v>129</v>
      </c>
      <c r="E958">
        <v>7.2</v>
      </c>
      <c r="F958">
        <v>1.82</v>
      </c>
      <c r="G958" s="1">
        <v>30111</v>
      </c>
    </row>
    <row r="959" spans="1:7" x14ac:dyDescent="0.25">
      <c r="A959" t="s">
        <v>851</v>
      </c>
      <c r="B959">
        <v>2014</v>
      </c>
      <c r="C959">
        <v>12</v>
      </c>
      <c r="D959">
        <v>75</v>
      </c>
      <c r="E959">
        <v>6.3</v>
      </c>
      <c r="F959">
        <v>0.33</v>
      </c>
      <c r="G959" s="1">
        <v>1251</v>
      </c>
    </row>
    <row r="960" spans="1:7" x14ac:dyDescent="0.25">
      <c r="A960" t="s">
        <v>853</v>
      </c>
      <c r="B960">
        <v>2014</v>
      </c>
      <c r="C960">
        <v>15</v>
      </c>
      <c r="D960">
        <v>91</v>
      </c>
      <c r="E960">
        <v>6.7</v>
      </c>
      <c r="F960">
        <v>2.46</v>
      </c>
      <c r="G960" s="1">
        <v>19333</v>
      </c>
    </row>
    <row r="961" spans="1:7" x14ac:dyDescent="0.25">
      <c r="A961" t="s">
        <v>854</v>
      </c>
      <c r="B961">
        <v>2014</v>
      </c>
      <c r="C961">
        <v>15</v>
      </c>
      <c r="D961">
        <v>95</v>
      </c>
      <c r="E961">
        <v>7.1</v>
      </c>
      <c r="F961">
        <v>0.12</v>
      </c>
      <c r="G961" s="1">
        <v>21093</v>
      </c>
    </row>
    <row r="962" spans="1:7" x14ac:dyDescent="0.25">
      <c r="A962" t="s">
        <v>855</v>
      </c>
      <c r="B962">
        <v>2014</v>
      </c>
      <c r="C962">
        <v>18</v>
      </c>
      <c r="D962">
        <v>102</v>
      </c>
      <c r="E962">
        <v>7.3</v>
      </c>
      <c r="F962">
        <v>2.46</v>
      </c>
      <c r="G962" s="1">
        <v>26509</v>
      </c>
    </row>
    <row r="963" spans="1:7" x14ac:dyDescent="0.25">
      <c r="A963" t="s">
        <v>856</v>
      </c>
      <c r="B963">
        <v>2014</v>
      </c>
      <c r="C963">
        <v>15</v>
      </c>
      <c r="D963">
        <v>83</v>
      </c>
      <c r="E963">
        <v>7.2</v>
      </c>
      <c r="F963">
        <v>0.02</v>
      </c>
      <c r="G963" s="1">
        <v>6520</v>
      </c>
    </row>
    <row r="964" spans="1:7" x14ac:dyDescent="0.25">
      <c r="A964" t="s">
        <v>857</v>
      </c>
      <c r="B964">
        <v>2014</v>
      </c>
      <c r="C964">
        <v>15</v>
      </c>
      <c r="D964">
        <v>102</v>
      </c>
      <c r="E964">
        <v>7.3</v>
      </c>
      <c r="F964">
        <v>2.46</v>
      </c>
      <c r="G964" s="1">
        <v>1675</v>
      </c>
    </row>
    <row r="965" spans="1:7" x14ac:dyDescent="0.25">
      <c r="A965" t="s">
        <v>859</v>
      </c>
      <c r="B965">
        <v>2014</v>
      </c>
      <c r="C965">
        <v>15</v>
      </c>
      <c r="D965">
        <v>110</v>
      </c>
      <c r="E965">
        <v>5.2</v>
      </c>
      <c r="F965">
        <v>2.46</v>
      </c>
      <c r="G965" s="1">
        <v>2204</v>
      </c>
    </row>
    <row r="966" spans="1:7" x14ac:dyDescent="0.25">
      <c r="A966" t="s">
        <v>860</v>
      </c>
      <c r="B966">
        <v>2014</v>
      </c>
      <c r="C966">
        <v>15</v>
      </c>
      <c r="D966">
        <v>118</v>
      </c>
      <c r="E966">
        <v>5.7</v>
      </c>
      <c r="F966">
        <v>2.46</v>
      </c>
      <c r="G966" s="1">
        <v>8717</v>
      </c>
    </row>
    <row r="967" spans="1:7" x14ac:dyDescent="0.25">
      <c r="A967" t="s">
        <v>862</v>
      </c>
      <c r="B967">
        <v>2014</v>
      </c>
      <c r="C967">
        <v>12</v>
      </c>
      <c r="D967">
        <v>98</v>
      </c>
      <c r="E967">
        <v>3.7</v>
      </c>
      <c r="F967">
        <v>2.46</v>
      </c>
      <c r="G967" s="1">
        <v>4174</v>
      </c>
    </row>
    <row r="968" spans="1:7" x14ac:dyDescent="0.25">
      <c r="A968" t="s">
        <v>863</v>
      </c>
      <c r="B968">
        <v>2014</v>
      </c>
      <c r="C968">
        <v>15</v>
      </c>
      <c r="D968">
        <v>107</v>
      </c>
      <c r="E968">
        <v>7</v>
      </c>
      <c r="F968">
        <v>2.46</v>
      </c>
      <c r="G968" s="1">
        <v>28050</v>
      </c>
    </row>
    <row r="969" spans="1:7" x14ac:dyDescent="0.25">
      <c r="A969" t="s">
        <v>865</v>
      </c>
      <c r="B969">
        <v>2014</v>
      </c>
      <c r="C969">
        <v>15</v>
      </c>
      <c r="D969">
        <v>137</v>
      </c>
      <c r="E969">
        <v>6.4</v>
      </c>
      <c r="F969">
        <v>2.46</v>
      </c>
      <c r="G969" s="1">
        <v>5286</v>
      </c>
    </row>
    <row r="970" spans="1:7" x14ac:dyDescent="0.25">
      <c r="A970" t="s">
        <v>866</v>
      </c>
      <c r="B970">
        <v>2014</v>
      </c>
      <c r="C970">
        <v>15</v>
      </c>
      <c r="D970">
        <v>99</v>
      </c>
      <c r="E970">
        <v>5.8</v>
      </c>
      <c r="F970">
        <v>2.46</v>
      </c>
      <c r="G970" s="1">
        <v>59291</v>
      </c>
    </row>
    <row r="971" spans="1:7" x14ac:dyDescent="0.25">
      <c r="A971" t="s">
        <v>871</v>
      </c>
      <c r="B971">
        <v>2014</v>
      </c>
      <c r="C971">
        <v>15</v>
      </c>
      <c r="D971">
        <v>117</v>
      </c>
      <c r="E971">
        <v>6.5</v>
      </c>
      <c r="F971">
        <v>0.55000000000000004</v>
      </c>
      <c r="G971" s="1">
        <v>24938</v>
      </c>
    </row>
    <row r="972" spans="1:7" x14ac:dyDescent="0.25">
      <c r="A972" t="s">
        <v>873</v>
      </c>
      <c r="B972">
        <v>2014</v>
      </c>
      <c r="C972">
        <v>15</v>
      </c>
      <c r="D972">
        <v>88</v>
      </c>
      <c r="E972">
        <v>6.2</v>
      </c>
      <c r="F972">
        <v>1.01</v>
      </c>
      <c r="G972" s="1">
        <v>11058</v>
      </c>
    </row>
    <row r="973" spans="1:7" x14ac:dyDescent="0.25">
      <c r="A973" t="s">
        <v>877</v>
      </c>
      <c r="B973">
        <v>2014</v>
      </c>
      <c r="C973">
        <v>15</v>
      </c>
      <c r="D973">
        <v>123</v>
      </c>
      <c r="E973">
        <v>6.3</v>
      </c>
      <c r="F973">
        <v>0.59</v>
      </c>
      <c r="G973" s="1">
        <v>12933</v>
      </c>
    </row>
    <row r="974" spans="1:7" x14ac:dyDescent="0.25">
      <c r="A974" t="s">
        <v>881</v>
      </c>
      <c r="B974">
        <v>2014</v>
      </c>
      <c r="C974">
        <v>15</v>
      </c>
      <c r="D974">
        <v>96</v>
      </c>
      <c r="E974">
        <v>6.8</v>
      </c>
      <c r="F974">
        <v>2.46</v>
      </c>
      <c r="G974" s="1">
        <v>8985</v>
      </c>
    </row>
    <row r="975" spans="1:7" x14ac:dyDescent="0.25">
      <c r="A975" t="s">
        <v>882</v>
      </c>
      <c r="B975">
        <v>2014</v>
      </c>
      <c r="C975">
        <v>15</v>
      </c>
      <c r="D975">
        <v>87</v>
      </c>
      <c r="E975">
        <v>5.9</v>
      </c>
      <c r="F975">
        <v>0.61</v>
      </c>
      <c r="G975" s="1">
        <v>19431</v>
      </c>
    </row>
    <row r="976" spans="1:7" x14ac:dyDescent="0.25">
      <c r="A976" t="s">
        <v>885</v>
      </c>
      <c r="B976">
        <v>2014</v>
      </c>
      <c r="C976">
        <v>15</v>
      </c>
      <c r="D976">
        <v>96</v>
      </c>
      <c r="E976">
        <v>7</v>
      </c>
      <c r="F976">
        <v>0.02</v>
      </c>
      <c r="G976" s="1">
        <v>27479</v>
      </c>
    </row>
    <row r="977" spans="1:7" x14ac:dyDescent="0.25">
      <c r="A977" t="s">
        <v>889</v>
      </c>
      <c r="B977">
        <v>2014</v>
      </c>
      <c r="C977">
        <v>15</v>
      </c>
      <c r="D977">
        <v>125</v>
      </c>
      <c r="E977">
        <v>7</v>
      </c>
      <c r="F977">
        <v>5.74</v>
      </c>
      <c r="G977" s="1">
        <v>76255</v>
      </c>
    </row>
    <row r="978" spans="1:7" x14ac:dyDescent="0.25">
      <c r="A978" t="s">
        <v>893</v>
      </c>
      <c r="B978">
        <v>2014</v>
      </c>
      <c r="C978">
        <v>15</v>
      </c>
      <c r="D978">
        <v>105</v>
      </c>
      <c r="E978">
        <v>6.7</v>
      </c>
      <c r="F978">
        <v>0.45</v>
      </c>
      <c r="G978" s="1">
        <v>1631</v>
      </c>
    </row>
    <row r="979" spans="1:7" x14ac:dyDescent="0.25">
      <c r="A979" t="s">
        <v>895</v>
      </c>
      <c r="B979">
        <v>2014</v>
      </c>
      <c r="C979">
        <v>15</v>
      </c>
      <c r="D979">
        <v>116</v>
      </c>
      <c r="E979">
        <v>6.1</v>
      </c>
      <c r="F979">
        <v>0.28000000000000003</v>
      </c>
      <c r="G979" s="1">
        <v>1833</v>
      </c>
    </row>
    <row r="980" spans="1:7" x14ac:dyDescent="0.25">
      <c r="A980" t="s">
        <v>896</v>
      </c>
      <c r="B980">
        <v>2014</v>
      </c>
      <c r="C980">
        <v>15</v>
      </c>
      <c r="D980">
        <v>84</v>
      </c>
      <c r="E980">
        <v>5.9</v>
      </c>
      <c r="F980">
        <v>0.03</v>
      </c>
      <c r="G980" s="1">
        <v>4443</v>
      </c>
    </row>
    <row r="981" spans="1:7" x14ac:dyDescent="0.25">
      <c r="A981" t="s">
        <v>900</v>
      </c>
      <c r="B981">
        <v>2014</v>
      </c>
      <c r="C981">
        <v>15</v>
      </c>
      <c r="D981">
        <v>115</v>
      </c>
      <c r="E981">
        <v>7.7</v>
      </c>
      <c r="F981">
        <v>0.99</v>
      </c>
      <c r="G981" s="1">
        <v>6810</v>
      </c>
    </row>
    <row r="982" spans="1:7" x14ac:dyDescent="0.25">
      <c r="A982" t="s">
        <v>906</v>
      </c>
      <c r="B982">
        <v>2014</v>
      </c>
      <c r="C982">
        <v>15</v>
      </c>
      <c r="D982">
        <v>100</v>
      </c>
      <c r="E982">
        <v>6.8</v>
      </c>
      <c r="F982">
        <v>14.67</v>
      </c>
      <c r="G982" s="1">
        <v>261882</v>
      </c>
    </row>
    <row r="983" spans="1:7" x14ac:dyDescent="0.25">
      <c r="A983" t="s">
        <v>913</v>
      </c>
      <c r="B983">
        <v>2014</v>
      </c>
      <c r="C983">
        <v>15</v>
      </c>
      <c r="D983">
        <v>91</v>
      </c>
      <c r="E983">
        <v>5.7</v>
      </c>
      <c r="F983">
        <v>38.92</v>
      </c>
      <c r="G983" s="1">
        <v>19598</v>
      </c>
    </row>
    <row r="984" spans="1:7" x14ac:dyDescent="0.25">
      <c r="A984" t="s">
        <v>914</v>
      </c>
      <c r="B984">
        <v>2014</v>
      </c>
      <c r="C984">
        <v>12</v>
      </c>
      <c r="D984">
        <v>101</v>
      </c>
      <c r="E984">
        <v>4.5999999999999996</v>
      </c>
      <c r="F984">
        <v>2.46</v>
      </c>
      <c r="G984" s="1">
        <v>5180</v>
      </c>
    </row>
    <row r="985" spans="1:7" x14ac:dyDescent="0.25">
      <c r="A985" t="s">
        <v>918</v>
      </c>
      <c r="B985">
        <v>2014</v>
      </c>
      <c r="C985">
        <v>12</v>
      </c>
      <c r="D985">
        <v>196</v>
      </c>
      <c r="E985">
        <v>8.1</v>
      </c>
      <c r="F985">
        <v>0.17</v>
      </c>
      <c r="G985" s="1">
        <v>54335</v>
      </c>
    </row>
    <row r="986" spans="1:7" x14ac:dyDescent="0.25">
      <c r="A986" t="s">
        <v>921</v>
      </c>
      <c r="B986">
        <v>2014</v>
      </c>
      <c r="C986">
        <v>15</v>
      </c>
      <c r="D986">
        <v>93</v>
      </c>
      <c r="E986">
        <v>6.1</v>
      </c>
      <c r="F986">
        <v>2.46</v>
      </c>
      <c r="G986" s="1">
        <v>8945</v>
      </c>
    </row>
    <row r="987" spans="1:7" x14ac:dyDescent="0.25">
      <c r="A987" t="s">
        <v>924</v>
      </c>
      <c r="B987">
        <v>2014</v>
      </c>
      <c r="C987">
        <v>15</v>
      </c>
      <c r="D987">
        <v>109</v>
      </c>
      <c r="E987">
        <v>6.7</v>
      </c>
      <c r="F987">
        <v>0.05</v>
      </c>
      <c r="G987" s="1">
        <v>30686</v>
      </c>
    </row>
    <row r="988" spans="1:7" x14ac:dyDescent="0.25">
      <c r="A988" t="s">
        <v>927</v>
      </c>
      <c r="B988">
        <v>2014</v>
      </c>
      <c r="C988">
        <v>15</v>
      </c>
      <c r="D988">
        <v>95</v>
      </c>
      <c r="E988">
        <v>6.8</v>
      </c>
      <c r="F988">
        <v>0.04</v>
      </c>
      <c r="G988" s="1">
        <v>62308</v>
      </c>
    </row>
    <row r="989" spans="1:7" x14ac:dyDescent="0.25">
      <c r="A989" t="s">
        <v>929</v>
      </c>
      <c r="B989">
        <v>2014</v>
      </c>
      <c r="C989">
        <v>18</v>
      </c>
      <c r="D989">
        <v>95</v>
      </c>
      <c r="E989">
        <v>6.6</v>
      </c>
      <c r="F989">
        <v>1.1000000000000001</v>
      </c>
      <c r="G989" s="1">
        <v>3733</v>
      </c>
    </row>
    <row r="990" spans="1:7" x14ac:dyDescent="0.25">
      <c r="A990" t="s">
        <v>930</v>
      </c>
      <c r="B990">
        <v>2014</v>
      </c>
      <c r="C990">
        <v>15</v>
      </c>
      <c r="D990">
        <v>89</v>
      </c>
      <c r="E990">
        <v>6.7</v>
      </c>
      <c r="F990">
        <v>2.46</v>
      </c>
      <c r="G990" s="1">
        <v>10606</v>
      </c>
    </row>
    <row r="991" spans="1:7" x14ac:dyDescent="0.25">
      <c r="A991" t="s">
        <v>933</v>
      </c>
      <c r="B991">
        <v>2014</v>
      </c>
      <c r="C991">
        <v>15</v>
      </c>
      <c r="D991">
        <v>90</v>
      </c>
      <c r="E991">
        <v>3.9</v>
      </c>
      <c r="F991">
        <v>2.46</v>
      </c>
      <c r="G991">
        <v>791</v>
      </c>
    </row>
    <row r="992" spans="1:7" x14ac:dyDescent="0.25">
      <c r="A992" t="s">
        <v>935</v>
      </c>
      <c r="B992">
        <v>2014</v>
      </c>
      <c r="C992">
        <v>15</v>
      </c>
      <c r="D992">
        <v>94</v>
      </c>
      <c r="E992">
        <v>5</v>
      </c>
      <c r="F992">
        <v>2.46</v>
      </c>
      <c r="G992" s="1">
        <v>17446</v>
      </c>
    </row>
    <row r="993" spans="1:7" x14ac:dyDescent="0.25">
      <c r="A993" t="s">
        <v>941</v>
      </c>
      <c r="B993">
        <v>2014</v>
      </c>
      <c r="C993">
        <v>15</v>
      </c>
      <c r="D993">
        <v>93</v>
      </c>
      <c r="E993">
        <v>4.9000000000000004</v>
      </c>
      <c r="F993">
        <v>2.46</v>
      </c>
      <c r="G993" s="1">
        <v>8547</v>
      </c>
    </row>
    <row r="994" spans="1:7" x14ac:dyDescent="0.25">
      <c r="A994" t="s">
        <v>948</v>
      </c>
      <c r="B994">
        <v>2014</v>
      </c>
      <c r="C994">
        <v>15</v>
      </c>
      <c r="D994">
        <v>94</v>
      </c>
      <c r="E994">
        <v>6.7</v>
      </c>
      <c r="F994">
        <v>2.46</v>
      </c>
      <c r="G994">
        <v>712</v>
      </c>
    </row>
    <row r="995" spans="1:7" x14ac:dyDescent="0.25">
      <c r="A995" t="s">
        <v>953</v>
      </c>
      <c r="B995">
        <v>2014</v>
      </c>
      <c r="C995">
        <v>15</v>
      </c>
      <c r="D995">
        <v>139</v>
      </c>
      <c r="E995">
        <v>8</v>
      </c>
      <c r="F995">
        <v>3.49</v>
      </c>
      <c r="G995" s="1">
        <v>60572</v>
      </c>
    </row>
    <row r="996" spans="1:7" x14ac:dyDescent="0.25">
      <c r="A996" t="s">
        <v>957</v>
      </c>
      <c r="B996">
        <v>2014</v>
      </c>
      <c r="C996">
        <v>18</v>
      </c>
      <c r="D996">
        <v>111</v>
      </c>
      <c r="E996">
        <v>7.1</v>
      </c>
      <c r="F996">
        <v>0.14000000000000001</v>
      </c>
      <c r="G996" s="1">
        <v>30020</v>
      </c>
    </row>
    <row r="997" spans="1:7" x14ac:dyDescent="0.25">
      <c r="A997" t="s">
        <v>959</v>
      </c>
      <c r="B997">
        <v>2014</v>
      </c>
      <c r="C997">
        <v>15</v>
      </c>
      <c r="D997">
        <v>97</v>
      </c>
      <c r="E997">
        <v>4.9000000000000004</v>
      </c>
      <c r="F997">
        <v>84.53</v>
      </c>
      <c r="G997" s="1">
        <v>54109</v>
      </c>
    </row>
    <row r="998" spans="1:7" x14ac:dyDescent="0.25">
      <c r="A998" t="s">
        <v>962</v>
      </c>
      <c r="B998">
        <v>2014</v>
      </c>
      <c r="C998">
        <v>15</v>
      </c>
      <c r="D998">
        <v>104</v>
      </c>
      <c r="E998">
        <v>6.5</v>
      </c>
      <c r="F998">
        <v>0.03</v>
      </c>
      <c r="G998" s="1">
        <v>14068</v>
      </c>
    </row>
    <row r="999" spans="1:7" x14ac:dyDescent="0.25">
      <c r="A999" t="s">
        <v>963</v>
      </c>
      <c r="B999">
        <v>2014</v>
      </c>
      <c r="C999">
        <v>15</v>
      </c>
      <c r="D999">
        <v>95</v>
      </c>
      <c r="E999">
        <v>7.1</v>
      </c>
      <c r="F999">
        <v>0.02</v>
      </c>
      <c r="G999" s="1">
        <v>4896</v>
      </c>
    </row>
    <row r="1000" spans="1:7" x14ac:dyDescent="0.25">
      <c r="A1000" t="s">
        <v>967</v>
      </c>
      <c r="B1000">
        <v>2014</v>
      </c>
      <c r="C1000">
        <v>15</v>
      </c>
      <c r="D1000">
        <v>120</v>
      </c>
      <c r="E1000">
        <v>7.2</v>
      </c>
      <c r="F1000">
        <v>1.36</v>
      </c>
      <c r="G1000" s="1">
        <v>64693</v>
      </c>
    </row>
    <row r="1001" spans="1:7" x14ac:dyDescent="0.25">
      <c r="A1001" t="s">
        <v>969</v>
      </c>
      <c r="B1001">
        <v>2014</v>
      </c>
      <c r="C1001">
        <v>15</v>
      </c>
      <c r="D1001">
        <v>109</v>
      </c>
      <c r="E1001">
        <v>6.8</v>
      </c>
      <c r="F1001">
        <v>0.1</v>
      </c>
      <c r="G1001" s="1">
        <v>3084</v>
      </c>
    </row>
    <row r="1002" spans="1:7" x14ac:dyDescent="0.25">
      <c r="A1002" t="s">
        <v>970</v>
      </c>
      <c r="B1002">
        <v>2014</v>
      </c>
      <c r="C1002">
        <v>15</v>
      </c>
      <c r="D1002">
        <v>112</v>
      </c>
      <c r="E1002">
        <v>6.8</v>
      </c>
      <c r="F1002">
        <v>2.46</v>
      </c>
      <c r="G1002" s="1">
        <v>59447</v>
      </c>
    </row>
    <row r="1003" spans="1:7" x14ac:dyDescent="0.25">
      <c r="A1003" t="s">
        <v>977</v>
      </c>
      <c r="B1003">
        <v>2014</v>
      </c>
      <c r="C1003">
        <v>15</v>
      </c>
      <c r="D1003">
        <v>100</v>
      </c>
      <c r="E1003">
        <v>7.2</v>
      </c>
      <c r="F1003">
        <v>2.46</v>
      </c>
      <c r="G1003" s="1">
        <v>4039</v>
      </c>
    </row>
    <row r="1004" spans="1:7" x14ac:dyDescent="0.25">
      <c r="A1004" t="s">
        <v>978</v>
      </c>
      <c r="B1004">
        <v>2014</v>
      </c>
      <c r="C1004">
        <v>15</v>
      </c>
      <c r="D1004">
        <v>80</v>
      </c>
      <c r="E1004">
        <v>6.9</v>
      </c>
      <c r="F1004">
        <v>2.46</v>
      </c>
      <c r="G1004">
        <v>281</v>
      </c>
    </row>
    <row r="1005" spans="1:7" x14ac:dyDescent="0.25">
      <c r="A1005" t="s">
        <v>980</v>
      </c>
      <c r="B1005">
        <v>2014</v>
      </c>
      <c r="C1005">
        <v>15</v>
      </c>
      <c r="D1005">
        <v>121</v>
      </c>
      <c r="E1005">
        <v>7.4</v>
      </c>
      <c r="F1005">
        <v>12.55</v>
      </c>
      <c r="G1005" s="1">
        <v>41801</v>
      </c>
    </row>
    <row r="1006" spans="1:7" x14ac:dyDescent="0.25">
      <c r="A1006" t="s">
        <v>987</v>
      </c>
      <c r="B1006">
        <v>2014</v>
      </c>
      <c r="C1006">
        <v>15</v>
      </c>
      <c r="D1006">
        <v>111</v>
      </c>
      <c r="E1006">
        <v>6.8</v>
      </c>
      <c r="F1006">
        <v>2.46</v>
      </c>
      <c r="G1006" s="1">
        <v>3796</v>
      </c>
    </row>
    <row r="1007" spans="1:7" x14ac:dyDescent="0.25">
      <c r="A1007" t="s">
        <v>988</v>
      </c>
      <c r="B1007">
        <v>2014</v>
      </c>
      <c r="C1007">
        <v>15</v>
      </c>
      <c r="D1007">
        <v>135</v>
      </c>
      <c r="E1007">
        <v>7.1</v>
      </c>
      <c r="F1007">
        <v>2.46</v>
      </c>
      <c r="G1007" s="1">
        <v>12026</v>
      </c>
    </row>
    <row r="1008" spans="1:7" x14ac:dyDescent="0.25">
      <c r="A1008" t="s">
        <v>991</v>
      </c>
      <c r="B1008">
        <v>2014</v>
      </c>
      <c r="C1008">
        <v>15</v>
      </c>
      <c r="D1008">
        <v>93</v>
      </c>
      <c r="E1008">
        <v>6.3</v>
      </c>
      <c r="F1008">
        <v>2.46</v>
      </c>
      <c r="G1008" s="1">
        <v>1571</v>
      </c>
    </row>
    <row r="1009" spans="1:7" x14ac:dyDescent="0.25">
      <c r="A1009" t="s">
        <v>992</v>
      </c>
      <c r="B1009">
        <v>2014</v>
      </c>
      <c r="C1009">
        <v>15</v>
      </c>
      <c r="D1009">
        <v>118</v>
      </c>
      <c r="E1009">
        <v>6.7</v>
      </c>
      <c r="F1009">
        <v>0.15</v>
      </c>
      <c r="G1009" s="1">
        <v>17133</v>
      </c>
    </row>
    <row r="1010" spans="1:7" x14ac:dyDescent="0.25">
      <c r="A1010" t="s">
        <v>993</v>
      </c>
      <c r="B1010">
        <v>2014</v>
      </c>
      <c r="C1010">
        <v>15</v>
      </c>
      <c r="D1010">
        <v>110</v>
      </c>
      <c r="E1010">
        <v>6.7</v>
      </c>
      <c r="F1010">
        <v>2.46</v>
      </c>
      <c r="G1010" s="1">
        <v>9320</v>
      </c>
    </row>
    <row r="1011" spans="1:7" x14ac:dyDescent="0.25">
      <c r="A1011" t="s">
        <v>996</v>
      </c>
      <c r="B1011">
        <v>2014</v>
      </c>
      <c r="C1011">
        <v>15</v>
      </c>
      <c r="D1011">
        <v>108</v>
      </c>
      <c r="E1011">
        <v>5.9</v>
      </c>
      <c r="F1011">
        <v>0.15</v>
      </c>
      <c r="G1011" s="1">
        <v>2602</v>
      </c>
    </row>
    <row r="1012" spans="1:7" x14ac:dyDescent="0.25">
      <c r="A1012" t="s">
        <v>1007</v>
      </c>
      <c r="B1012">
        <v>2014</v>
      </c>
      <c r="C1012">
        <v>15</v>
      </c>
      <c r="D1012">
        <v>94</v>
      </c>
      <c r="E1012">
        <v>5.8</v>
      </c>
      <c r="F1012">
        <v>0.14000000000000001</v>
      </c>
      <c r="G1012" s="1">
        <v>10601</v>
      </c>
    </row>
    <row r="1013" spans="1:7" x14ac:dyDescent="0.25">
      <c r="A1013" t="s">
        <v>1025</v>
      </c>
      <c r="B1013">
        <v>2014</v>
      </c>
      <c r="C1013">
        <v>18</v>
      </c>
      <c r="D1013">
        <v>93</v>
      </c>
      <c r="E1013">
        <v>5.7</v>
      </c>
      <c r="F1013">
        <v>2.46</v>
      </c>
      <c r="G1013" s="1">
        <v>4393</v>
      </c>
    </row>
    <row r="1014" spans="1:7" x14ac:dyDescent="0.25">
      <c r="A1014" t="s">
        <v>1040</v>
      </c>
      <c r="B1014">
        <v>2014</v>
      </c>
      <c r="C1014">
        <v>15</v>
      </c>
      <c r="D1014">
        <v>97</v>
      </c>
      <c r="E1014">
        <v>6.3</v>
      </c>
      <c r="F1014">
        <v>2.46</v>
      </c>
      <c r="G1014" s="1">
        <v>1428</v>
      </c>
    </row>
    <row r="1015" spans="1:7" x14ac:dyDescent="0.25">
      <c r="A1015" t="s">
        <v>1042</v>
      </c>
      <c r="B1015">
        <v>2014</v>
      </c>
      <c r="C1015">
        <v>12</v>
      </c>
      <c r="D1015">
        <v>93</v>
      </c>
      <c r="E1015">
        <v>6</v>
      </c>
      <c r="F1015">
        <v>2.46</v>
      </c>
      <c r="G1015" s="1">
        <v>1582</v>
      </c>
    </row>
    <row r="1016" spans="1:7" x14ac:dyDescent="0.25">
      <c r="A1016" t="s">
        <v>1046</v>
      </c>
      <c r="B1016">
        <v>2014</v>
      </c>
      <c r="C1016">
        <v>15</v>
      </c>
      <c r="D1016">
        <v>99</v>
      </c>
      <c r="E1016">
        <v>5.7</v>
      </c>
      <c r="F1016">
        <v>2.46</v>
      </c>
      <c r="G1016" s="1">
        <v>15669</v>
      </c>
    </row>
    <row r="1017" spans="1:7" x14ac:dyDescent="0.25">
      <c r="A1017" t="s">
        <v>1049</v>
      </c>
      <c r="B1017">
        <v>2014</v>
      </c>
      <c r="C1017">
        <v>15</v>
      </c>
      <c r="D1017">
        <v>105</v>
      </c>
      <c r="E1017">
        <v>6.5</v>
      </c>
      <c r="F1017">
        <v>2.46</v>
      </c>
      <c r="G1017" s="1">
        <v>5290</v>
      </c>
    </row>
    <row r="1018" spans="1:7" x14ac:dyDescent="0.25">
      <c r="A1018" t="s">
        <v>1056</v>
      </c>
      <c r="B1018">
        <v>2014</v>
      </c>
      <c r="C1018">
        <v>18</v>
      </c>
      <c r="D1018">
        <v>90</v>
      </c>
      <c r="E1018">
        <v>7.2</v>
      </c>
      <c r="F1018">
        <v>1.03</v>
      </c>
      <c r="G1018" s="1">
        <v>3979</v>
      </c>
    </row>
    <row r="1019" spans="1:7" x14ac:dyDescent="0.25">
      <c r="A1019" t="s">
        <v>1059</v>
      </c>
      <c r="B1019">
        <v>2014</v>
      </c>
      <c r="C1019">
        <v>12</v>
      </c>
      <c r="D1019">
        <v>100</v>
      </c>
      <c r="E1019">
        <v>7.2</v>
      </c>
      <c r="F1019">
        <v>0.28000000000000003</v>
      </c>
      <c r="G1019" s="1">
        <v>11406</v>
      </c>
    </row>
    <row r="1020" spans="1:7" x14ac:dyDescent="0.25">
      <c r="A1020" t="s">
        <v>1062</v>
      </c>
      <c r="B1020">
        <v>2014</v>
      </c>
      <c r="C1020">
        <v>15</v>
      </c>
      <c r="D1020">
        <v>90</v>
      </c>
      <c r="E1020">
        <v>6.4</v>
      </c>
      <c r="F1020">
        <v>3.45</v>
      </c>
      <c r="G1020" s="1">
        <v>8127</v>
      </c>
    </row>
    <row r="1021" spans="1:7" x14ac:dyDescent="0.25">
      <c r="A1021" t="s">
        <v>1063</v>
      </c>
      <c r="B1021">
        <v>2014</v>
      </c>
      <c r="C1021">
        <v>15</v>
      </c>
      <c r="D1021">
        <v>95</v>
      </c>
      <c r="E1021">
        <v>6</v>
      </c>
      <c r="F1021">
        <v>0.03</v>
      </c>
      <c r="G1021" s="1">
        <v>7459</v>
      </c>
    </row>
    <row r="1022" spans="1:7" x14ac:dyDescent="0.25">
      <c r="A1022" t="s">
        <v>1064</v>
      </c>
      <c r="B1022">
        <v>2014</v>
      </c>
      <c r="C1022">
        <v>15</v>
      </c>
      <c r="D1022">
        <v>117</v>
      </c>
      <c r="E1022">
        <v>6.6</v>
      </c>
      <c r="F1022">
        <v>0.18</v>
      </c>
      <c r="G1022">
        <v>764</v>
      </c>
    </row>
    <row r="1023" spans="1:7" x14ac:dyDescent="0.25">
      <c r="A1023" t="s">
        <v>1068</v>
      </c>
      <c r="B1023">
        <v>2014</v>
      </c>
      <c r="C1023">
        <v>15</v>
      </c>
      <c r="D1023">
        <v>102</v>
      </c>
      <c r="E1023">
        <v>5.3</v>
      </c>
      <c r="F1023">
        <v>2.46</v>
      </c>
      <c r="G1023" s="1">
        <v>7623</v>
      </c>
    </row>
    <row r="1024" spans="1:7" x14ac:dyDescent="0.25">
      <c r="A1024" t="s">
        <v>1075</v>
      </c>
      <c r="B1024">
        <v>2014</v>
      </c>
      <c r="C1024">
        <v>15</v>
      </c>
      <c r="D1024">
        <v>97</v>
      </c>
      <c r="E1024">
        <v>6.3</v>
      </c>
      <c r="F1024">
        <v>7.57</v>
      </c>
      <c r="G1024" s="1">
        <v>52711</v>
      </c>
    </row>
    <row r="1025" spans="1:7" x14ac:dyDescent="0.25">
      <c r="A1025" t="s">
        <v>1076</v>
      </c>
      <c r="B1025">
        <v>2014</v>
      </c>
      <c r="C1025">
        <v>15</v>
      </c>
      <c r="D1025">
        <v>101</v>
      </c>
      <c r="E1025">
        <v>6.3</v>
      </c>
      <c r="F1025">
        <v>131.54</v>
      </c>
      <c r="G1025" s="1">
        <v>98004</v>
      </c>
    </row>
    <row r="1026" spans="1:7" x14ac:dyDescent="0.25">
      <c r="A1026" t="s">
        <v>1083</v>
      </c>
      <c r="B1026">
        <v>2014</v>
      </c>
      <c r="C1026">
        <v>12</v>
      </c>
      <c r="D1026">
        <v>140</v>
      </c>
      <c r="E1026">
        <v>7.6</v>
      </c>
      <c r="F1026">
        <v>1.0900000000000001</v>
      </c>
      <c r="G1026" s="1">
        <v>56010</v>
      </c>
    </row>
    <row r="1027" spans="1:7" x14ac:dyDescent="0.25">
      <c r="A1027" t="s">
        <v>1084</v>
      </c>
      <c r="B1027">
        <v>2014</v>
      </c>
      <c r="C1027">
        <v>15</v>
      </c>
      <c r="D1027">
        <v>120</v>
      </c>
      <c r="E1027">
        <v>5.7</v>
      </c>
      <c r="F1027">
        <v>0.16</v>
      </c>
      <c r="G1027" s="1">
        <v>4432</v>
      </c>
    </row>
    <row r="1028" spans="1:7" x14ac:dyDescent="0.25">
      <c r="A1028" t="s">
        <v>1087</v>
      </c>
      <c r="B1028">
        <v>2014</v>
      </c>
      <c r="C1028">
        <v>15</v>
      </c>
      <c r="D1028">
        <v>112</v>
      </c>
      <c r="E1028">
        <v>7.1</v>
      </c>
      <c r="F1028">
        <v>1.41</v>
      </c>
      <c r="G1028" s="1">
        <v>36548</v>
      </c>
    </row>
    <row r="1029" spans="1:7" x14ac:dyDescent="0.25">
      <c r="A1029" t="s">
        <v>1092</v>
      </c>
      <c r="B1029">
        <v>2014</v>
      </c>
      <c r="C1029">
        <v>15</v>
      </c>
      <c r="D1029">
        <v>94</v>
      </c>
      <c r="E1029">
        <v>6.3</v>
      </c>
      <c r="F1029">
        <v>2.46</v>
      </c>
      <c r="G1029" s="1">
        <v>2194</v>
      </c>
    </row>
    <row r="1030" spans="1:7" x14ac:dyDescent="0.25">
      <c r="A1030" t="s">
        <v>1102</v>
      </c>
      <c r="B1030">
        <v>2014</v>
      </c>
      <c r="C1030">
        <v>15</v>
      </c>
      <c r="D1030">
        <v>90</v>
      </c>
      <c r="E1030">
        <v>4.5999999999999996</v>
      </c>
      <c r="F1030">
        <v>2.46</v>
      </c>
      <c r="G1030" s="1">
        <v>7604</v>
      </c>
    </row>
    <row r="1031" spans="1:7" x14ac:dyDescent="0.25">
      <c r="A1031" t="s">
        <v>1137</v>
      </c>
      <c r="B1031">
        <v>2014</v>
      </c>
      <c r="C1031">
        <v>15</v>
      </c>
      <c r="D1031">
        <v>90</v>
      </c>
      <c r="E1031">
        <v>7.5</v>
      </c>
      <c r="F1031">
        <v>0.12</v>
      </c>
      <c r="G1031" s="1">
        <v>10398</v>
      </c>
    </row>
    <row r="1032" spans="1:7" x14ac:dyDescent="0.25">
      <c r="A1032" t="s">
        <v>1140</v>
      </c>
      <c r="B1032">
        <v>2014</v>
      </c>
      <c r="C1032">
        <v>15</v>
      </c>
      <c r="D1032">
        <v>112</v>
      </c>
      <c r="E1032">
        <v>5.3</v>
      </c>
      <c r="F1032">
        <v>0.05</v>
      </c>
      <c r="G1032" s="1">
        <v>3952</v>
      </c>
    </row>
    <row r="1033" spans="1:7" x14ac:dyDescent="0.25">
      <c r="A1033" t="s">
        <v>1149</v>
      </c>
      <c r="B1033">
        <v>2014</v>
      </c>
      <c r="C1033">
        <v>12</v>
      </c>
      <c r="D1033">
        <v>115</v>
      </c>
      <c r="E1033">
        <v>7</v>
      </c>
      <c r="F1033">
        <v>2.44</v>
      </c>
      <c r="G1033" s="1">
        <v>48417</v>
      </c>
    </row>
    <row r="1034" spans="1:7" x14ac:dyDescent="0.25">
      <c r="A1034" t="s">
        <v>1152</v>
      </c>
      <c r="B1034">
        <v>2014</v>
      </c>
      <c r="C1034">
        <v>15</v>
      </c>
      <c r="D1034">
        <v>97</v>
      </c>
      <c r="E1034">
        <v>5</v>
      </c>
      <c r="F1034">
        <v>2.46</v>
      </c>
      <c r="G1034" s="1">
        <v>1841</v>
      </c>
    </row>
    <row r="1035" spans="1:7" x14ac:dyDescent="0.25">
      <c r="A1035" t="s">
        <v>1165</v>
      </c>
      <c r="B1035">
        <v>2014</v>
      </c>
      <c r="C1035">
        <v>15</v>
      </c>
      <c r="D1035">
        <v>92</v>
      </c>
      <c r="E1035">
        <v>4.3</v>
      </c>
      <c r="F1035">
        <v>2.46</v>
      </c>
      <c r="G1035" s="1">
        <v>2306</v>
      </c>
    </row>
    <row r="1036" spans="1:7" x14ac:dyDescent="0.25">
      <c r="A1036" t="s">
        <v>1166</v>
      </c>
      <c r="B1036">
        <v>2014</v>
      </c>
      <c r="C1036">
        <v>15</v>
      </c>
      <c r="D1036">
        <v>90</v>
      </c>
      <c r="E1036">
        <v>6.9</v>
      </c>
      <c r="F1036">
        <v>1.43</v>
      </c>
      <c r="G1036" s="1">
        <v>16805</v>
      </c>
    </row>
    <row r="1037" spans="1:7" x14ac:dyDescent="0.25">
      <c r="A1037" t="s">
        <v>1167</v>
      </c>
      <c r="B1037">
        <v>2014</v>
      </c>
      <c r="C1037">
        <v>15</v>
      </c>
      <c r="D1037">
        <v>104</v>
      </c>
      <c r="E1037">
        <v>7.2</v>
      </c>
      <c r="F1037">
        <v>0.28000000000000003</v>
      </c>
      <c r="G1037" s="1">
        <v>1861</v>
      </c>
    </row>
    <row r="1038" spans="1:7" x14ac:dyDescent="0.25">
      <c r="A1038" t="s">
        <v>1170</v>
      </c>
      <c r="B1038">
        <v>2014</v>
      </c>
      <c r="C1038">
        <v>15</v>
      </c>
      <c r="D1038">
        <v>98</v>
      </c>
      <c r="E1038">
        <v>7.3</v>
      </c>
      <c r="F1038">
        <v>2.46</v>
      </c>
      <c r="G1038" s="1">
        <v>20186</v>
      </c>
    </row>
    <row r="1039" spans="1:7" x14ac:dyDescent="0.25">
      <c r="A1039" t="s">
        <v>1179</v>
      </c>
      <c r="B1039">
        <v>2014</v>
      </c>
      <c r="C1039">
        <v>15</v>
      </c>
      <c r="D1039">
        <v>97</v>
      </c>
      <c r="E1039">
        <v>6</v>
      </c>
      <c r="F1039">
        <v>0.6</v>
      </c>
      <c r="G1039" s="1">
        <v>68398</v>
      </c>
    </row>
    <row r="1040" spans="1:7" x14ac:dyDescent="0.25">
      <c r="A1040" t="s">
        <v>1180</v>
      </c>
      <c r="B1040">
        <v>2014</v>
      </c>
      <c r="C1040">
        <v>12</v>
      </c>
      <c r="D1040">
        <v>104</v>
      </c>
      <c r="E1040">
        <v>6.2</v>
      </c>
      <c r="F1040">
        <v>0.14000000000000001</v>
      </c>
      <c r="G1040" s="1">
        <v>2002</v>
      </c>
    </row>
    <row r="1041" spans="1:7" x14ac:dyDescent="0.25">
      <c r="A1041" t="s">
        <v>1181</v>
      </c>
      <c r="B1041">
        <v>2014</v>
      </c>
      <c r="C1041">
        <v>15</v>
      </c>
      <c r="D1041">
        <v>110</v>
      </c>
      <c r="E1041">
        <v>5.0999999999999996</v>
      </c>
      <c r="F1041">
        <v>2.46</v>
      </c>
      <c r="G1041">
        <v>998</v>
      </c>
    </row>
    <row r="1042" spans="1:7" x14ac:dyDescent="0.25">
      <c r="A1042" t="s">
        <v>1182</v>
      </c>
      <c r="B1042">
        <v>2014</v>
      </c>
      <c r="C1042">
        <v>15</v>
      </c>
      <c r="D1042">
        <v>84</v>
      </c>
      <c r="E1042">
        <v>5.9</v>
      </c>
      <c r="F1042">
        <v>2.46</v>
      </c>
      <c r="G1042">
        <v>544</v>
      </c>
    </row>
    <row r="1043" spans="1:7" x14ac:dyDescent="0.25">
      <c r="A1043" t="s">
        <v>1185</v>
      </c>
      <c r="B1043">
        <v>2014</v>
      </c>
      <c r="C1043">
        <v>15</v>
      </c>
      <c r="D1043">
        <v>99</v>
      </c>
      <c r="E1043">
        <v>6</v>
      </c>
      <c r="F1043">
        <v>0.04</v>
      </c>
      <c r="G1043" s="1">
        <v>5609</v>
      </c>
    </row>
    <row r="1044" spans="1:7" x14ac:dyDescent="0.25">
      <c r="A1044" t="s">
        <v>1190</v>
      </c>
      <c r="B1044">
        <v>2014</v>
      </c>
      <c r="C1044">
        <v>15</v>
      </c>
      <c r="D1044">
        <v>90</v>
      </c>
      <c r="E1044">
        <v>4.3</v>
      </c>
      <c r="F1044">
        <v>2.46</v>
      </c>
      <c r="G1044" s="1">
        <v>3893</v>
      </c>
    </row>
    <row r="1045" spans="1:7" x14ac:dyDescent="0.25">
      <c r="A1045" t="s">
        <v>1194</v>
      </c>
      <c r="B1045">
        <v>2014</v>
      </c>
      <c r="C1045">
        <v>15</v>
      </c>
      <c r="D1045">
        <v>109</v>
      </c>
      <c r="E1045">
        <v>6.4</v>
      </c>
      <c r="F1045">
        <v>2.46</v>
      </c>
      <c r="G1045" s="1">
        <v>5791</v>
      </c>
    </row>
    <row r="1046" spans="1:7" x14ac:dyDescent="0.25">
      <c r="A1046" t="s">
        <v>1195</v>
      </c>
      <c r="B1046">
        <v>2014</v>
      </c>
      <c r="C1046">
        <v>15</v>
      </c>
      <c r="D1046">
        <v>120</v>
      </c>
      <c r="E1046">
        <v>6.9</v>
      </c>
      <c r="F1046">
        <v>1.1200000000000001</v>
      </c>
      <c r="G1046" s="1">
        <v>49975</v>
      </c>
    </row>
    <row r="1047" spans="1:7" x14ac:dyDescent="0.25">
      <c r="A1047" t="s">
        <v>1205</v>
      </c>
      <c r="B1047">
        <v>2014</v>
      </c>
      <c r="C1047">
        <v>15</v>
      </c>
      <c r="D1047">
        <v>138</v>
      </c>
      <c r="E1047">
        <v>6.2</v>
      </c>
      <c r="F1047">
        <v>0.03</v>
      </c>
      <c r="G1047" s="1">
        <v>7896</v>
      </c>
    </row>
    <row r="1048" spans="1:7" x14ac:dyDescent="0.25">
      <c r="A1048" t="s">
        <v>1207</v>
      </c>
      <c r="B1048">
        <v>2014</v>
      </c>
      <c r="C1048">
        <v>15</v>
      </c>
      <c r="D1048">
        <v>93</v>
      </c>
      <c r="E1048">
        <v>7.2</v>
      </c>
      <c r="F1048">
        <v>0.01</v>
      </c>
      <c r="G1048" s="1">
        <v>9973</v>
      </c>
    </row>
    <row r="1049" spans="1:7" x14ac:dyDescent="0.25">
      <c r="A1049" t="s">
        <v>1208</v>
      </c>
      <c r="B1049">
        <v>2014</v>
      </c>
      <c r="C1049">
        <v>15</v>
      </c>
      <c r="D1049">
        <v>102</v>
      </c>
      <c r="E1049">
        <v>5.5</v>
      </c>
      <c r="F1049">
        <v>2.46</v>
      </c>
      <c r="G1049" s="1">
        <v>1546</v>
      </c>
    </row>
    <row r="1050" spans="1:7" x14ac:dyDescent="0.25">
      <c r="A1050" t="s">
        <v>1210</v>
      </c>
      <c r="B1050">
        <v>2014</v>
      </c>
      <c r="C1050">
        <v>15</v>
      </c>
      <c r="D1050">
        <v>98</v>
      </c>
      <c r="E1050">
        <v>5.0999999999999996</v>
      </c>
      <c r="F1050">
        <v>8.5</v>
      </c>
      <c r="G1050" s="1">
        <v>20948</v>
      </c>
    </row>
    <row r="1051" spans="1:7" x14ac:dyDescent="0.25">
      <c r="A1051" t="s">
        <v>1213</v>
      </c>
      <c r="B1051">
        <v>2014</v>
      </c>
      <c r="C1051">
        <v>15</v>
      </c>
      <c r="D1051">
        <v>108</v>
      </c>
      <c r="E1051">
        <v>6.6</v>
      </c>
      <c r="F1051">
        <v>2.87</v>
      </c>
      <c r="G1051" s="1">
        <v>16052</v>
      </c>
    </row>
    <row r="1052" spans="1:7" x14ac:dyDescent="0.25">
      <c r="A1052" t="s">
        <v>1214</v>
      </c>
      <c r="B1052">
        <v>2014</v>
      </c>
      <c r="C1052">
        <v>15</v>
      </c>
      <c r="D1052">
        <v>102</v>
      </c>
      <c r="E1052">
        <v>6.8</v>
      </c>
      <c r="F1052">
        <v>2.46</v>
      </c>
      <c r="G1052" s="1">
        <v>6731</v>
      </c>
    </row>
    <row r="1053" spans="1:7" x14ac:dyDescent="0.25">
      <c r="A1053" t="s">
        <v>1218</v>
      </c>
      <c r="B1053">
        <v>2014</v>
      </c>
      <c r="C1053">
        <v>15</v>
      </c>
      <c r="D1053">
        <v>98</v>
      </c>
      <c r="E1053">
        <v>7</v>
      </c>
      <c r="F1053">
        <v>2.46</v>
      </c>
      <c r="G1053" s="1">
        <v>13735</v>
      </c>
    </row>
    <row r="1054" spans="1:7" x14ac:dyDescent="0.25">
      <c r="A1054" t="s">
        <v>1221</v>
      </c>
      <c r="B1054">
        <v>2014</v>
      </c>
      <c r="C1054">
        <v>15</v>
      </c>
      <c r="D1054">
        <v>104</v>
      </c>
      <c r="E1054">
        <v>6.9</v>
      </c>
      <c r="F1054">
        <v>0.03</v>
      </c>
      <c r="G1054" s="1">
        <v>4989</v>
      </c>
    </row>
    <row r="1055" spans="1:7" x14ac:dyDescent="0.25">
      <c r="A1055" t="s">
        <v>1222</v>
      </c>
      <c r="B1055">
        <v>2014</v>
      </c>
      <c r="C1055">
        <v>15</v>
      </c>
      <c r="D1055">
        <v>117</v>
      </c>
      <c r="E1055">
        <v>6.1</v>
      </c>
      <c r="F1055">
        <v>2.46</v>
      </c>
      <c r="G1055" s="1">
        <v>2817</v>
      </c>
    </row>
    <row r="1056" spans="1:7" x14ac:dyDescent="0.25">
      <c r="A1056" t="s">
        <v>1223</v>
      </c>
      <c r="B1056">
        <v>2014</v>
      </c>
      <c r="C1056">
        <v>12</v>
      </c>
      <c r="D1056">
        <v>108</v>
      </c>
      <c r="E1056">
        <v>6.3</v>
      </c>
      <c r="F1056">
        <v>0.14000000000000001</v>
      </c>
      <c r="G1056" s="1">
        <v>6887</v>
      </c>
    </row>
    <row r="1057" spans="1:7" x14ac:dyDescent="0.25">
      <c r="A1057" t="s">
        <v>1233</v>
      </c>
      <c r="B1057">
        <v>2014</v>
      </c>
      <c r="C1057">
        <v>15</v>
      </c>
      <c r="D1057">
        <v>84</v>
      </c>
      <c r="E1057">
        <v>7.1</v>
      </c>
      <c r="F1057">
        <v>0.23</v>
      </c>
      <c r="G1057" s="1">
        <v>5797</v>
      </c>
    </row>
    <row r="1058" spans="1:7" x14ac:dyDescent="0.25">
      <c r="A1058" t="s">
        <v>1234</v>
      </c>
      <c r="B1058">
        <v>2014</v>
      </c>
      <c r="C1058">
        <v>15</v>
      </c>
      <c r="D1058">
        <v>85</v>
      </c>
      <c r="E1058">
        <v>6.2</v>
      </c>
      <c r="F1058">
        <v>2.46</v>
      </c>
      <c r="G1058" s="1">
        <v>1706</v>
      </c>
    </row>
    <row r="1059" spans="1:7" x14ac:dyDescent="0.25">
      <c r="A1059" t="s">
        <v>1244</v>
      </c>
      <c r="B1059">
        <v>2014</v>
      </c>
      <c r="C1059">
        <v>15</v>
      </c>
      <c r="D1059">
        <v>87</v>
      </c>
      <c r="E1059">
        <v>5.0999999999999996</v>
      </c>
      <c r="F1059">
        <v>2.46</v>
      </c>
      <c r="G1059">
        <v>977</v>
      </c>
    </row>
    <row r="1060" spans="1:7" x14ac:dyDescent="0.25">
      <c r="A1060" t="s">
        <v>1245</v>
      </c>
      <c r="B1060">
        <v>2014</v>
      </c>
      <c r="C1060">
        <v>15</v>
      </c>
      <c r="D1060">
        <v>90</v>
      </c>
      <c r="E1060">
        <v>5.9</v>
      </c>
      <c r="F1060">
        <v>2.46</v>
      </c>
      <c r="G1060" s="1">
        <v>4630</v>
      </c>
    </row>
    <row r="1061" spans="1:7" x14ac:dyDescent="0.25">
      <c r="A1061" t="s">
        <v>1249</v>
      </c>
      <c r="B1061">
        <v>2014</v>
      </c>
      <c r="C1061">
        <v>15</v>
      </c>
      <c r="D1061">
        <v>103</v>
      </c>
      <c r="E1061">
        <v>8.3000000000000007</v>
      </c>
      <c r="F1061">
        <v>0.11</v>
      </c>
      <c r="G1061" s="1">
        <v>13643</v>
      </c>
    </row>
    <row r="1062" spans="1:7" x14ac:dyDescent="0.25">
      <c r="A1062" t="s">
        <v>1263</v>
      </c>
      <c r="B1062">
        <v>2014</v>
      </c>
      <c r="C1062">
        <v>15</v>
      </c>
      <c r="D1062">
        <v>104</v>
      </c>
      <c r="E1062">
        <v>7.6</v>
      </c>
      <c r="F1062">
        <v>0.01</v>
      </c>
      <c r="G1062" s="1">
        <v>6175</v>
      </c>
    </row>
    <row r="1063" spans="1:7" x14ac:dyDescent="0.25">
      <c r="A1063" t="s">
        <v>1268</v>
      </c>
      <c r="B1063">
        <v>2014</v>
      </c>
      <c r="C1063">
        <v>15</v>
      </c>
      <c r="D1063">
        <v>71</v>
      </c>
      <c r="E1063">
        <v>6.9</v>
      </c>
      <c r="F1063">
        <v>0.01</v>
      </c>
      <c r="G1063" s="1">
        <v>1807</v>
      </c>
    </row>
    <row r="1064" spans="1:7" x14ac:dyDescent="0.25">
      <c r="A1064" t="s">
        <v>1273</v>
      </c>
      <c r="B1064">
        <v>2014</v>
      </c>
      <c r="C1064">
        <v>15</v>
      </c>
      <c r="D1064">
        <v>103</v>
      </c>
      <c r="E1064">
        <v>5.7</v>
      </c>
      <c r="F1064">
        <v>1.01</v>
      </c>
      <c r="G1064" s="1">
        <v>3281</v>
      </c>
    </row>
    <row r="1065" spans="1:7" x14ac:dyDescent="0.25">
      <c r="A1065" t="s">
        <v>1279</v>
      </c>
      <c r="B1065">
        <v>2014</v>
      </c>
      <c r="C1065">
        <v>15</v>
      </c>
      <c r="D1065">
        <v>92</v>
      </c>
      <c r="E1065">
        <v>4.5999999999999996</v>
      </c>
      <c r="F1065">
        <v>0.01</v>
      </c>
      <c r="G1065" s="1">
        <v>1100</v>
      </c>
    </row>
    <row r="1066" spans="1:7" x14ac:dyDescent="0.25">
      <c r="A1066" t="s">
        <v>1280</v>
      </c>
      <c r="B1066">
        <v>2014</v>
      </c>
      <c r="C1066">
        <v>15</v>
      </c>
      <c r="D1066">
        <v>111</v>
      </c>
      <c r="E1066">
        <v>5.6</v>
      </c>
      <c r="F1066">
        <v>2.46</v>
      </c>
      <c r="G1066">
        <v>869</v>
      </c>
    </row>
    <row r="1067" spans="1:7" x14ac:dyDescent="0.25">
      <c r="A1067" t="s">
        <v>1284</v>
      </c>
      <c r="B1067">
        <v>2014</v>
      </c>
      <c r="C1067">
        <v>15</v>
      </c>
      <c r="D1067">
        <v>95</v>
      </c>
      <c r="E1067">
        <v>7</v>
      </c>
      <c r="F1067">
        <v>0.17</v>
      </c>
      <c r="G1067" s="1">
        <v>2221</v>
      </c>
    </row>
    <row r="1068" spans="1:7" x14ac:dyDescent="0.25">
      <c r="A1068" t="s">
        <v>1287</v>
      </c>
      <c r="B1068">
        <v>2014</v>
      </c>
      <c r="C1068">
        <v>15</v>
      </c>
      <c r="D1068">
        <v>100</v>
      </c>
      <c r="E1068">
        <v>5.0999999999999996</v>
      </c>
      <c r="F1068">
        <v>2.46</v>
      </c>
      <c r="G1068" s="1">
        <v>14962</v>
      </c>
    </row>
    <row r="1069" spans="1:7" x14ac:dyDescent="0.25">
      <c r="A1069" t="s">
        <v>1288</v>
      </c>
      <c r="B1069">
        <v>2014</v>
      </c>
      <c r="C1069">
        <v>15</v>
      </c>
      <c r="D1069">
        <v>90</v>
      </c>
      <c r="E1069">
        <v>5.2</v>
      </c>
      <c r="F1069">
        <v>0</v>
      </c>
      <c r="G1069" s="1">
        <v>1026</v>
      </c>
    </row>
    <row r="1070" spans="1:7" x14ac:dyDescent="0.25">
      <c r="A1070" t="s">
        <v>1295</v>
      </c>
      <c r="B1070">
        <v>2014</v>
      </c>
      <c r="C1070">
        <v>15</v>
      </c>
      <c r="D1070">
        <v>110</v>
      </c>
      <c r="E1070">
        <v>8.4</v>
      </c>
      <c r="F1070">
        <v>1.34</v>
      </c>
      <c r="G1070" s="1">
        <v>22898</v>
      </c>
    </row>
    <row r="1071" spans="1:7" x14ac:dyDescent="0.25">
      <c r="A1071" t="s">
        <v>1298</v>
      </c>
      <c r="B1071">
        <v>2014</v>
      </c>
      <c r="C1071">
        <v>12</v>
      </c>
      <c r="D1071">
        <v>90</v>
      </c>
      <c r="E1071">
        <v>7.4</v>
      </c>
      <c r="F1071">
        <v>2.46</v>
      </c>
      <c r="G1071" s="1">
        <v>10680</v>
      </c>
    </row>
    <row r="1072" spans="1:7" x14ac:dyDescent="0.25">
      <c r="A1072" t="s">
        <v>1316</v>
      </c>
      <c r="B1072">
        <v>2014</v>
      </c>
      <c r="C1072">
        <v>15</v>
      </c>
      <c r="D1072">
        <v>74</v>
      </c>
      <c r="E1072">
        <v>7</v>
      </c>
      <c r="F1072">
        <v>0.11</v>
      </c>
      <c r="G1072" s="1">
        <v>3305</v>
      </c>
    </row>
    <row r="1073" spans="1:7" x14ac:dyDescent="0.25">
      <c r="A1073" t="s">
        <v>1336</v>
      </c>
      <c r="B1073">
        <v>2014</v>
      </c>
      <c r="C1073">
        <v>15</v>
      </c>
      <c r="D1073">
        <v>97</v>
      </c>
      <c r="E1073">
        <v>5.5</v>
      </c>
      <c r="F1073">
        <v>0.13</v>
      </c>
      <c r="G1073" s="1">
        <v>7916</v>
      </c>
    </row>
    <row r="1074" spans="1:7" x14ac:dyDescent="0.25">
      <c r="A1074" t="s">
        <v>1337</v>
      </c>
      <c r="B1074">
        <v>2014</v>
      </c>
      <c r="C1074">
        <v>15</v>
      </c>
      <c r="D1074">
        <v>138</v>
      </c>
      <c r="E1074">
        <v>6.2</v>
      </c>
      <c r="F1074">
        <v>0.05</v>
      </c>
      <c r="G1074" s="1">
        <v>1579</v>
      </c>
    </row>
    <row r="1075" spans="1:7" x14ac:dyDescent="0.25">
      <c r="A1075" t="s">
        <v>1341</v>
      </c>
      <c r="B1075">
        <v>2014</v>
      </c>
      <c r="C1075">
        <v>15</v>
      </c>
      <c r="D1075">
        <v>92</v>
      </c>
      <c r="E1075">
        <v>6.8</v>
      </c>
      <c r="F1075">
        <v>111.51</v>
      </c>
      <c r="G1075" s="1">
        <v>76105</v>
      </c>
    </row>
    <row r="1076" spans="1:7" x14ac:dyDescent="0.25">
      <c r="A1076" t="s">
        <v>1349</v>
      </c>
      <c r="B1076">
        <v>2014</v>
      </c>
      <c r="C1076">
        <v>15</v>
      </c>
      <c r="D1076">
        <v>120</v>
      </c>
      <c r="E1076">
        <v>8.1999999999999993</v>
      </c>
      <c r="F1076">
        <v>2.46</v>
      </c>
      <c r="G1076" s="1">
        <v>3731</v>
      </c>
    </row>
    <row r="1077" spans="1:7" x14ac:dyDescent="0.25">
      <c r="A1077" t="s">
        <v>1350</v>
      </c>
      <c r="B1077">
        <v>2014</v>
      </c>
      <c r="C1077">
        <v>15</v>
      </c>
      <c r="D1077">
        <v>83</v>
      </c>
      <c r="E1077">
        <v>5.7</v>
      </c>
      <c r="F1077">
        <v>2.46</v>
      </c>
      <c r="G1077" s="1">
        <v>23694</v>
      </c>
    </row>
    <row r="1078" spans="1:7" x14ac:dyDescent="0.25">
      <c r="A1078" t="s">
        <v>1355</v>
      </c>
      <c r="B1078">
        <v>2014</v>
      </c>
      <c r="C1078">
        <v>15</v>
      </c>
      <c r="D1078">
        <v>84</v>
      </c>
      <c r="E1078">
        <v>7.5</v>
      </c>
      <c r="F1078">
        <v>0.57999999999999996</v>
      </c>
      <c r="G1078" s="1">
        <v>1135</v>
      </c>
    </row>
    <row r="1079" spans="1:7" x14ac:dyDescent="0.25">
      <c r="A1079" t="s">
        <v>1360</v>
      </c>
      <c r="B1079">
        <v>2014</v>
      </c>
      <c r="C1079">
        <v>15</v>
      </c>
      <c r="D1079">
        <v>91</v>
      </c>
      <c r="E1079">
        <v>6.9</v>
      </c>
      <c r="F1079">
        <v>0.02</v>
      </c>
      <c r="G1079">
        <v>961</v>
      </c>
    </row>
    <row r="1080" spans="1:7" x14ac:dyDescent="0.25">
      <c r="A1080" t="s">
        <v>1390</v>
      </c>
      <c r="B1080">
        <v>2014</v>
      </c>
      <c r="C1080">
        <v>15</v>
      </c>
      <c r="D1080">
        <v>88</v>
      </c>
      <c r="E1080">
        <v>5.0999999999999996</v>
      </c>
      <c r="F1080">
        <v>2.46</v>
      </c>
      <c r="G1080" s="1">
        <v>7742</v>
      </c>
    </row>
    <row r="1081" spans="1:7" x14ac:dyDescent="0.25">
      <c r="A1081" t="s">
        <v>1391</v>
      </c>
      <c r="B1081">
        <v>2014</v>
      </c>
      <c r="C1081">
        <v>15</v>
      </c>
      <c r="D1081">
        <v>118</v>
      </c>
      <c r="E1081">
        <v>6.5</v>
      </c>
      <c r="F1081">
        <v>0.02</v>
      </c>
      <c r="G1081" s="1">
        <v>5749</v>
      </c>
    </row>
    <row r="1082" spans="1:7" x14ac:dyDescent="0.25">
      <c r="A1082" t="s">
        <v>1392</v>
      </c>
      <c r="B1082">
        <v>2014</v>
      </c>
      <c r="C1082">
        <v>15</v>
      </c>
      <c r="D1082">
        <v>114</v>
      </c>
      <c r="E1082">
        <v>7.1</v>
      </c>
      <c r="F1082">
        <v>0.01</v>
      </c>
      <c r="G1082" s="1">
        <v>22578</v>
      </c>
    </row>
    <row r="1083" spans="1:7" x14ac:dyDescent="0.25">
      <c r="A1083" t="s">
        <v>1393</v>
      </c>
      <c r="B1083">
        <v>2014</v>
      </c>
      <c r="C1083">
        <v>15</v>
      </c>
      <c r="D1083">
        <v>85</v>
      </c>
      <c r="E1083">
        <v>5.7</v>
      </c>
      <c r="F1083">
        <v>64.25</v>
      </c>
      <c r="G1083" s="1">
        <v>29778</v>
      </c>
    </row>
    <row r="1084" spans="1:7" x14ac:dyDescent="0.25">
      <c r="A1084" t="s">
        <v>1394</v>
      </c>
      <c r="B1084">
        <v>2014</v>
      </c>
      <c r="C1084">
        <v>12</v>
      </c>
      <c r="D1084">
        <v>121</v>
      </c>
      <c r="E1084">
        <v>6.8</v>
      </c>
      <c r="F1084">
        <v>0.28000000000000003</v>
      </c>
      <c r="G1084" s="1">
        <v>16915</v>
      </c>
    </row>
    <row r="1085" spans="1:7" x14ac:dyDescent="0.25">
      <c r="A1085" t="s">
        <v>1395</v>
      </c>
      <c r="B1085">
        <v>2014</v>
      </c>
      <c r="C1085">
        <v>12</v>
      </c>
      <c r="D1085">
        <v>101</v>
      </c>
      <c r="E1085">
        <v>6.9</v>
      </c>
      <c r="F1085">
        <v>0.22</v>
      </c>
      <c r="G1085" s="1">
        <v>19301</v>
      </c>
    </row>
    <row r="1086" spans="1:7" x14ac:dyDescent="0.25">
      <c r="A1086" t="s">
        <v>1410</v>
      </c>
      <c r="B1086">
        <v>2014</v>
      </c>
      <c r="C1086">
        <v>15</v>
      </c>
      <c r="D1086">
        <v>90</v>
      </c>
      <c r="E1086">
        <v>6.2</v>
      </c>
      <c r="F1086">
        <v>0.03</v>
      </c>
      <c r="G1086" s="1">
        <v>2697</v>
      </c>
    </row>
    <row r="1087" spans="1:7" x14ac:dyDescent="0.25">
      <c r="A1087" t="s">
        <v>1423</v>
      </c>
      <c r="B1087">
        <v>2014</v>
      </c>
      <c r="C1087">
        <v>15</v>
      </c>
      <c r="D1087">
        <v>104</v>
      </c>
      <c r="E1087">
        <v>6.4</v>
      </c>
      <c r="F1087">
        <v>2.46</v>
      </c>
      <c r="G1087">
        <v>237</v>
      </c>
    </row>
    <row r="1088" spans="1:7" x14ac:dyDescent="0.25">
      <c r="A1088" t="s">
        <v>1466</v>
      </c>
      <c r="B1088">
        <v>2014</v>
      </c>
      <c r="C1088">
        <v>12</v>
      </c>
      <c r="D1088">
        <v>94</v>
      </c>
      <c r="E1088">
        <v>6.8</v>
      </c>
      <c r="F1088">
        <v>2.46</v>
      </c>
      <c r="G1088" s="1">
        <v>1973</v>
      </c>
    </row>
    <row r="1089" spans="1:7" x14ac:dyDescent="0.25">
      <c r="A1089" t="s">
        <v>1469</v>
      </c>
      <c r="B1089">
        <v>2014</v>
      </c>
      <c r="C1089">
        <v>15</v>
      </c>
      <c r="D1089">
        <v>116</v>
      </c>
      <c r="E1089">
        <v>6.8</v>
      </c>
      <c r="F1089">
        <v>14.62</v>
      </c>
      <c r="G1089" s="1">
        <v>17175</v>
      </c>
    </row>
    <row r="1090" spans="1:7" x14ac:dyDescent="0.25">
      <c r="A1090" t="s">
        <v>1470</v>
      </c>
      <c r="B1090">
        <v>2014</v>
      </c>
      <c r="C1090">
        <v>15</v>
      </c>
      <c r="D1090">
        <v>77</v>
      </c>
      <c r="E1090">
        <v>6.3</v>
      </c>
      <c r="F1090">
        <v>2.46</v>
      </c>
      <c r="G1090">
        <v>607</v>
      </c>
    </row>
    <row r="1091" spans="1:7" x14ac:dyDescent="0.25">
      <c r="A1091" t="s">
        <v>1474</v>
      </c>
      <c r="B1091">
        <v>2014</v>
      </c>
      <c r="C1091">
        <v>15</v>
      </c>
      <c r="D1091">
        <v>79</v>
      </c>
      <c r="E1091">
        <v>7.1</v>
      </c>
      <c r="F1091">
        <v>1.31</v>
      </c>
      <c r="G1091" s="1">
        <v>4570</v>
      </c>
    </row>
    <row r="1092" spans="1:7" x14ac:dyDescent="0.25">
      <c r="A1092" t="s">
        <v>1483</v>
      </c>
      <c r="B1092">
        <v>2014</v>
      </c>
      <c r="C1092">
        <v>15</v>
      </c>
      <c r="D1092">
        <v>99</v>
      </c>
      <c r="E1092">
        <v>5.6</v>
      </c>
      <c r="F1092">
        <v>2.46</v>
      </c>
      <c r="G1092" s="1">
        <v>1115</v>
      </c>
    </row>
    <row r="1093" spans="1:7" x14ac:dyDescent="0.25">
      <c r="A1093" t="s">
        <v>1576</v>
      </c>
      <c r="B1093">
        <v>2014</v>
      </c>
      <c r="C1093">
        <v>12</v>
      </c>
      <c r="D1093">
        <v>115</v>
      </c>
      <c r="E1093">
        <v>6.8</v>
      </c>
      <c r="F1093">
        <v>2.46</v>
      </c>
      <c r="G1093" s="1">
        <v>3008</v>
      </c>
    </row>
    <row r="1094" spans="1:7" x14ac:dyDescent="0.25">
      <c r="A1094" t="s">
        <v>1620</v>
      </c>
      <c r="B1094">
        <v>2014</v>
      </c>
      <c r="C1094">
        <v>15</v>
      </c>
      <c r="D1094">
        <v>86</v>
      </c>
      <c r="E1094">
        <v>6.5</v>
      </c>
      <c r="F1094">
        <v>2.46</v>
      </c>
      <c r="G1094" s="1">
        <v>4617</v>
      </c>
    </row>
    <row r="1095" spans="1:7" x14ac:dyDescent="0.25">
      <c r="A1095" t="s">
        <v>1633</v>
      </c>
      <c r="B1095">
        <v>2014</v>
      </c>
      <c r="C1095">
        <v>15</v>
      </c>
      <c r="D1095">
        <v>84</v>
      </c>
      <c r="E1095">
        <v>5.8</v>
      </c>
      <c r="F1095">
        <v>2.46</v>
      </c>
      <c r="G1095" s="1">
        <v>4003</v>
      </c>
    </row>
    <row r="1096" spans="1:7" x14ac:dyDescent="0.25">
      <c r="A1096" t="s">
        <v>1694</v>
      </c>
      <c r="B1096">
        <v>2014</v>
      </c>
      <c r="C1096">
        <v>12</v>
      </c>
      <c r="D1096">
        <v>112</v>
      </c>
      <c r="E1096">
        <v>6.8</v>
      </c>
      <c r="F1096">
        <v>0.12</v>
      </c>
      <c r="G1096">
        <v>369</v>
      </c>
    </row>
    <row r="1097" spans="1:7" x14ac:dyDescent="0.25">
      <c r="A1097" t="s">
        <v>1783</v>
      </c>
      <c r="B1097">
        <v>2014</v>
      </c>
      <c r="C1097">
        <v>15</v>
      </c>
      <c r="D1097">
        <v>106</v>
      </c>
      <c r="E1097">
        <v>7.1</v>
      </c>
      <c r="F1097">
        <v>3.5</v>
      </c>
      <c r="G1097" s="1">
        <v>4521</v>
      </c>
    </row>
    <row r="1098" spans="1:7" x14ac:dyDescent="0.25">
      <c r="A1098" t="s">
        <v>1789</v>
      </c>
      <c r="B1098">
        <v>2014</v>
      </c>
      <c r="C1098">
        <v>15</v>
      </c>
      <c r="D1098">
        <v>102</v>
      </c>
      <c r="E1098">
        <v>5</v>
      </c>
      <c r="F1098">
        <v>2.46</v>
      </c>
      <c r="G1098" s="1">
        <v>1990</v>
      </c>
    </row>
    <row r="1099" spans="1:7" x14ac:dyDescent="0.25">
      <c r="A1099" t="s">
        <v>1803</v>
      </c>
      <c r="B1099">
        <v>2014</v>
      </c>
      <c r="C1099">
        <v>15</v>
      </c>
      <c r="D1099">
        <v>85</v>
      </c>
      <c r="E1099">
        <v>4.8</v>
      </c>
      <c r="F1099">
        <v>2.46</v>
      </c>
      <c r="G1099">
        <v>765</v>
      </c>
    </row>
    <row r="1100" spans="1:7" x14ac:dyDescent="0.25">
      <c r="A1100" t="s">
        <v>1825</v>
      </c>
      <c r="B1100">
        <v>2014</v>
      </c>
      <c r="C1100">
        <v>15</v>
      </c>
      <c r="D1100">
        <v>95</v>
      </c>
      <c r="E1100">
        <v>4.9000000000000004</v>
      </c>
      <c r="F1100">
        <v>2.46</v>
      </c>
      <c r="G1100" s="1">
        <v>3189</v>
      </c>
    </row>
    <row r="1101" spans="1:7" x14ac:dyDescent="0.25">
      <c r="A1101" t="s">
        <v>1888</v>
      </c>
      <c r="B1101">
        <v>2014</v>
      </c>
      <c r="C1101">
        <v>15</v>
      </c>
      <c r="D1101">
        <v>88</v>
      </c>
      <c r="E1101">
        <v>7.4</v>
      </c>
      <c r="F1101">
        <v>0.02</v>
      </c>
      <c r="G1101">
        <v>888</v>
      </c>
    </row>
    <row r="1102" spans="1:7" x14ac:dyDescent="0.25">
      <c r="A1102" t="s">
        <v>1898</v>
      </c>
      <c r="B1102">
        <v>2014</v>
      </c>
      <c r="C1102">
        <v>15</v>
      </c>
      <c r="D1102">
        <v>103</v>
      </c>
      <c r="E1102">
        <v>6.9</v>
      </c>
      <c r="F1102">
        <v>2.46</v>
      </c>
      <c r="G1102" s="1">
        <v>1908</v>
      </c>
    </row>
    <row r="1103" spans="1:7" x14ac:dyDescent="0.25">
      <c r="A1103" t="s">
        <v>1899</v>
      </c>
      <c r="B1103">
        <v>2014</v>
      </c>
      <c r="C1103">
        <v>15</v>
      </c>
      <c r="D1103">
        <v>99</v>
      </c>
      <c r="E1103">
        <v>5.8</v>
      </c>
      <c r="F1103">
        <v>91.44</v>
      </c>
      <c r="G1103" s="1">
        <v>28153</v>
      </c>
    </row>
    <row r="1104" spans="1:7" x14ac:dyDescent="0.25">
      <c r="A1104" t="s">
        <v>1904</v>
      </c>
      <c r="B1104">
        <v>2014</v>
      </c>
      <c r="C1104">
        <v>15</v>
      </c>
      <c r="D1104">
        <v>97</v>
      </c>
      <c r="E1104">
        <v>7.2</v>
      </c>
      <c r="F1104">
        <v>0.1</v>
      </c>
      <c r="G1104" s="1">
        <v>4461</v>
      </c>
    </row>
    <row r="1105" spans="1:7" x14ac:dyDescent="0.25">
      <c r="A1105" t="s">
        <v>647</v>
      </c>
      <c r="B1105">
        <v>2015</v>
      </c>
      <c r="C1105">
        <v>15</v>
      </c>
      <c r="D1105">
        <v>96</v>
      </c>
      <c r="E1105">
        <v>5.7</v>
      </c>
      <c r="F1105">
        <v>2.46</v>
      </c>
      <c r="G1105" s="1">
        <v>2049</v>
      </c>
    </row>
    <row r="1106" spans="1:7" x14ac:dyDescent="0.25">
      <c r="A1106" t="s">
        <v>740</v>
      </c>
      <c r="B1106">
        <v>2015</v>
      </c>
      <c r="C1106">
        <v>15</v>
      </c>
      <c r="D1106">
        <v>92</v>
      </c>
      <c r="E1106">
        <v>5.6</v>
      </c>
      <c r="F1106">
        <v>0</v>
      </c>
      <c r="G1106" s="1">
        <v>58859</v>
      </c>
    </row>
    <row r="1107" spans="1:7" x14ac:dyDescent="0.25">
      <c r="A1107" t="s">
        <v>761</v>
      </c>
      <c r="B1107">
        <v>2015</v>
      </c>
      <c r="C1107">
        <v>12</v>
      </c>
      <c r="D1107">
        <v>109</v>
      </c>
      <c r="E1107">
        <v>4.5999999999999996</v>
      </c>
      <c r="F1107">
        <v>2.46</v>
      </c>
      <c r="G1107" s="1">
        <v>3390</v>
      </c>
    </row>
    <row r="1108" spans="1:7" x14ac:dyDescent="0.25">
      <c r="A1108" t="s">
        <v>765</v>
      </c>
      <c r="B1108">
        <v>2015</v>
      </c>
      <c r="C1108">
        <v>15</v>
      </c>
      <c r="D1108">
        <v>127</v>
      </c>
      <c r="E1108">
        <v>5.3</v>
      </c>
      <c r="F1108">
        <v>47.39</v>
      </c>
      <c r="G1108" s="1">
        <v>192841</v>
      </c>
    </row>
    <row r="1109" spans="1:7" x14ac:dyDescent="0.25">
      <c r="A1109" t="s">
        <v>776</v>
      </c>
      <c r="B1109">
        <v>2015</v>
      </c>
      <c r="C1109">
        <v>18</v>
      </c>
      <c r="D1109">
        <v>127</v>
      </c>
      <c r="E1109">
        <v>5.9</v>
      </c>
      <c r="F1109">
        <v>7.0000000000000007E-2</v>
      </c>
      <c r="G1109" s="1">
        <v>20950</v>
      </c>
    </row>
    <row r="1110" spans="1:7" x14ac:dyDescent="0.25">
      <c r="A1110" t="s">
        <v>779</v>
      </c>
      <c r="B1110">
        <v>2015</v>
      </c>
      <c r="C1110">
        <v>15</v>
      </c>
      <c r="D1110">
        <v>91</v>
      </c>
      <c r="E1110">
        <v>4.7</v>
      </c>
      <c r="F1110">
        <v>35.39</v>
      </c>
      <c r="G1110" s="1">
        <v>44590</v>
      </c>
    </row>
    <row r="1111" spans="1:7" x14ac:dyDescent="0.25">
      <c r="A1111" t="s">
        <v>780</v>
      </c>
      <c r="B1111">
        <v>2015</v>
      </c>
      <c r="C1111">
        <v>15</v>
      </c>
      <c r="D1111">
        <v>95</v>
      </c>
      <c r="E1111">
        <v>6.1</v>
      </c>
      <c r="F1111">
        <v>2.46</v>
      </c>
      <c r="G1111" s="1">
        <v>21479</v>
      </c>
    </row>
    <row r="1112" spans="1:7" x14ac:dyDescent="0.25">
      <c r="A1112" t="s">
        <v>788</v>
      </c>
      <c r="B1112">
        <v>2015</v>
      </c>
      <c r="C1112">
        <v>15</v>
      </c>
      <c r="D1112">
        <v>123</v>
      </c>
      <c r="E1112">
        <v>7</v>
      </c>
      <c r="F1112">
        <v>37.450000000000003</v>
      </c>
      <c r="G1112" s="1">
        <v>87080</v>
      </c>
    </row>
    <row r="1113" spans="1:7" x14ac:dyDescent="0.25">
      <c r="A1113" t="s">
        <v>796</v>
      </c>
      <c r="B1113">
        <v>2015</v>
      </c>
      <c r="C1113">
        <v>15</v>
      </c>
      <c r="D1113">
        <v>115</v>
      </c>
      <c r="E1113">
        <v>6.2</v>
      </c>
      <c r="F1113">
        <v>2.46</v>
      </c>
      <c r="G1113" s="1">
        <v>44935</v>
      </c>
    </row>
    <row r="1114" spans="1:7" x14ac:dyDescent="0.25">
      <c r="A1114" t="s">
        <v>797</v>
      </c>
      <c r="B1114">
        <v>2015</v>
      </c>
      <c r="C1114">
        <v>15</v>
      </c>
      <c r="D1114">
        <v>125</v>
      </c>
      <c r="E1114">
        <v>4.2</v>
      </c>
      <c r="F1114">
        <v>166.17</v>
      </c>
      <c r="G1114" s="1">
        <v>330856</v>
      </c>
    </row>
    <row r="1115" spans="1:7" x14ac:dyDescent="0.25">
      <c r="A1115" t="s">
        <v>799</v>
      </c>
      <c r="B1115">
        <v>2015</v>
      </c>
      <c r="C1115">
        <v>15</v>
      </c>
      <c r="D1115">
        <v>94</v>
      </c>
      <c r="E1115">
        <v>5.4</v>
      </c>
      <c r="F1115">
        <v>2.46</v>
      </c>
      <c r="G1115" s="1">
        <v>2075</v>
      </c>
    </row>
    <row r="1116" spans="1:7" x14ac:dyDescent="0.25">
      <c r="A1116" t="s">
        <v>800</v>
      </c>
      <c r="B1116">
        <v>2015</v>
      </c>
      <c r="C1116">
        <v>15</v>
      </c>
      <c r="D1116">
        <v>96</v>
      </c>
      <c r="E1116">
        <v>4.2</v>
      </c>
      <c r="F1116">
        <v>2.46</v>
      </c>
      <c r="G1116" s="1">
        <v>16945</v>
      </c>
    </row>
    <row r="1117" spans="1:7" x14ac:dyDescent="0.25">
      <c r="A1117" t="s">
        <v>806</v>
      </c>
      <c r="B1117">
        <v>2015</v>
      </c>
      <c r="C1117">
        <v>15</v>
      </c>
      <c r="D1117">
        <v>133</v>
      </c>
      <c r="E1117">
        <v>5.5</v>
      </c>
      <c r="F1117">
        <v>7.1</v>
      </c>
      <c r="G1117" s="1">
        <v>63099</v>
      </c>
    </row>
    <row r="1118" spans="1:7" x14ac:dyDescent="0.25">
      <c r="A1118" t="s">
        <v>817</v>
      </c>
      <c r="B1118">
        <v>2015</v>
      </c>
      <c r="C1118">
        <v>15</v>
      </c>
      <c r="D1118">
        <v>95</v>
      </c>
      <c r="E1118">
        <v>5.6</v>
      </c>
      <c r="F1118">
        <v>0.19</v>
      </c>
      <c r="G1118" s="1">
        <v>46078</v>
      </c>
    </row>
    <row r="1119" spans="1:7" x14ac:dyDescent="0.25">
      <c r="A1119" t="s">
        <v>830</v>
      </c>
      <c r="B1119">
        <v>2015</v>
      </c>
      <c r="C1119">
        <v>18</v>
      </c>
      <c r="D1119">
        <v>129</v>
      </c>
      <c r="E1119">
        <v>7.4</v>
      </c>
      <c r="F1119">
        <v>44.47</v>
      </c>
      <c r="G1119" s="1">
        <v>41291</v>
      </c>
    </row>
    <row r="1120" spans="1:7" x14ac:dyDescent="0.25">
      <c r="A1120" t="s">
        <v>831</v>
      </c>
      <c r="B1120">
        <v>2015</v>
      </c>
      <c r="C1120">
        <v>15</v>
      </c>
      <c r="D1120">
        <v>112</v>
      </c>
      <c r="E1120">
        <v>7.2</v>
      </c>
      <c r="F1120">
        <v>42.48</v>
      </c>
      <c r="G1120" s="1">
        <v>196317</v>
      </c>
    </row>
    <row r="1121" spans="1:7" x14ac:dyDescent="0.25">
      <c r="A1121" t="s">
        <v>833</v>
      </c>
      <c r="B1121">
        <v>2015</v>
      </c>
      <c r="C1121">
        <v>15</v>
      </c>
      <c r="D1121">
        <v>114</v>
      </c>
      <c r="E1121">
        <v>7.2</v>
      </c>
      <c r="F1121">
        <v>3.61</v>
      </c>
      <c r="G1121" s="1">
        <v>11684</v>
      </c>
    </row>
    <row r="1122" spans="1:7" x14ac:dyDescent="0.25">
      <c r="A1122" t="s">
        <v>843</v>
      </c>
      <c r="B1122">
        <v>2015</v>
      </c>
      <c r="C1122">
        <v>15</v>
      </c>
      <c r="D1122">
        <v>114</v>
      </c>
      <c r="E1122">
        <v>6.6</v>
      </c>
      <c r="F1122">
        <v>26.46</v>
      </c>
      <c r="G1122" s="1">
        <v>113591</v>
      </c>
    </row>
    <row r="1123" spans="1:7" x14ac:dyDescent="0.25">
      <c r="A1123" t="s">
        <v>844</v>
      </c>
      <c r="B1123">
        <v>2015</v>
      </c>
      <c r="C1123">
        <v>15</v>
      </c>
      <c r="D1123">
        <v>83</v>
      </c>
      <c r="E1123">
        <v>5.2</v>
      </c>
      <c r="F1123">
        <v>25.8</v>
      </c>
      <c r="G1123" s="1">
        <v>45552</v>
      </c>
    </row>
    <row r="1124" spans="1:7" x14ac:dyDescent="0.25">
      <c r="A1124" t="s">
        <v>847</v>
      </c>
      <c r="B1124">
        <v>2015</v>
      </c>
      <c r="C1124">
        <v>15</v>
      </c>
      <c r="D1124">
        <v>120</v>
      </c>
      <c r="E1124">
        <v>6.8</v>
      </c>
      <c r="F1124">
        <v>31.57</v>
      </c>
      <c r="G1124" s="1">
        <v>264981</v>
      </c>
    </row>
    <row r="1125" spans="1:7" x14ac:dyDescent="0.25">
      <c r="A1125" t="s">
        <v>848</v>
      </c>
      <c r="B1125">
        <v>2015</v>
      </c>
      <c r="C1125">
        <v>15</v>
      </c>
      <c r="D1125">
        <v>96</v>
      </c>
      <c r="E1125">
        <v>5.6</v>
      </c>
      <c r="F1125">
        <v>2.46</v>
      </c>
      <c r="G1125" s="1">
        <v>35276</v>
      </c>
    </row>
    <row r="1126" spans="1:7" x14ac:dyDescent="0.25">
      <c r="A1126" t="s">
        <v>861</v>
      </c>
      <c r="B1126">
        <v>2015</v>
      </c>
      <c r="C1126">
        <v>15</v>
      </c>
      <c r="D1126">
        <v>106</v>
      </c>
      <c r="E1126">
        <v>7</v>
      </c>
      <c r="F1126">
        <v>5.35</v>
      </c>
      <c r="G1126" s="1">
        <v>32812</v>
      </c>
    </row>
    <row r="1127" spans="1:7" x14ac:dyDescent="0.25">
      <c r="A1127" t="s">
        <v>867</v>
      </c>
      <c r="B1127">
        <v>2015</v>
      </c>
      <c r="C1127">
        <v>15</v>
      </c>
      <c r="D1127">
        <v>100</v>
      </c>
      <c r="E1127">
        <v>4.8</v>
      </c>
      <c r="F1127">
        <v>2.46</v>
      </c>
      <c r="G1127" s="1">
        <v>3867</v>
      </c>
    </row>
    <row r="1128" spans="1:7" x14ac:dyDescent="0.25">
      <c r="A1128" t="s">
        <v>868</v>
      </c>
      <c r="B1128">
        <v>2015</v>
      </c>
      <c r="C1128">
        <v>15</v>
      </c>
      <c r="D1128">
        <v>109</v>
      </c>
      <c r="E1128">
        <v>7.3</v>
      </c>
      <c r="F1128">
        <v>33.31</v>
      </c>
      <c r="G1128" s="1">
        <v>62045</v>
      </c>
    </row>
    <row r="1129" spans="1:7" x14ac:dyDescent="0.25">
      <c r="A1129" t="s">
        <v>875</v>
      </c>
      <c r="B1129">
        <v>2015</v>
      </c>
      <c r="C1129">
        <v>15</v>
      </c>
      <c r="D1129">
        <v>119</v>
      </c>
      <c r="E1129">
        <v>6.2</v>
      </c>
      <c r="F1129">
        <v>130.18</v>
      </c>
      <c r="G1129" s="1">
        <v>249902</v>
      </c>
    </row>
    <row r="1130" spans="1:7" x14ac:dyDescent="0.25">
      <c r="A1130" t="s">
        <v>880</v>
      </c>
      <c r="B1130">
        <v>2015</v>
      </c>
      <c r="C1130">
        <v>15</v>
      </c>
      <c r="D1130">
        <v>105</v>
      </c>
      <c r="E1130">
        <v>5.5</v>
      </c>
      <c r="F1130">
        <v>0.1</v>
      </c>
      <c r="G1130" s="1">
        <v>7609</v>
      </c>
    </row>
    <row r="1131" spans="1:7" x14ac:dyDescent="0.25">
      <c r="A1131" t="s">
        <v>884</v>
      </c>
      <c r="B1131">
        <v>2015</v>
      </c>
      <c r="C1131">
        <v>15</v>
      </c>
      <c r="D1131">
        <v>132</v>
      </c>
      <c r="E1131">
        <v>7.5</v>
      </c>
      <c r="F1131">
        <v>2.46</v>
      </c>
      <c r="G1131" s="1">
        <v>31642</v>
      </c>
    </row>
    <row r="1132" spans="1:7" x14ac:dyDescent="0.25">
      <c r="A1132" t="s">
        <v>886</v>
      </c>
      <c r="B1132">
        <v>2015</v>
      </c>
      <c r="C1132">
        <v>15</v>
      </c>
      <c r="D1132">
        <v>105</v>
      </c>
      <c r="E1132">
        <v>6.9</v>
      </c>
      <c r="F1132">
        <v>201.15</v>
      </c>
      <c r="G1132" s="1">
        <v>186922</v>
      </c>
    </row>
    <row r="1133" spans="1:7" x14ac:dyDescent="0.25">
      <c r="A1133" t="s">
        <v>887</v>
      </c>
      <c r="B1133">
        <v>2015</v>
      </c>
      <c r="C1133">
        <v>15</v>
      </c>
      <c r="D1133">
        <v>100</v>
      </c>
      <c r="E1133">
        <v>4.9000000000000004</v>
      </c>
      <c r="F1133">
        <v>2.46</v>
      </c>
      <c r="G1133" s="1">
        <v>1319</v>
      </c>
    </row>
    <row r="1134" spans="1:7" x14ac:dyDescent="0.25">
      <c r="A1134" t="s">
        <v>890</v>
      </c>
      <c r="B1134">
        <v>2015</v>
      </c>
      <c r="C1134">
        <v>15</v>
      </c>
      <c r="D1134">
        <v>137</v>
      </c>
      <c r="E1134">
        <v>7.1</v>
      </c>
      <c r="F1134">
        <v>353.01</v>
      </c>
      <c r="G1134" s="1">
        <v>408496</v>
      </c>
    </row>
    <row r="1135" spans="1:7" x14ac:dyDescent="0.25">
      <c r="A1135" t="s">
        <v>891</v>
      </c>
      <c r="B1135">
        <v>2015</v>
      </c>
      <c r="C1135">
        <v>15</v>
      </c>
      <c r="D1135">
        <v>98</v>
      </c>
      <c r="E1135">
        <v>5.5</v>
      </c>
      <c r="F1135">
        <v>2.46</v>
      </c>
      <c r="G1135" s="1">
        <v>16300</v>
      </c>
    </row>
    <row r="1136" spans="1:7" x14ac:dyDescent="0.25">
      <c r="A1136" t="s">
        <v>892</v>
      </c>
      <c r="B1136">
        <v>2015</v>
      </c>
      <c r="C1136">
        <v>15</v>
      </c>
      <c r="D1136">
        <v>115</v>
      </c>
      <c r="E1136">
        <v>5.8</v>
      </c>
      <c r="F1136">
        <v>10.64</v>
      </c>
      <c r="G1136" s="1">
        <v>42959</v>
      </c>
    </row>
    <row r="1137" spans="1:7" x14ac:dyDescent="0.25">
      <c r="A1137" t="s">
        <v>897</v>
      </c>
      <c r="B1137">
        <v>2015</v>
      </c>
      <c r="C1137">
        <v>15</v>
      </c>
      <c r="D1137">
        <v>107</v>
      </c>
      <c r="E1137">
        <v>5.5</v>
      </c>
      <c r="F1137">
        <v>7.61</v>
      </c>
      <c r="G1137" s="1">
        <v>75889</v>
      </c>
    </row>
    <row r="1138" spans="1:7" x14ac:dyDescent="0.25">
      <c r="A1138" t="s">
        <v>898</v>
      </c>
      <c r="B1138">
        <v>2015</v>
      </c>
      <c r="C1138">
        <v>12</v>
      </c>
      <c r="D1138">
        <v>137</v>
      </c>
      <c r="E1138">
        <v>6.4</v>
      </c>
      <c r="F1138">
        <v>1.21</v>
      </c>
      <c r="G1138" s="1">
        <v>74772</v>
      </c>
    </row>
    <row r="1139" spans="1:7" x14ac:dyDescent="0.25">
      <c r="A1139" t="s">
        <v>901</v>
      </c>
      <c r="B1139">
        <v>2015</v>
      </c>
      <c r="C1139">
        <v>15</v>
      </c>
      <c r="D1139">
        <v>119</v>
      </c>
      <c r="E1139">
        <v>7.1</v>
      </c>
      <c r="F1139">
        <v>12.23</v>
      </c>
      <c r="G1139" s="1">
        <v>52527</v>
      </c>
    </row>
    <row r="1140" spans="1:7" x14ac:dyDescent="0.25">
      <c r="A1140" t="s">
        <v>902</v>
      </c>
      <c r="B1140">
        <v>2015</v>
      </c>
      <c r="C1140">
        <v>15</v>
      </c>
      <c r="D1140">
        <v>99</v>
      </c>
      <c r="E1140">
        <v>6.3</v>
      </c>
      <c r="F1140">
        <v>4.72</v>
      </c>
      <c r="G1140" s="1">
        <v>71638</v>
      </c>
    </row>
    <row r="1141" spans="1:7" x14ac:dyDescent="0.25">
      <c r="A1141" t="s">
        <v>903</v>
      </c>
      <c r="B1141">
        <v>2015</v>
      </c>
      <c r="C1141">
        <v>15</v>
      </c>
      <c r="D1141">
        <v>87</v>
      </c>
      <c r="E1141">
        <v>5.0999999999999996</v>
      </c>
      <c r="F1141">
        <v>34.51</v>
      </c>
      <c r="G1141" s="1">
        <v>53382</v>
      </c>
    </row>
    <row r="1142" spans="1:7" x14ac:dyDescent="0.25">
      <c r="A1142" t="s">
        <v>904</v>
      </c>
      <c r="B1142">
        <v>2015</v>
      </c>
      <c r="C1142">
        <v>15</v>
      </c>
      <c r="D1142">
        <v>112</v>
      </c>
      <c r="E1142">
        <v>6.1</v>
      </c>
      <c r="F1142">
        <v>2.46</v>
      </c>
      <c r="G1142" s="1">
        <v>4291</v>
      </c>
    </row>
    <row r="1143" spans="1:7" x14ac:dyDescent="0.25">
      <c r="A1143" t="s">
        <v>905</v>
      </c>
      <c r="B1143">
        <v>2015</v>
      </c>
      <c r="C1143">
        <v>18</v>
      </c>
      <c r="D1143">
        <v>119</v>
      </c>
      <c r="E1143">
        <v>5.5</v>
      </c>
      <c r="F1143">
        <v>2.46</v>
      </c>
      <c r="G1143" s="1">
        <v>2029</v>
      </c>
    </row>
    <row r="1144" spans="1:7" x14ac:dyDescent="0.25">
      <c r="A1144" t="s">
        <v>907</v>
      </c>
      <c r="B1144">
        <v>2015</v>
      </c>
      <c r="C1144">
        <v>15</v>
      </c>
      <c r="D1144">
        <v>120</v>
      </c>
      <c r="E1144">
        <v>8.1</v>
      </c>
      <c r="F1144">
        <v>154.06</v>
      </c>
      <c r="G1144" s="1">
        <v>1055728</v>
      </c>
    </row>
    <row r="1145" spans="1:7" x14ac:dyDescent="0.25">
      <c r="A1145" t="s">
        <v>908</v>
      </c>
      <c r="B1145">
        <v>2015</v>
      </c>
      <c r="C1145">
        <v>15</v>
      </c>
      <c r="D1145">
        <v>94</v>
      </c>
      <c r="E1145">
        <v>5.6</v>
      </c>
      <c r="F1145">
        <v>0</v>
      </c>
      <c r="G1145" s="1">
        <v>11754</v>
      </c>
    </row>
    <row r="1146" spans="1:7" x14ac:dyDescent="0.25">
      <c r="A1146" t="s">
        <v>909</v>
      </c>
      <c r="B1146">
        <v>2015</v>
      </c>
      <c r="C1146">
        <v>18</v>
      </c>
      <c r="D1146">
        <v>84</v>
      </c>
      <c r="E1146">
        <v>6.9</v>
      </c>
      <c r="F1146">
        <v>0.23</v>
      </c>
      <c r="G1146" s="1">
        <v>47237</v>
      </c>
    </row>
    <row r="1147" spans="1:7" x14ac:dyDescent="0.25">
      <c r="A1147" t="s">
        <v>910</v>
      </c>
      <c r="B1147">
        <v>2015</v>
      </c>
      <c r="C1147">
        <v>15</v>
      </c>
      <c r="D1147">
        <v>112</v>
      </c>
      <c r="E1147">
        <v>5.8</v>
      </c>
      <c r="F1147">
        <v>2.46</v>
      </c>
      <c r="G1147" s="1">
        <v>17663</v>
      </c>
    </row>
    <row r="1148" spans="1:7" x14ac:dyDescent="0.25">
      <c r="A1148" t="s">
        <v>911</v>
      </c>
      <c r="B1148">
        <v>2015</v>
      </c>
      <c r="C1148">
        <v>15</v>
      </c>
      <c r="D1148">
        <v>124</v>
      </c>
      <c r="E1148">
        <v>6.9</v>
      </c>
      <c r="F1148">
        <v>652.27</v>
      </c>
      <c r="G1148" s="1">
        <v>668605</v>
      </c>
    </row>
    <row r="1149" spans="1:7" x14ac:dyDescent="0.25">
      <c r="A1149" t="s">
        <v>916</v>
      </c>
      <c r="B1149">
        <v>2015</v>
      </c>
      <c r="C1149">
        <v>12</v>
      </c>
      <c r="D1149">
        <v>112</v>
      </c>
      <c r="E1149">
        <v>5.2</v>
      </c>
      <c r="F1149">
        <v>0.02</v>
      </c>
      <c r="G1149" s="1">
        <v>9909</v>
      </c>
    </row>
    <row r="1150" spans="1:7" x14ac:dyDescent="0.25">
      <c r="A1150" t="s">
        <v>917</v>
      </c>
      <c r="B1150">
        <v>2015</v>
      </c>
      <c r="C1150">
        <v>13</v>
      </c>
      <c r="D1150">
        <v>94</v>
      </c>
      <c r="E1150">
        <v>5.8</v>
      </c>
      <c r="F1150">
        <v>0.04</v>
      </c>
      <c r="G1150" s="1">
        <v>8954</v>
      </c>
    </row>
    <row r="1151" spans="1:7" x14ac:dyDescent="0.25">
      <c r="A1151" t="s">
        <v>920</v>
      </c>
      <c r="B1151">
        <v>2015</v>
      </c>
      <c r="C1151">
        <v>15</v>
      </c>
      <c r="D1151">
        <v>87</v>
      </c>
      <c r="E1151">
        <v>5.0999999999999996</v>
      </c>
      <c r="F1151">
        <v>2.46</v>
      </c>
      <c r="G1151" s="1">
        <v>5202</v>
      </c>
    </row>
    <row r="1152" spans="1:7" x14ac:dyDescent="0.25">
      <c r="A1152" t="s">
        <v>923</v>
      </c>
      <c r="B1152">
        <v>2015</v>
      </c>
      <c r="C1152">
        <v>12</v>
      </c>
      <c r="D1152">
        <v>105</v>
      </c>
      <c r="E1152">
        <v>5.4</v>
      </c>
      <c r="F1152">
        <v>20.99</v>
      </c>
      <c r="G1152" s="1">
        <v>69932</v>
      </c>
    </row>
    <row r="1153" spans="1:7" x14ac:dyDescent="0.25">
      <c r="A1153" t="s">
        <v>928</v>
      </c>
      <c r="B1153">
        <v>2015</v>
      </c>
      <c r="C1153">
        <v>18</v>
      </c>
      <c r="D1153">
        <v>113</v>
      </c>
      <c r="E1153">
        <v>6.2</v>
      </c>
      <c r="F1153">
        <v>2.46</v>
      </c>
      <c r="G1153" s="1">
        <v>47259</v>
      </c>
    </row>
    <row r="1154" spans="1:7" x14ac:dyDescent="0.25">
      <c r="A1154" t="s">
        <v>934</v>
      </c>
      <c r="B1154">
        <v>2015</v>
      </c>
      <c r="C1154">
        <v>15</v>
      </c>
      <c r="D1154">
        <v>106</v>
      </c>
      <c r="E1154">
        <v>6.8</v>
      </c>
      <c r="F1154">
        <v>0.3</v>
      </c>
      <c r="G1154" s="1">
        <v>7680</v>
      </c>
    </row>
    <row r="1155" spans="1:7" x14ac:dyDescent="0.25">
      <c r="A1155" t="s">
        <v>945</v>
      </c>
      <c r="B1155">
        <v>2015</v>
      </c>
      <c r="C1155">
        <v>18</v>
      </c>
      <c r="D1155">
        <v>92</v>
      </c>
      <c r="E1155">
        <v>6.7</v>
      </c>
      <c r="F1155">
        <v>7.43</v>
      </c>
      <c r="G1155" s="1">
        <v>7841</v>
      </c>
    </row>
    <row r="1156" spans="1:7" x14ac:dyDescent="0.25">
      <c r="A1156" t="s">
        <v>946</v>
      </c>
      <c r="B1156">
        <v>2015</v>
      </c>
      <c r="C1156">
        <v>15</v>
      </c>
      <c r="D1156">
        <v>147</v>
      </c>
      <c r="E1156">
        <v>7.8</v>
      </c>
      <c r="F1156">
        <v>161.19999999999999</v>
      </c>
      <c r="G1156" s="1">
        <v>213821</v>
      </c>
    </row>
    <row r="1157" spans="1:7" x14ac:dyDescent="0.25">
      <c r="A1157" t="s">
        <v>947</v>
      </c>
      <c r="B1157">
        <v>2015</v>
      </c>
      <c r="C1157">
        <v>15</v>
      </c>
      <c r="D1157">
        <v>98</v>
      </c>
      <c r="E1157">
        <v>6</v>
      </c>
      <c r="F1157">
        <v>0.12</v>
      </c>
      <c r="G1157" s="1">
        <v>32242</v>
      </c>
    </row>
    <row r="1158" spans="1:7" x14ac:dyDescent="0.25">
      <c r="A1158" t="s">
        <v>949</v>
      </c>
      <c r="B1158">
        <v>2015</v>
      </c>
      <c r="C1158">
        <v>12</v>
      </c>
      <c r="D1158">
        <v>117</v>
      </c>
      <c r="E1158">
        <v>6.5</v>
      </c>
      <c r="F1158">
        <v>12.28</v>
      </c>
      <c r="G1158" s="1">
        <v>102863</v>
      </c>
    </row>
    <row r="1159" spans="1:7" x14ac:dyDescent="0.25">
      <c r="A1159" t="s">
        <v>950</v>
      </c>
      <c r="B1159">
        <v>2015</v>
      </c>
      <c r="C1159">
        <v>15</v>
      </c>
      <c r="D1159">
        <v>141</v>
      </c>
      <c r="E1159">
        <v>7.3</v>
      </c>
      <c r="F1159">
        <v>459.01</v>
      </c>
      <c r="G1159" s="1">
        <v>904606</v>
      </c>
    </row>
    <row r="1160" spans="1:7" x14ac:dyDescent="0.25">
      <c r="A1160" t="s">
        <v>954</v>
      </c>
      <c r="B1160">
        <v>2015</v>
      </c>
      <c r="C1160">
        <v>15</v>
      </c>
      <c r="D1160">
        <v>97</v>
      </c>
      <c r="E1160">
        <v>6.5</v>
      </c>
      <c r="F1160">
        <v>0.2</v>
      </c>
      <c r="G1160" s="1">
        <v>10905</v>
      </c>
    </row>
    <row r="1161" spans="1:7" x14ac:dyDescent="0.25">
      <c r="A1161" t="s">
        <v>955</v>
      </c>
      <c r="B1161">
        <v>2015</v>
      </c>
      <c r="C1161">
        <v>15</v>
      </c>
      <c r="D1161">
        <v>100</v>
      </c>
      <c r="E1161">
        <v>4.3</v>
      </c>
      <c r="F1161">
        <v>56.12</v>
      </c>
      <c r="G1161" s="1">
        <v>173776</v>
      </c>
    </row>
    <row r="1162" spans="1:7" x14ac:dyDescent="0.25">
      <c r="A1162" t="s">
        <v>956</v>
      </c>
      <c r="B1162">
        <v>2015</v>
      </c>
      <c r="C1162">
        <v>12</v>
      </c>
      <c r="D1162">
        <v>128</v>
      </c>
      <c r="E1162">
        <v>6.9</v>
      </c>
      <c r="F1162">
        <v>0.49</v>
      </c>
      <c r="G1162" s="1">
        <v>6427</v>
      </c>
    </row>
    <row r="1163" spans="1:7" x14ac:dyDescent="0.25">
      <c r="A1163" t="s">
        <v>958</v>
      </c>
      <c r="B1163">
        <v>2015</v>
      </c>
      <c r="C1163">
        <v>15</v>
      </c>
      <c r="D1163">
        <v>90</v>
      </c>
      <c r="E1163">
        <v>5.8</v>
      </c>
      <c r="F1163">
        <v>2.46</v>
      </c>
      <c r="G1163" s="1">
        <v>3228</v>
      </c>
    </row>
    <row r="1164" spans="1:7" x14ac:dyDescent="0.25">
      <c r="A1164" t="s">
        <v>964</v>
      </c>
      <c r="B1164">
        <v>2015</v>
      </c>
      <c r="C1164">
        <v>15</v>
      </c>
      <c r="D1164">
        <v>104</v>
      </c>
      <c r="E1164">
        <v>6.2</v>
      </c>
      <c r="F1164">
        <v>2.46</v>
      </c>
      <c r="G1164" s="1">
        <v>23569</v>
      </c>
    </row>
    <row r="1165" spans="1:7" x14ac:dyDescent="0.25">
      <c r="A1165" t="s">
        <v>971</v>
      </c>
      <c r="B1165">
        <v>2015</v>
      </c>
      <c r="C1165">
        <v>15</v>
      </c>
      <c r="D1165">
        <v>114</v>
      </c>
      <c r="E1165">
        <v>6.1</v>
      </c>
      <c r="F1165">
        <v>155.19</v>
      </c>
      <c r="G1165" s="1">
        <v>251655</v>
      </c>
    </row>
    <row r="1166" spans="1:7" x14ac:dyDescent="0.25">
      <c r="A1166" t="s">
        <v>972</v>
      </c>
      <c r="B1166">
        <v>2015</v>
      </c>
      <c r="C1166">
        <v>12</v>
      </c>
      <c r="D1166">
        <v>115</v>
      </c>
      <c r="E1166">
        <v>5.6</v>
      </c>
      <c r="F1166">
        <v>66.010000000000005</v>
      </c>
      <c r="G1166" s="1">
        <v>60603</v>
      </c>
    </row>
    <row r="1167" spans="1:7" x14ac:dyDescent="0.25">
      <c r="A1167" t="s">
        <v>973</v>
      </c>
      <c r="B1167">
        <v>2015</v>
      </c>
      <c r="C1167">
        <v>15</v>
      </c>
      <c r="D1167">
        <v>99</v>
      </c>
      <c r="E1167">
        <v>6</v>
      </c>
      <c r="F1167">
        <v>2.46</v>
      </c>
      <c r="G1167" s="1">
        <v>2528</v>
      </c>
    </row>
    <row r="1168" spans="1:7" x14ac:dyDescent="0.25">
      <c r="A1168" t="s">
        <v>975</v>
      </c>
      <c r="B1168">
        <v>2015</v>
      </c>
      <c r="C1168">
        <v>15</v>
      </c>
      <c r="D1168">
        <v>92</v>
      </c>
      <c r="E1168">
        <v>5.0999999999999996</v>
      </c>
      <c r="F1168">
        <v>2.46</v>
      </c>
      <c r="G1168" s="1">
        <v>14337</v>
      </c>
    </row>
    <row r="1169" spans="1:7" x14ac:dyDescent="0.25">
      <c r="A1169" t="s">
        <v>976</v>
      </c>
      <c r="B1169">
        <v>2015</v>
      </c>
      <c r="C1169">
        <v>15</v>
      </c>
      <c r="D1169">
        <v>122</v>
      </c>
      <c r="E1169">
        <v>6.5</v>
      </c>
      <c r="F1169">
        <v>33.08</v>
      </c>
      <c r="G1169" s="1">
        <v>35375</v>
      </c>
    </row>
    <row r="1170" spans="1:7" x14ac:dyDescent="0.25">
      <c r="A1170" t="s">
        <v>979</v>
      </c>
      <c r="B1170">
        <v>2015</v>
      </c>
      <c r="C1170">
        <v>15</v>
      </c>
      <c r="D1170">
        <v>105</v>
      </c>
      <c r="E1170">
        <v>7.7</v>
      </c>
      <c r="F1170">
        <v>6.74</v>
      </c>
      <c r="G1170" s="1">
        <v>136558</v>
      </c>
    </row>
    <row r="1171" spans="1:7" x14ac:dyDescent="0.25">
      <c r="A1171" t="s">
        <v>981</v>
      </c>
      <c r="B1171">
        <v>2015</v>
      </c>
      <c r="C1171">
        <v>15</v>
      </c>
      <c r="D1171">
        <v>131</v>
      </c>
      <c r="E1171">
        <v>7.4</v>
      </c>
      <c r="F1171">
        <v>195.04</v>
      </c>
      <c r="G1171" s="1">
        <v>402662</v>
      </c>
    </row>
    <row r="1172" spans="1:7" x14ac:dyDescent="0.25">
      <c r="A1172" t="s">
        <v>982</v>
      </c>
      <c r="B1172">
        <v>2015</v>
      </c>
      <c r="C1172">
        <v>15</v>
      </c>
      <c r="D1172">
        <v>130</v>
      </c>
      <c r="E1172">
        <v>6.4</v>
      </c>
      <c r="F1172">
        <v>93.44</v>
      </c>
      <c r="G1172" s="1">
        <v>188668</v>
      </c>
    </row>
    <row r="1173" spans="1:7" x14ac:dyDescent="0.25">
      <c r="A1173" t="s">
        <v>983</v>
      </c>
      <c r="B1173">
        <v>2015</v>
      </c>
      <c r="C1173">
        <v>18</v>
      </c>
      <c r="D1173">
        <v>113</v>
      </c>
      <c r="E1173">
        <v>5.9</v>
      </c>
      <c r="F1173">
        <v>0.06</v>
      </c>
      <c r="G1173" s="1">
        <v>5936</v>
      </c>
    </row>
    <row r="1174" spans="1:7" x14ac:dyDescent="0.25">
      <c r="A1174" t="s">
        <v>985</v>
      </c>
      <c r="B1174">
        <v>2015</v>
      </c>
      <c r="C1174">
        <v>15</v>
      </c>
      <c r="D1174">
        <v>112</v>
      </c>
      <c r="E1174">
        <v>5.8</v>
      </c>
      <c r="F1174">
        <v>2.46</v>
      </c>
      <c r="G1174" s="1">
        <v>8009</v>
      </c>
    </row>
    <row r="1175" spans="1:7" x14ac:dyDescent="0.25">
      <c r="A1175" t="s">
        <v>989</v>
      </c>
      <c r="B1175">
        <v>2015</v>
      </c>
      <c r="C1175">
        <v>12</v>
      </c>
      <c r="D1175">
        <v>124</v>
      </c>
      <c r="E1175">
        <v>7.3</v>
      </c>
      <c r="F1175">
        <v>52.42</v>
      </c>
      <c r="G1175" s="1">
        <v>252691</v>
      </c>
    </row>
    <row r="1176" spans="1:7" x14ac:dyDescent="0.25">
      <c r="A1176" t="s">
        <v>990</v>
      </c>
      <c r="B1176">
        <v>2015</v>
      </c>
      <c r="C1176">
        <v>15</v>
      </c>
      <c r="D1176">
        <v>103</v>
      </c>
      <c r="E1176">
        <v>7.2</v>
      </c>
      <c r="F1176">
        <v>17.510000000000002</v>
      </c>
      <c r="G1176" s="1">
        <v>88541</v>
      </c>
    </row>
    <row r="1177" spans="1:7" x14ac:dyDescent="0.25">
      <c r="A1177" t="s">
        <v>994</v>
      </c>
      <c r="B1177">
        <v>2015</v>
      </c>
      <c r="C1177">
        <v>15</v>
      </c>
      <c r="D1177">
        <v>109</v>
      </c>
      <c r="E1177">
        <v>6.2</v>
      </c>
      <c r="F1177">
        <v>32</v>
      </c>
      <c r="G1177" s="1">
        <v>106807</v>
      </c>
    </row>
    <row r="1178" spans="1:7" x14ac:dyDescent="0.25">
      <c r="A1178" t="s">
        <v>995</v>
      </c>
      <c r="B1178">
        <v>2015</v>
      </c>
      <c r="C1178">
        <v>15</v>
      </c>
      <c r="D1178">
        <v>90</v>
      </c>
      <c r="E1178">
        <v>4.4000000000000004</v>
      </c>
      <c r="F1178">
        <v>2.46</v>
      </c>
      <c r="G1178" s="1">
        <v>1636</v>
      </c>
    </row>
    <row r="1179" spans="1:7" x14ac:dyDescent="0.25">
      <c r="A1179" t="s">
        <v>997</v>
      </c>
      <c r="B1179">
        <v>2015</v>
      </c>
      <c r="C1179">
        <v>15</v>
      </c>
      <c r="D1179">
        <v>104</v>
      </c>
      <c r="E1179">
        <v>6.8</v>
      </c>
      <c r="F1179">
        <v>17.739999999999998</v>
      </c>
      <c r="G1179" s="1">
        <v>66703</v>
      </c>
    </row>
    <row r="1180" spans="1:7" x14ac:dyDescent="0.25">
      <c r="A1180" t="s">
        <v>998</v>
      </c>
      <c r="B1180">
        <v>2015</v>
      </c>
      <c r="C1180">
        <v>15</v>
      </c>
      <c r="D1180">
        <v>85</v>
      </c>
      <c r="E1180">
        <v>5.8</v>
      </c>
      <c r="F1180">
        <v>0.12</v>
      </c>
      <c r="G1180" s="1">
        <v>6673</v>
      </c>
    </row>
    <row r="1181" spans="1:7" x14ac:dyDescent="0.25">
      <c r="A1181" t="s">
        <v>999</v>
      </c>
      <c r="B1181">
        <v>2015</v>
      </c>
      <c r="C1181">
        <v>12</v>
      </c>
      <c r="D1181">
        <v>85</v>
      </c>
      <c r="E1181">
        <v>6.8</v>
      </c>
      <c r="F1181">
        <v>2.46</v>
      </c>
      <c r="G1181" s="1">
        <v>10911</v>
      </c>
    </row>
    <row r="1182" spans="1:7" x14ac:dyDescent="0.25">
      <c r="A1182" t="s">
        <v>1000</v>
      </c>
      <c r="B1182">
        <v>2015</v>
      </c>
      <c r="C1182">
        <v>15</v>
      </c>
      <c r="D1182">
        <v>100</v>
      </c>
      <c r="E1182">
        <v>6.4</v>
      </c>
      <c r="F1182">
        <v>0</v>
      </c>
      <c r="G1182" s="1">
        <v>16091</v>
      </c>
    </row>
    <row r="1183" spans="1:7" x14ac:dyDescent="0.25">
      <c r="A1183" t="s">
        <v>1001</v>
      </c>
      <c r="B1183">
        <v>2015</v>
      </c>
      <c r="C1183">
        <v>15</v>
      </c>
      <c r="D1183">
        <v>91</v>
      </c>
      <c r="E1183">
        <v>6.8</v>
      </c>
      <c r="F1183">
        <v>0.11</v>
      </c>
      <c r="G1183" s="1">
        <v>6688</v>
      </c>
    </row>
    <row r="1184" spans="1:7" x14ac:dyDescent="0.25">
      <c r="A1184" t="s">
        <v>1002</v>
      </c>
      <c r="B1184">
        <v>2015</v>
      </c>
      <c r="C1184">
        <v>15</v>
      </c>
      <c r="D1184">
        <v>134</v>
      </c>
      <c r="E1184">
        <v>6.4</v>
      </c>
      <c r="F1184">
        <v>0.08</v>
      </c>
      <c r="G1184" s="1">
        <v>30567</v>
      </c>
    </row>
    <row r="1185" spans="1:7" x14ac:dyDescent="0.25">
      <c r="A1185" t="s">
        <v>1003</v>
      </c>
      <c r="B1185">
        <v>2015</v>
      </c>
      <c r="C1185">
        <v>15</v>
      </c>
      <c r="D1185">
        <v>90</v>
      </c>
      <c r="E1185">
        <v>4.7</v>
      </c>
      <c r="F1185">
        <v>2.46</v>
      </c>
      <c r="G1185" s="1">
        <v>5782</v>
      </c>
    </row>
    <row r="1186" spans="1:7" x14ac:dyDescent="0.25">
      <c r="A1186" t="s">
        <v>1004</v>
      </c>
      <c r="B1186">
        <v>2015</v>
      </c>
      <c r="C1186">
        <v>18</v>
      </c>
      <c r="D1186">
        <v>94</v>
      </c>
      <c r="E1186">
        <v>6.2</v>
      </c>
      <c r="F1186">
        <v>65.209999999999994</v>
      </c>
      <c r="G1186" s="1">
        <v>146584</v>
      </c>
    </row>
    <row r="1187" spans="1:7" x14ac:dyDescent="0.25">
      <c r="A1187" t="s">
        <v>1005</v>
      </c>
      <c r="B1187">
        <v>2015</v>
      </c>
      <c r="C1187">
        <v>15</v>
      </c>
      <c r="D1187">
        <v>104</v>
      </c>
      <c r="E1187">
        <v>6.5</v>
      </c>
      <c r="F1187">
        <v>32.36</v>
      </c>
      <c r="G1187" s="1">
        <v>82297</v>
      </c>
    </row>
    <row r="1188" spans="1:7" x14ac:dyDescent="0.25">
      <c r="A1188" t="s">
        <v>1006</v>
      </c>
      <c r="B1188">
        <v>2015</v>
      </c>
      <c r="C1188">
        <v>18</v>
      </c>
      <c r="D1188">
        <v>118</v>
      </c>
      <c r="E1188">
        <v>5.4</v>
      </c>
      <c r="F1188">
        <v>2.46</v>
      </c>
      <c r="G1188" s="1">
        <v>6376</v>
      </c>
    </row>
    <row r="1189" spans="1:7" x14ac:dyDescent="0.25">
      <c r="A1189" t="s">
        <v>1008</v>
      </c>
      <c r="B1189">
        <v>2015</v>
      </c>
      <c r="C1189">
        <v>15</v>
      </c>
      <c r="D1189">
        <v>96</v>
      </c>
      <c r="E1189">
        <v>5.7</v>
      </c>
      <c r="F1189">
        <v>22.47</v>
      </c>
      <c r="G1189" s="1">
        <v>94442</v>
      </c>
    </row>
    <row r="1190" spans="1:7" x14ac:dyDescent="0.25">
      <c r="A1190" t="s">
        <v>1011</v>
      </c>
      <c r="B1190">
        <v>2015</v>
      </c>
      <c r="C1190">
        <v>15</v>
      </c>
      <c r="D1190">
        <v>94</v>
      </c>
      <c r="E1190">
        <v>5.3</v>
      </c>
      <c r="F1190">
        <v>2.46</v>
      </c>
      <c r="G1190" s="1">
        <v>10567</v>
      </c>
    </row>
    <row r="1191" spans="1:7" x14ac:dyDescent="0.25">
      <c r="A1191" t="s">
        <v>1012</v>
      </c>
      <c r="B1191">
        <v>2015</v>
      </c>
      <c r="C1191">
        <v>15</v>
      </c>
      <c r="D1191">
        <v>106</v>
      </c>
      <c r="E1191">
        <v>7.3</v>
      </c>
      <c r="F1191">
        <v>6.42</v>
      </c>
      <c r="G1191" s="1">
        <v>23997</v>
      </c>
    </row>
    <row r="1192" spans="1:7" x14ac:dyDescent="0.25">
      <c r="A1192" t="s">
        <v>1013</v>
      </c>
      <c r="B1192">
        <v>2015</v>
      </c>
      <c r="C1192">
        <v>12</v>
      </c>
      <c r="D1192">
        <v>96</v>
      </c>
      <c r="E1192">
        <v>4.4000000000000004</v>
      </c>
      <c r="F1192">
        <v>2.46</v>
      </c>
      <c r="G1192" s="1">
        <v>1882</v>
      </c>
    </row>
    <row r="1193" spans="1:7" x14ac:dyDescent="0.25">
      <c r="A1193" t="s">
        <v>1014</v>
      </c>
      <c r="B1193">
        <v>2015</v>
      </c>
      <c r="C1193">
        <v>12</v>
      </c>
      <c r="D1193">
        <v>108</v>
      </c>
      <c r="E1193">
        <v>6.4</v>
      </c>
      <c r="F1193">
        <v>0.13</v>
      </c>
      <c r="G1193" s="1">
        <v>25554</v>
      </c>
    </row>
    <row r="1194" spans="1:7" x14ac:dyDescent="0.25">
      <c r="A1194" t="s">
        <v>1016</v>
      </c>
      <c r="B1194">
        <v>2015</v>
      </c>
      <c r="C1194">
        <v>15</v>
      </c>
      <c r="D1194">
        <v>119</v>
      </c>
      <c r="E1194">
        <v>8</v>
      </c>
      <c r="F1194">
        <v>2.46</v>
      </c>
      <c r="G1194" s="1">
        <v>40501</v>
      </c>
    </row>
    <row r="1195" spans="1:7" x14ac:dyDescent="0.25">
      <c r="A1195" t="s">
        <v>1017</v>
      </c>
      <c r="B1195">
        <v>2015</v>
      </c>
      <c r="C1195">
        <v>15</v>
      </c>
      <c r="D1195">
        <v>116</v>
      </c>
      <c r="E1195">
        <v>7.2</v>
      </c>
      <c r="F1195">
        <v>45.45</v>
      </c>
      <c r="G1195" s="1">
        <v>326243</v>
      </c>
    </row>
    <row r="1196" spans="1:7" x14ac:dyDescent="0.25">
      <c r="A1196" t="s">
        <v>1019</v>
      </c>
      <c r="B1196">
        <v>2015</v>
      </c>
      <c r="C1196">
        <v>15</v>
      </c>
      <c r="D1196">
        <v>87</v>
      </c>
      <c r="E1196">
        <v>4.8</v>
      </c>
      <c r="F1196">
        <v>2.46</v>
      </c>
      <c r="G1196">
        <v>559</v>
      </c>
    </row>
    <row r="1197" spans="1:7" x14ac:dyDescent="0.25">
      <c r="A1197" t="s">
        <v>1020</v>
      </c>
      <c r="B1197">
        <v>2015</v>
      </c>
      <c r="C1197">
        <v>15</v>
      </c>
      <c r="D1197">
        <v>105</v>
      </c>
      <c r="E1197">
        <v>6.3</v>
      </c>
      <c r="F1197">
        <v>0.61</v>
      </c>
      <c r="G1197" s="1">
        <v>17703</v>
      </c>
    </row>
    <row r="1198" spans="1:7" x14ac:dyDescent="0.25">
      <c r="A1198" t="s">
        <v>1021</v>
      </c>
      <c r="B1198">
        <v>2015</v>
      </c>
      <c r="C1198">
        <v>15</v>
      </c>
      <c r="D1198">
        <v>135</v>
      </c>
      <c r="E1198">
        <v>6.1</v>
      </c>
      <c r="F1198">
        <v>2.46</v>
      </c>
      <c r="G1198" s="1">
        <v>64779</v>
      </c>
    </row>
    <row r="1199" spans="1:7" x14ac:dyDescent="0.25">
      <c r="A1199" t="s">
        <v>1024</v>
      </c>
      <c r="B1199">
        <v>2015</v>
      </c>
      <c r="C1199">
        <v>15</v>
      </c>
      <c r="D1199">
        <v>96</v>
      </c>
      <c r="E1199">
        <v>5.5</v>
      </c>
      <c r="F1199">
        <v>0.05</v>
      </c>
      <c r="G1199" s="1">
        <v>2991</v>
      </c>
    </row>
    <row r="1200" spans="1:7" x14ac:dyDescent="0.25">
      <c r="A1200" t="s">
        <v>1026</v>
      </c>
      <c r="B1200">
        <v>2015</v>
      </c>
      <c r="C1200">
        <v>15</v>
      </c>
      <c r="D1200">
        <v>96</v>
      </c>
      <c r="E1200">
        <v>6.2</v>
      </c>
      <c r="F1200">
        <v>3.59</v>
      </c>
      <c r="G1200" s="1">
        <v>40062</v>
      </c>
    </row>
    <row r="1201" spans="1:7" x14ac:dyDescent="0.25">
      <c r="A1201" t="s">
        <v>1027</v>
      </c>
      <c r="B1201">
        <v>2015</v>
      </c>
      <c r="C1201">
        <v>15</v>
      </c>
      <c r="D1201">
        <v>132</v>
      </c>
      <c r="E1201">
        <v>7.1</v>
      </c>
      <c r="F1201">
        <v>2.46</v>
      </c>
      <c r="G1201" s="1">
        <v>113299</v>
      </c>
    </row>
    <row r="1202" spans="1:7" x14ac:dyDescent="0.25">
      <c r="A1202" t="s">
        <v>1031</v>
      </c>
      <c r="B1202">
        <v>2015</v>
      </c>
      <c r="C1202">
        <v>15</v>
      </c>
      <c r="D1202">
        <v>101</v>
      </c>
      <c r="E1202">
        <v>6</v>
      </c>
      <c r="F1202">
        <v>26.82</v>
      </c>
      <c r="G1202" s="1">
        <v>24514</v>
      </c>
    </row>
    <row r="1203" spans="1:7" x14ac:dyDescent="0.25">
      <c r="A1203" t="s">
        <v>1032</v>
      </c>
      <c r="B1203">
        <v>2015</v>
      </c>
      <c r="C1203">
        <v>15</v>
      </c>
      <c r="D1203">
        <v>84</v>
      </c>
      <c r="E1203">
        <v>6.7</v>
      </c>
      <c r="F1203">
        <v>2.46</v>
      </c>
      <c r="G1203" s="1">
        <v>28256</v>
      </c>
    </row>
    <row r="1204" spans="1:7" x14ac:dyDescent="0.25">
      <c r="A1204" t="s">
        <v>1033</v>
      </c>
      <c r="B1204">
        <v>2015</v>
      </c>
      <c r="C1204">
        <v>12</v>
      </c>
      <c r="D1204">
        <v>120</v>
      </c>
      <c r="E1204">
        <v>7</v>
      </c>
      <c r="F1204">
        <v>110.83</v>
      </c>
      <c r="G1204" s="1">
        <v>254796</v>
      </c>
    </row>
    <row r="1205" spans="1:7" x14ac:dyDescent="0.25">
      <c r="A1205" t="s">
        <v>1034</v>
      </c>
      <c r="B1205">
        <v>2015</v>
      </c>
      <c r="C1205">
        <v>15</v>
      </c>
      <c r="D1205">
        <v>108</v>
      </c>
      <c r="E1205">
        <v>7</v>
      </c>
      <c r="F1205">
        <v>43.77</v>
      </c>
      <c r="G1205" s="1">
        <v>167779</v>
      </c>
    </row>
    <row r="1206" spans="1:7" x14ac:dyDescent="0.25">
      <c r="A1206" t="s">
        <v>1036</v>
      </c>
      <c r="B1206">
        <v>2015</v>
      </c>
      <c r="C1206">
        <v>15</v>
      </c>
      <c r="D1206">
        <v>85</v>
      </c>
      <c r="E1206">
        <v>6</v>
      </c>
      <c r="F1206">
        <v>2.46</v>
      </c>
      <c r="G1206" s="1">
        <v>46772</v>
      </c>
    </row>
    <row r="1207" spans="1:7" x14ac:dyDescent="0.25">
      <c r="A1207" t="s">
        <v>1037</v>
      </c>
      <c r="B1207">
        <v>2015</v>
      </c>
      <c r="C1207">
        <v>15</v>
      </c>
      <c r="D1207">
        <v>119</v>
      </c>
      <c r="E1207">
        <v>6.5</v>
      </c>
      <c r="F1207">
        <v>31.09</v>
      </c>
      <c r="G1207" s="1">
        <v>155905</v>
      </c>
    </row>
    <row r="1208" spans="1:7" x14ac:dyDescent="0.25">
      <c r="A1208" t="s">
        <v>1038</v>
      </c>
      <c r="B1208">
        <v>2015</v>
      </c>
      <c r="C1208">
        <v>13</v>
      </c>
      <c r="D1208">
        <v>98</v>
      </c>
      <c r="E1208">
        <v>6.6</v>
      </c>
      <c r="F1208">
        <v>0.16</v>
      </c>
      <c r="G1208" s="1">
        <v>19411</v>
      </c>
    </row>
    <row r="1209" spans="1:7" x14ac:dyDescent="0.25">
      <c r="A1209" t="s">
        <v>1039</v>
      </c>
      <c r="B1209">
        <v>2015</v>
      </c>
      <c r="C1209">
        <v>15</v>
      </c>
      <c r="D1209">
        <v>144</v>
      </c>
      <c r="E1209">
        <v>8</v>
      </c>
      <c r="F1209">
        <v>228.43</v>
      </c>
      <c r="G1209" s="1">
        <v>900381</v>
      </c>
    </row>
    <row r="1210" spans="1:7" x14ac:dyDescent="0.25">
      <c r="A1210" t="s">
        <v>1041</v>
      </c>
      <c r="B1210">
        <v>2015</v>
      </c>
      <c r="C1210">
        <v>12</v>
      </c>
      <c r="D1210">
        <v>96</v>
      </c>
      <c r="E1210">
        <v>5.5</v>
      </c>
      <c r="F1210">
        <v>2.46</v>
      </c>
      <c r="G1210" s="1">
        <v>16646</v>
      </c>
    </row>
    <row r="1211" spans="1:7" x14ac:dyDescent="0.25">
      <c r="A1211" t="s">
        <v>1043</v>
      </c>
      <c r="B1211">
        <v>2015</v>
      </c>
      <c r="C1211">
        <v>15</v>
      </c>
      <c r="D1211">
        <v>117</v>
      </c>
      <c r="E1211">
        <v>7.3</v>
      </c>
      <c r="F1211">
        <v>180.2</v>
      </c>
      <c r="G1211" s="1">
        <v>707890</v>
      </c>
    </row>
    <row r="1212" spans="1:7" x14ac:dyDescent="0.25">
      <c r="A1212" t="s">
        <v>1044</v>
      </c>
      <c r="B1212">
        <v>2015</v>
      </c>
      <c r="C1212">
        <v>15</v>
      </c>
      <c r="D1212">
        <v>121</v>
      </c>
      <c r="E1212">
        <v>7.1</v>
      </c>
      <c r="F1212">
        <v>43.48</v>
      </c>
      <c r="G1212" s="1">
        <v>227505</v>
      </c>
    </row>
    <row r="1213" spans="1:7" x14ac:dyDescent="0.25">
      <c r="A1213" t="s">
        <v>1045</v>
      </c>
      <c r="B1213">
        <v>2015</v>
      </c>
      <c r="C1213">
        <v>15</v>
      </c>
      <c r="D1213">
        <v>97</v>
      </c>
      <c r="E1213">
        <v>7.6</v>
      </c>
      <c r="F1213">
        <v>0.85</v>
      </c>
      <c r="G1213" s="1">
        <v>40347</v>
      </c>
    </row>
    <row r="1214" spans="1:7" x14ac:dyDescent="0.25">
      <c r="A1214" t="s">
        <v>1047</v>
      </c>
      <c r="B1214">
        <v>2015</v>
      </c>
      <c r="C1214">
        <v>15</v>
      </c>
      <c r="D1214">
        <v>91</v>
      </c>
      <c r="E1214">
        <v>6.4</v>
      </c>
      <c r="F1214">
        <v>336.05</v>
      </c>
      <c r="G1214" s="1">
        <v>253065</v>
      </c>
    </row>
    <row r="1215" spans="1:7" x14ac:dyDescent="0.25">
      <c r="A1215" t="s">
        <v>1048</v>
      </c>
      <c r="B1215">
        <v>2015</v>
      </c>
      <c r="C1215">
        <v>15</v>
      </c>
      <c r="D1215">
        <v>103</v>
      </c>
      <c r="E1215">
        <v>6.7</v>
      </c>
      <c r="F1215">
        <v>27.29</v>
      </c>
      <c r="G1215" s="1">
        <v>91184</v>
      </c>
    </row>
    <row r="1216" spans="1:7" x14ac:dyDescent="0.25">
      <c r="A1216" t="s">
        <v>1051</v>
      </c>
      <c r="B1216">
        <v>2015</v>
      </c>
      <c r="C1216">
        <v>15</v>
      </c>
      <c r="D1216">
        <v>120</v>
      </c>
      <c r="E1216">
        <v>6.9</v>
      </c>
      <c r="F1216">
        <v>0.02</v>
      </c>
      <c r="G1216" s="1">
        <v>3785</v>
      </c>
    </row>
    <row r="1217" spans="1:7" x14ac:dyDescent="0.25">
      <c r="A1217" t="s">
        <v>1052</v>
      </c>
      <c r="B1217">
        <v>2015</v>
      </c>
      <c r="C1217">
        <v>15</v>
      </c>
      <c r="D1217">
        <v>121</v>
      </c>
      <c r="E1217">
        <v>4.9000000000000004</v>
      </c>
      <c r="F1217">
        <v>4.7</v>
      </c>
      <c r="G1217" s="1">
        <v>4232</v>
      </c>
    </row>
    <row r="1218" spans="1:7" x14ac:dyDescent="0.25">
      <c r="A1218" t="s">
        <v>1053</v>
      </c>
      <c r="B1218">
        <v>2015</v>
      </c>
      <c r="C1218">
        <v>15</v>
      </c>
      <c r="D1218">
        <v>128</v>
      </c>
      <c r="E1218">
        <v>7.8</v>
      </c>
      <c r="F1218">
        <v>8.41</v>
      </c>
      <c r="G1218" s="1">
        <v>54110</v>
      </c>
    </row>
    <row r="1219" spans="1:7" x14ac:dyDescent="0.25">
      <c r="A1219" t="s">
        <v>1054</v>
      </c>
      <c r="B1219">
        <v>2015</v>
      </c>
      <c r="C1219">
        <v>15</v>
      </c>
      <c r="D1219">
        <v>131</v>
      </c>
      <c r="E1219">
        <v>6.3</v>
      </c>
      <c r="F1219">
        <v>81.7</v>
      </c>
      <c r="G1219" s="1">
        <v>267917</v>
      </c>
    </row>
    <row r="1220" spans="1:7" x14ac:dyDescent="0.25">
      <c r="A1220" t="s">
        <v>1055</v>
      </c>
      <c r="B1220">
        <v>2015</v>
      </c>
      <c r="C1220">
        <v>15</v>
      </c>
      <c r="D1220">
        <v>137</v>
      </c>
      <c r="E1220">
        <v>7.7</v>
      </c>
      <c r="F1220">
        <v>0.08</v>
      </c>
      <c r="G1220" s="1">
        <v>85460</v>
      </c>
    </row>
    <row r="1221" spans="1:7" x14ac:dyDescent="0.25">
      <c r="A1221" t="s">
        <v>1057</v>
      </c>
      <c r="B1221">
        <v>2015</v>
      </c>
      <c r="C1221">
        <v>15</v>
      </c>
      <c r="D1221">
        <v>105</v>
      </c>
      <c r="E1221">
        <v>5.8</v>
      </c>
      <c r="F1221">
        <v>2.46</v>
      </c>
      <c r="G1221" s="1">
        <v>4140</v>
      </c>
    </row>
    <row r="1222" spans="1:7" x14ac:dyDescent="0.25">
      <c r="A1222" t="s">
        <v>1058</v>
      </c>
      <c r="B1222">
        <v>2015</v>
      </c>
      <c r="C1222">
        <v>15</v>
      </c>
      <c r="D1222">
        <v>94</v>
      </c>
      <c r="E1222">
        <v>5.8</v>
      </c>
      <c r="F1222">
        <v>2.46</v>
      </c>
      <c r="G1222" s="1">
        <v>4147</v>
      </c>
    </row>
    <row r="1223" spans="1:7" x14ac:dyDescent="0.25">
      <c r="A1223" t="s">
        <v>1060</v>
      </c>
      <c r="B1223">
        <v>2015</v>
      </c>
      <c r="C1223">
        <v>15</v>
      </c>
      <c r="D1223">
        <v>123</v>
      </c>
      <c r="E1223">
        <v>6.9</v>
      </c>
      <c r="F1223">
        <v>62.58</v>
      </c>
      <c r="G1223" s="1">
        <v>189474</v>
      </c>
    </row>
    <row r="1224" spans="1:7" x14ac:dyDescent="0.25">
      <c r="A1224" t="s">
        <v>1061</v>
      </c>
      <c r="B1224">
        <v>2015</v>
      </c>
      <c r="C1224">
        <v>12</v>
      </c>
      <c r="D1224">
        <v>90</v>
      </c>
      <c r="E1224">
        <v>5.0999999999999996</v>
      </c>
      <c r="F1224">
        <v>2.46</v>
      </c>
      <c r="G1224" s="1">
        <v>1786</v>
      </c>
    </row>
    <row r="1225" spans="1:7" x14ac:dyDescent="0.25">
      <c r="A1225" t="s">
        <v>1065</v>
      </c>
      <c r="B1225">
        <v>2015</v>
      </c>
      <c r="C1225">
        <v>15</v>
      </c>
      <c r="D1225">
        <v>127</v>
      </c>
      <c r="E1225">
        <v>6.9</v>
      </c>
      <c r="F1225">
        <v>12.19</v>
      </c>
      <c r="G1225" s="1">
        <v>39294</v>
      </c>
    </row>
    <row r="1226" spans="1:7" x14ac:dyDescent="0.25">
      <c r="A1226" t="s">
        <v>1066</v>
      </c>
      <c r="B1226">
        <v>2015</v>
      </c>
      <c r="C1226">
        <v>15</v>
      </c>
      <c r="D1226">
        <v>105</v>
      </c>
      <c r="E1226">
        <v>6.6</v>
      </c>
      <c r="F1226">
        <v>53.86</v>
      </c>
      <c r="G1226" s="1">
        <v>267781</v>
      </c>
    </row>
    <row r="1227" spans="1:7" x14ac:dyDescent="0.25">
      <c r="A1227" t="s">
        <v>1069</v>
      </c>
      <c r="B1227">
        <v>2015</v>
      </c>
      <c r="C1227">
        <v>15</v>
      </c>
      <c r="D1227">
        <v>99</v>
      </c>
      <c r="E1227">
        <v>4.9000000000000004</v>
      </c>
      <c r="F1227">
        <v>0.04</v>
      </c>
      <c r="G1227" s="1">
        <v>102007</v>
      </c>
    </row>
    <row r="1228" spans="1:7" x14ac:dyDescent="0.25">
      <c r="A1228" t="s">
        <v>1070</v>
      </c>
      <c r="B1228">
        <v>2015</v>
      </c>
      <c r="C1228">
        <v>15</v>
      </c>
      <c r="D1228">
        <v>126</v>
      </c>
      <c r="E1228">
        <v>6.3</v>
      </c>
      <c r="F1228">
        <v>89.76</v>
      </c>
      <c r="G1228" s="1">
        <v>289082</v>
      </c>
    </row>
    <row r="1229" spans="1:7" x14ac:dyDescent="0.25">
      <c r="A1229" t="s">
        <v>1071</v>
      </c>
      <c r="B1229">
        <v>2015</v>
      </c>
      <c r="C1229">
        <v>15</v>
      </c>
      <c r="D1229">
        <v>105</v>
      </c>
      <c r="E1229">
        <v>5.6</v>
      </c>
      <c r="F1229">
        <v>78.75</v>
      </c>
      <c r="G1229" s="1">
        <v>155037</v>
      </c>
    </row>
    <row r="1230" spans="1:7" x14ac:dyDescent="0.25">
      <c r="A1230" t="s">
        <v>1072</v>
      </c>
      <c r="B1230">
        <v>2015</v>
      </c>
      <c r="C1230">
        <v>15</v>
      </c>
      <c r="D1230">
        <v>106</v>
      </c>
      <c r="E1230">
        <v>5.8</v>
      </c>
      <c r="F1230">
        <v>2.46</v>
      </c>
      <c r="G1230" s="1">
        <v>4366</v>
      </c>
    </row>
    <row r="1231" spans="1:7" x14ac:dyDescent="0.25">
      <c r="A1231" t="s">
        <v>1073</v>
      </c>
      <c r="B1231">
        <v>2015</v>
      </c>
      <c r="C1231">
        <v>15</v>
      </c>
      <c r="D1231">
        <v>118</v>
      </c>
      <c r="E1231">
        <v>7.2</v>
      </c>
      <c r="F1231">
        <v>12.71</v>
      </c>
      <c r="G1231" s="1">
        <v>138497</v>
      </c>
    </row>
    <row r="1232" spans="1:7" x14ac:dyDescent="0.25">
      <c r="A1232" t="s">
        <v>1078</v>
      </c>
      <c r="B1232">
        <v>2015</v>
      </c>
      <c r="C1232">
        <v>15</v>
      </c>
      <c r="D1232">
        <v>106</v>
      </c>
      <c r="E1232">
        <v>7.2</v>
      </c>
      <c r="F1232">
        <v>2.99</v>
      </c>
      <c r="G1232" s="1">
        <v>32194</v>
      </c>
    </row>
    <row r="1233" spans="1:7" x14ac:dyDescent="0.25">
      <c r="A1233" t="s">
        <v>1079</v>
      </c>
      <c r="B1233">
        <v>2015</v>
      </c>
      <c r="C1233">
        <v>15</v>
      </c>
      <c r="D1233">
        <v>142</v>
      </c>
      <c r="E1233">
        <v>7.6</v>
      </c>
      <c r="F1233">
        <v>72.31</v>
      </c>
      <c r="G1233" s="1">
        <v>323289</v>
      </c>
    </row>
    <row r="1234" spans="1:7" x14ac:dyDescent="0.25">
      <c r="A1234" t="s">
        <v>1080</v>
      </c>
      <c r="B1234">
        <v>2015</v>
      </c>
      <c r="C1234">
        <v>15</v>
      </c>
      <c r="D1234">
        <v>123</v>
      </c>
      <c r="E1234">
        <v>7.3</v>
      </c>
      <c r="F1234">
        <v>10.14</v>
      </c>
      <c r="G1234" s="1">
        <v>133630</v>
      </c>
    </row>
    <row r="1235" spans="1:7" x14ac:dyDescent="0.25">
      <c r="A1235" t="s">
        <v>1081</v>
      </c>
      <c r="B1235">
        <v>2015</v>
      </c>
      <c r="C1235">
        <v>15</v>
      </c>
      <c r="D1235">
        <v>148</v>
      </c>
      <c r="E1235">
        <v>6.8</v>
      </c>
      <c r="F1235">
        <v>200.07</v>
      </c>
      <c r="G1235" s="1">
        <v>458505</v>
      </c>
    </row>
    <row r="1236" spans="1:7" x14ac:dyDescent="0.25">
      <c r="A1236" t="s">
        <v>1082</v>
      </c>
      <c r="B1236">
        <v>2015</v>
      </c>
      <c r="C1236">
        <v>15</v>
      </c>
      <c r="D1236">
        <v>81</v>
      </c>
      <c r="E1236">
        <v>5.7</v>
      </c>
      <c r="F1236">
        <v>2.46</v>
      </c>
      <c r="G1236" s="1">
        <v>1774</v>
      </c>
    </row>
    <row r="1237" spans="1:7" x14ac:dyDescent="0.25">
      <c r="A1237" t="s">
        <v>10</v>
      </c>
      <c r="B1237">
        <v>2015</v>
      </c>
      <c r="C1237">
        <v>15</v>
      </c>
      <c r="D1237">
        <v>92</v>
      </c>
      <c r="E1237">
        <v>4.0999999999999996</v>
      </c>
      <c r="F1237">
        <v>2.46</v>
      </c>
      <c r="G1237" s="1">
        <v>11883</v>
      </c>
    </row>
    <row r="1238" spans="1:7" x14ac:dyDescent="0.25">
      <c r="A1238" t="s">
        <v>1085</v>
      </c>
      <c r="B1238">
        <v>2015</v>
      </c>
      <c r="C1238">
        <v>15</v>
      </c>
      <c r="D1238">
        <v>124</v>
      </c>
      <c r="E1238">
        <v>7.3</v>
      </c>
      <c r="F1238">
        <v>2.7</v>
      </c>
      <c r="G1238" s="1">
        <v>81946</v>
      </c>
    </row>
    <row r="1239" spans="1:7" x14ac:dyDescent="0.25">
      <c r="A1239" t="s">
        <v>1086</v>
      </c>
      <c r="B1239">
        <v>2015</v>
      </c>
      <c r="C1239">
        <v>12</v>
      </c>
      <c r="D1239">
        <v>91</v>
      </c>
      <c r="E1239">
        <v>6.1</v>
      </c>
      <c r="F1239">
        <v>0.03</v>
      </c>
      <c r="G1239" s="1">
        <v>2293</v>
      </c>
    </row>
    <row r="1240" spans="1:7" x14ac:dyDescent="0.25">
      <c r="A1240" t="s">
        <v>1088</v>
      </c>
      <c r="B1240">
        <v>2015</v>
      </c>
      <c r="C1240">
        <v>15</v>
      </c>
      <c r="D1240">
        <v>104</v>
      </c>
      <c r="E1240">
        <v>6.4</v>
      </c>
      <c r="F1240">
        <v>29.47</v>
      </c>
      <c r="G1240" s="1">
        <v>28465</v>
      </c>
    </row>
    <row r="1241" spans="1:7" x14ac:dyDescent="0.25">
      <c r="A1241" t="s">
        <v>1089</v>
      </c>
      <c r="B1241">
        <v>2015</v>
      </c>
      <c r="C1241">
        <v>15</v>
      </c>
      <c r="D1241">
        <v>117</v>
      </c>
      <c r="E1241">
        <v>7.5</v>
      </c>
      <c r="F1241">
        <v>38.32</v>
      </c>
      <c r="G1241" s="1">
        <v>148056</v>
      </c>
    </row>
    <row r="1242" spans="1:7" x14ac:dyDescent="0.25">
      <c r="A1242" t="s">
        <v>1090</v>
      </c>
      <c r="B1242">
        <v>2015</v>
      </c>
      <c r="C1242">
        <v>15</v>
      </c>
      <c r="D1242">
        <v>118</v>
      </c>
      <c r="E1242">
        <v>8.1</v>
      </c>
      <c r="F1242">
        <v>14.68</v>
      </c>
      <c r="G1242" s="1">
        <v>441193</v>
      </c>
    </row>
    <row r="1243" spans="1:7" x14ac:dyDescent="0.25">
      <c r="A1243" t="s">
        <v>1091</v>
      </c>
      <c r="B1243">
        <v>2015</v>
      </c>
      <c r="C1243">
        <v>15</v>
      </c>
      <c r="D1243">
        <v>119</v>
      </c>
      <c r="E1243">
        <v>7.1</v>
      </c>
      <c r="F1243">
        <v>8.6999999999999993</v>
      </c>
      <c r="G1243" s="1">
        <v>278781</v>
      </c>
    </row>
    <row r="1244" spans="1:7" x14ac:dyDescent="0.25">
      <c r="A1244" t="s">
        <v>1093</v>
      </c>
      <c r="B1244">
        <v>2015</v>
      </c>
      <c r="C1244">
        <v>15</v>
      </c>
      <c r="D1244">
        <v>86</v>
      </c>
      <c r="E1244">
        <v>6.1</v>
      </c>
      <c r="F1244">
        <v>0.01</v>
      </c>
      <c r="G1244" s="1">
        <v>4636</v>
      </c>
    </row>
    <row r="1245" spans="1:7" x14ac:dyDescent="0.25">
      <c r="A1245" t="s">
        <v>1094</v>
      </c>
      <c r="B1245">
        <v>2015</v>
      </c>
      <c r="C1245">
        <v>15</v>
      </c>
      <c r="D1245">
        <v>121</v>
      </c>
      <c r="E1245">
        <v>7.1</v>
      </c>
      <c r="F1245">
        <v>75.760000000000005</v>
      </c>
      <c r="G1245" s="1">
        <v>267804</v>
      </c>
    </row>
    <row r="1246" spans="1:7" x14ac:dyDescent="0.25">
      <c r="A1246" t="s">
        <v>1095</v>
      </c>
      <c r="B1246">
        <v>2015</v>
      </c>
      <c r="C1246">
        <v>15</v>
      </c>
      <c r="D1246">
        <v>132</v>
      </c>
      <c r="E1246">
        <v>6.9</v>
      </c>
      <c r="F1246">
        <v>1.87</v>
      </c>
      <c r="G1246" s="1">
        <v>196667</v>
      </c>
    </row>
    <row r="1247" spans="1:7" x14ac:dyDescent="0.25">
      <c r="A1247" t="s">
        <v>1096</v>
      </c>
      <c r="B1247">
        <v>2015</v>
      </c>
      <c r="C1247">
        <v>15</v>
      </c>
      <c r="D1247">
        <v>119</v>
      </c>
      <c r="E1247">
        <v>7.1</v>
      </c>
      <c r="F1247">
        <v>11.11</v>
      </c>
      <c r="G1247" s="1">
        <v>196289</v>
      </c>
    </row>
    <row r="1248" spans="1:7" x14ac:dyDescent="0.25">
      <c r="A1248" t="s">
        <v>1097</v>
      </c>
      <c r="B1248">
        <v>2015</v>
      </c>
      <c r="C1248">
        <v>15</v>
      </c>
      <c r="D1248">
        <v>93</v>
      </c>
      <c r="E1248">
        <v>6.1</v>
      </c>
      <c r="F1248">
        <v>2.46</v>
      </c>
      <c r="G1248" s="1">
        <v>32136</v>
      </c>
    </row>
    <row r="1249" spans="1:7" x14ac:dyDescent="0.25">
      <c r="A1249" t="s">
        <v>1098</v>
      </c>
      <c r="B1249">
        <v>2015</v>
      </c>
      <c r="C1249">
        <v>15</v>
      </c>
      <c r="D1249">
        <v>122</v>
      </c>
      <c r="E1249">
        <v>6.9</v>
      </c>
      <c r="F1249">
        <v>25.02</v>
      </c>
      <c r="G1249" s="1">
        <v>146224</v>
      </c>
    </row>
    <row r="1250" spans="1:7" x14ac:dyDescent="0.25">
      <c r="A1250" t="s">
        <v>1099</v>
      </c>
      <c r="B1250">
        <v>2015</v>
      </c>
      <c r="C1250">
        <v>15</v>
      </c>
      <c r="D1250">
        <v>119</v>
      </c>
      <c r="E1250">
        <v>4.8</v>
      </c>
      <c r="F1250">
        <v>2.46</v>
      </c>
      <c r="G1250" s="1">
        <v>52478</v>
      </c>
    </row>
    <row r="1251" spans="1:7" x14ac:dyDescent="0.25">
      <c r="A1251" t="s">
        <v>226</v>
      </c>
      <c r="B1251">
        <v>2015</v>
      </c>
      <c r="C1251">
        <v>15</v>
      </c>
      <c r="D1251">
        <v>123</v>
      </c>
      <c r="E1251">
        <v>7.1</v>
      </c>
      <c r="F1251">
        <v>34.54</v>
      </c>
      <c r="G1251" s="1">
        <v>99331</v>
      </c>
    </row>
    <row r="1252" spans="1:7" x14ac:dyDescent="0.25">
      <c r="A1252" t="s">
        <v>1101</v>
      </c>
      <c r="B1252">
        <v>2015</v>
      </c>
      <c r="C1252">
        <v>15</v>
      </c>
      <c r="D1252">
        <v>129</v>
      </c>
      <c r="E1252">
        <v>8.1</v>
      </c>
      <c r="F1252">
        <v>45.06</v>
      </c>
      <c r="G1252" s="1">
        <v>492406</v>
      </c>
    </row>
    <row r="1253" spans="1:7" x14ac:dyDescent="0.25">
      <c r="A1253" t="s">
        <v>1104</v>
      </c>
      <c r="B1253">
        <v>2015</v>
      </c>
      <c r="C1253">
        <v>15</v>
      </c>
      <c r="D1253">
        <v>97</v>
      </c>
      <c r="E1253">
        <v>5.4</v>
      </c>
      <c r="F1253">
        <v>2.56</v>
      </c>
      <c r="G1253" s="1">
        <v>7176</v>
      </c>
    </row>
    <row r="1254" spans="1:7" x14ac:dyDescent="0.25">
      <c r="A1254" t="s">
        <v>1105</v>
      </c>
      <c r="B1254">
        <v>2015</v>
      </c>
      <c r="C1254">
        <v>15</v>
      </c>
      <c r="D1254">
        <v>85</v>
      </c>
      <c r="E1254">
        <v>6.2</v>
      </c>
      <c r="F1254">
        <v>0.06</v>
      </c>
      <c r="G1254" s="1">
        <v>5624</v>
      </c>
    </row>
    <row r="1255" spans="1:7" x14ac:dyDescent="0.25">
      <c r="A1255" t="s">
        <v>1106</v>
      </c>
      <c r="B1255">
        <v>2015</v>
      </c>
      <c r="C1255">
        <v>15</v>
      </c>
      <c r="D1255">
        <v>138</v>
      </c>
      <c r="E1255">
        <v>7.6</v>
      </c>
      <c r="F1255">
        <v>2.46</v>
      </c>
      <c r="G1255" s="1">
        <v>61971</v>
      </c>
    </row>
    <row r="1256" spans="1:7" x14ac:dyDescent="0.25">
      <c r="A1256" t="s">
        <v>1107</v>
      </c>
      <c r="B1256">
        <v>2015</v>
      </c>
      <c r="C1256">
        <v>15</v>
      </c>
      <c r="D1256">
        <v>123</v>
      </c>
      <c r="E1256">
        <v>6.4</v>
      </c>
      <c r="F1256">
        <v>14.39</v>
      </c>
      <c r="G1256" s="1">
        <v>7705</v>
      </c>
    </row>
    <row r="1257" spans="1:7" x14ac:dyDescent="0.25">
      <c r="A1257" t="s">
        <v>1108</v>
      </c>
      <c r="B1257">
        <v>2015</v>
      </c>
      <c r="C1257">
        <v>15</v>
      </c>
      <c r="D1257">
        <v>103</v>
      </c>
      <c r="E1257">
        <v>6.3</v>
      </c>
      <c r="F1257">
        <v>80.08</v>
      </c>
      <c r="G1257" s="1">
        <v>94090</v>
      </c>
    </row>
    <row r="1258" spans="1:7" x14ac:dyDescent="0.25">
      <c r="A1258" t="s">
        <v>1109</v>
      </c>
      <c r="B1258">
        <v>2015</v>
      </c>
      <c r="C1258">
        <v>15</v>
      </c>
      <c r="D1258">
        <v>111</v>
      </c>
      <c r="E1258">
        <v>6</v>
      </c>
      <c r="F1258">
        <v>2.46</v>
      </c>
      <c r="G1258" s="1">
        <v>8768</v>
      </c>
    </row>
    <row r="1259" spans="1:7" x14ac:dyDescent="0.25">
      <c r="A1259" t="s">
        <v>1110</v>
      </c>
      <c r="B1259">
        <v>2015</v>
      </c>
      <c r="C1259">
        <v>15</v>
      </c>
      <c r="D1259">
        <v>121</v>
      </c>
      <c r="E1259">
        <v>7.7</v>
      </c>
      <c r="F1259">
        <v>46.89</v>
      </c>
      <c r="G1259" s="1">
        <v>459410</v>
      </c>
    </row>
    <row r="1260" spans="1:7" x14ac:dyDescent="0.25">
      <c r="A1260" t="s">
        <v>1111</v>
      </c>
      <c r="B1260">
        <v>2015</v>
      </c>
      <c r="C1260">
        <v>18</v>
      </c>
      <c r="D1260">
        <v>130</v>
      </c>
      <c r="E1260">
        <v>7.8</v>
      </c>
      <c r="F1260">
        <v>70.260000000000005</v>
      </c>
      <c r="G1260" s="1">
        <v>468747</v>
      </c>
    </row>
    <row r="1261" spans="1:7" x14ac:dyDescent="0.25">
      <c r="A1261" t="s">
        <v>1112</v>
      </c>
      <c r="B1261">
        <v>2015</v>
      </c>
      <c r="C1261">
        <v>15</v>
      </c>
      <c r="D1261">
        <v>124</v>
      </c>
      <c r="E1261">
        <v>6.6</v>
      </c>
      <c r="F1261">
        <v>56.45</v>
      </c>
      <c r="G1261" s="1">
        <v>142790</v>
      </c>
    </row>
    <row r="1262" spans="1:7" x14ac:dyDescent="0.25">
      <c r="A1262" t="s">
        <v>1113</v>
      </c>
      <c r="B1262">
        <v>2015</v>
      </c>
      <c r="C1262">
        <v>15</v>
      </c>
      <c r="D1262">
        <v>133</v>
      </c>
      <c r="E1262">
        <v>7.6</v>
      </c>
      <c r="F1262">
        <v>109.77</v>
      </c>
      <c r="G1262" s="1">
        <v>304665</v>
      </c>
    </row>
    <row r="1263" spans="1:7" x14ac:dyDescent="0.25">
      <c r="A1263" t="s">
        <v>1114</v>
      </c>
      <c r="B1263">
        <v>2015</v>
      </c>
      <c r="C1263">
        <v>15</v>
      </c>
      <c r="D1263">
        <v>122</v>
      </c>
      <c r="E1263">
        <v>7.2</v>
      </c>
      <c r="F1263">
        <v>17.77</v>
      </c>
      <c r="G1263" s="1">
        <v>176108</v>
      </c>
    </row>
    <row r="1264" spans="1:7" x14ac:dyDescent="0.25">
      <c r="A1264" t="s">
        <v>1115</v>
      </c>
      <c r="B1264">
        <v>2015</v>
      </c>
      <c r="C1264">
        <v>18</v>
      </c>
      <c r="D1264">
        <v>91</v>
      </c>
      <c r="E1264">
        <v>5.4</v>
      </c>
      <c r="F1264">
        <v>10.210000000000001</v>
      </c>
      <c r="G1264" s="1">
        <v>34581</v>
      </c>
    </row>
    <row r="1265" spans="1:7" x14ac:dyDescent="0.25">
      <c r="A1265" t="s">
        <v>1116</v>
      </c>
      <c r="B1265">
        <v>2015</v>
      </c>
      <c r="C1265">
        <v>12</v>
      </c>
      <c r="D1265">
        <v>95</v>
      </c>
      <c r="E1265">
        <v>7.1</v>
      </c>
      <c r="F1265">
        <v>4.25</v>
      </c>
      <c r="G1265" s="1">
        <v>34472</v>
      </c>
    </row>
    <row r="1266" spans="1:7" x14ac:dyDescent="0.25">
      <c r="A1266" t="s">
        <v>1117</v>
      </c>
      <c r="B1266">
        <v>2015</v>
      </c>
      <c r="C1266">
        <v>15</v>
      </c>
      <c r="D1266">
        <v>101</v>
      </c>
      <c r="E1266">
        <v>6.4</v>
      </c>
      <c r="F1266">
        <v>2.46</v>
      </c>
      <c r="G1266" s="1">
        <v>67477</v>
      </c>
    </row>
    <row r="1267" spans="1:7" x14ac:dyDescent="0.25">
      <c r="A1267" t="s">
        <v>1118</v>
      </c>
      <c r="B1267">
        <v>2015</v>
      </c>
      <c r="C1267">
        <v>15</v>
      </c>
      <c r="D1267">
        <v>106</v>
      </c>
      <c r="E1267">
        <v>6.9</v>
      </c>
      <c r="F1267">
        <v>4.6900000000000004</v>
      </c>
      <c r="G1267" s="1">
        <v>43999</v>
      </c>
    </row>
    <row r="1268" spans="1:7" x14ac:dyDescent="0.25">
      <c r="A1268" t="s">
        <v>1119</v>
      </c>
      <c r="B1268">
        <v>2015</v>
      </c>
      <c r="C1268">
        <v>15</v>
      </c>
      <c r="D1268">
        <v>168</v>
      </c>
      <c r="E1268">
        <v>7.8</v>
      </c>
      <c r="F1268">
        <v>54.12</v>
      </c>
      <c r="G1268" s="1">
        <v>641591</v>
      </c>
    </row>
    <row r="1269" spans="1:7" x14ac:dyDescent="0.25">
      <c r="A1269" t="s">
        <v>1121</v>
      </c>
      <c r="B1269">
        <v>2015</v>
      </c>
      <c r="C1269">
        <v>15</v>
      </c>
      <c r="D1269">
        <v>90</v>
      </c>
      <c r="E1269">
        <v>6.2</v>
      </c>
      <c r="F1269">
        <v>0.08</v>
      </c>
      <c r="G1269" s="1">
        <v>6773</v>
      </c>
    </row>
    <row r="1270" spans="1:7" x14ac:dyDescent="0.25">
      <c r="A1270" t="s">
        <v>1123</v>
      </c>
      <c r="B1270">
        <v>2015</v>
      </c>
      <c r="C1270">
        <v>15</v>
      </c>
      <c r="D1270">
        <v>93</v>
      </c>
      <c r="E1270">
        <v>5.2</v>
      </c>
      <c r="F1270">
        <v>2.46</v>
      </c>
      <c r="G1270" s="1">
        <v>5161</v>
      </c>
    </row>
    <row r="1271" spans="1:7" x14ac:dyDescent="0.25">
      <c r="A1271" t="s">
        <v>1124</v>
      </c>
      <c r="B1271">
        <v>2015</v>
      </c>
      <c r="C1271">
        <v>15</v>
      </c>
      <c r="D1271">
        <v>107</v>
      </c>
      <c r="E1271">
        <v>6.1</v>
      </c>
      <c r="F1271">
        <v>7</v>
      </c>
      <c r="G1271" s="1">
        <v>23086</v>
      </c>
    </row>
    <row r="1272" spans="1:7" x14ac:dyDescent="0.25">
      <c r="A1272" t="s">
        <v>1125</v>
      </c>
      <c r="B1272">
        <v>2015</v>
      </c>
      <c r="C1272">
        <v>15</v>
      </c>
      <c r="D1272">
        <v>103</v>
      </c>
      <c r="E1272">
        <v>6.6</v>
      </c>
      <c r="F1272">
        <v>0.53</v>
      </c>
      <c r="G1272" s="1">
        <v>13067</v>
      </c>
    </row>
    <row r="1273" spans="1:7" x14ac:dyDescent="0.25">
      <c r="A1273" t="s">
        <v>1126</v>
      </c>
      <c r="B1273">
        <v>2015</v>
      </c>
      <c r="C1273">
        <v>15</v>
      </c>
      <c r="D1273">
        <v>106</v>
      </c>
      <c r="E1273">
        <v>6.8</v>
      </c>
      <c r="F1273">
        <v>2.46</v>
      </c>
      <c r="G1273" s="1">
        <v>23198</v>
      </c>
    </row>
    <row r="1274" spans="1:7" x14ac:dyDescent="0.25">
      <c r="A1274" t="s">
        <v>1127</v>
      </c>
      <c r="B1274">
        <v>2015</v>
      </c>
      <c r="C1274">
        <v>15</v>
      </c>
      <c r="D1274">
        <v>101</v>
      </c>
      <c r="E1274">
        <v>6.6</v>
      </c>
      <c r="F1274">
        <v>13.65</v>
      </c>
      <c r="G1274" s="1">
        <v>129516</v>
      </c>
    </row>
    <row r="1275" spans="1:7" x14ac:dyDescent="0.25">
      <c r="A1275" t="s">
        <v>1128</v>
      </c>
      <c r="B1275">
        <v>2015</v>
      </c>
      <c r="C1275">
        <v>15</v>
      </c>
      <c r="D1275">
        <v>95</v>
      </c>
      <c r="E1275">
        <v>6.6</v>
      </c>
      <c r="F1275">
        <v>4.03</v>
      </c>
      <c r="G1275" s="1">
        <v>65899</v>
      </c>
    </row>
    <row r="1276" spans="1:7" x14ac:dyDescent="0.25">
      <c r="A1276" t="s">
        <v>1129</v>
      </c>
      <c r="B1276">
        <v>2015</v>
      </c>
      <c r="C1276">
        <v>15</v>
      </c>
      <c r="D1276">
        <v>93</v>
      </c>
      <c r="E1276">
        <v>6.7</v>
      </c>
      <c r="F1276">
        <v>0.05</v>
      </c>
      <c r="G1276" s="1">
        <v>29311</v>
      </c>
    </row>
    <row r="1277" spans="1:7" x14ac:dyDescent="0.25">
      <c r="A1277" t="s">
        <v>1130</v>
      </c>
      <c r="B1277">
        <v>2015</v>
      </c>
      <c r="C1277">
        <v>15</v>
      </c>
      <c r="D1277">
        <v>125</v>
      </c>
      <c r="E1277">
        <v>6.8</v>
      </c>
      <c r="F1277">
        <v>2.54</v>
      </c>
      <c r="G1277" s="1">
        <v>21015</v>
      </c>
    </row>
    <row r="1278" spans="1:7" x14ac:dyDescent="0.25">
      <c r="A1278" t="s">
        <v>1131</v>
      </c>
      <c r="B1278">
        <v>2015</v>
      </c>
      <c r="C1278">
        <v>12</v>
      </c>
      <c r="D1278">
        <v>124</v>
      </c>
      <c r="E1278">
        <v>7.4</v>
      </c>
      <c r="F1278">
        <v>7.86</v>
      </c>
      <c r="G1278" s="1">
        <v>83997</v>
      </c>
    </row>
    <row r="1279" spans="1:7" x14ac:dyDescent="0.25">
      <c r="A1279" t="s">
        <v>1132</v>
      </c>
      <c r="B1279">
        <v>2015</v>
      </c>
      <c r="C1279">
        <v>15</v>
      </c>
      <c r="D1279">
        <v>105</v>
      </c>
      <c r="E1279">
        <v>6.7</v>
      </c>
      <c r="F1279">
        <v>0.04</v>
      </c>
      <c r="G1279" s="1">
        <v>5544</v>
      </c>
    </row>
    <row r="1280" spans="1:7" x14ac:dyDescent="0.25">
      <c r="A1280" t="s">
        <v>1133</v>
      </c>
      <c r="B1280">
        <v>2015</v>
      </c>
      <c r="C1280">
        <v>12</v>
      </c>
      <c r="D1280">
        <v>90</v>
      </c>
      <c r="E1280">
        <v>6.4</v>
      </c>
      <c r="F1280">
        <v>0</v>
      </c>
      <c r="G1280" s="1">
        <v>3341</v>
      </c>
    </row>
    <row r="1281" spans="1:7" x14ac:dyDescent="0.25">
      <c r="A1281" t="s">
        <v>1134</v>
      </c>
      <c r="B1281">
        <v>2015</v>
      </c>
      <c r="C1281">
        <v>12</v>
      </c>
      <c r="D1281">
        <v>79</v>
      </c>
      <c r="E1281">
        <v>6.7</v>
      </c>
      <c r="F1281">
        <v>6.98</v>
      </c>
      <c r="G1281" s="1">
        <v>16547</v>
      </c>
    </row>
    <row r="1282" spans="1:7" x14ac:dyDescent="0.25">
      <c r="A1282" t="s">
        <v>1135</v>
      </c>
      <c r="B1282">
        <v>2015</v>
      </c>
      <c r="C1282">
        <v>13</v>
      </c>
      <c r="D1282">
        <v>99</v>
      </c>
      <c r="E1282">
        <v>6.5</v>
      </c>
      <c r="F1282">
        <v>2.46</v>
      </c>
      <c r="G1282" s="1">
        <v>19075</v>
      </c>
    </row>
    <row r="1283" spans="1:7" x14ac:dyDescent="0.25">
      <c r="A1283" t="s">
        <v>1136</v>
      </c>
      <c r="B1283">
        <v>2015</v>
      </c>
      <c r="C1283">
        <v>15</v>
      </c>
      <c r="D1283">
        <v>106</v>
      </c>
      <c r="E1283">
        <v>5.6</v>
      </c>
      <c r="F1283">
        <v>0.05</v>
      </c>
      <c r="G1283" s="1">
        <v>42029</v>
      </c>
    </row>
    <row r="1284" spans="1:7" x14ac:dyDescent="0.25">
      <c r="A1284" t="s">
        <v>1138</v>
      </c>
      <c r="B1284">
        <v>2015</v>
      </c>
      <c r="C1284">
        <v>15</v>
      </c>
      <c r="D1284">
        <v>138</v>
      </c>
      <c r="E1284">
        <v>7.8</v>
      </c>
      <c r="F1284">
        <v>936.66</v>
      </c>
      <c r="G1284" s="1">
        <v>960553</v>
      </c>
    </row>
    <row r="1285" spans="1:7" x14ac:dyDescent="0.25">
      <c r="A1285" t="s">
        <v>1139</v>
      </c>
      <c r="B1285">
        <v>2015</v>
      </c>
      <c r="C1285">
        <v>12</v>
      </c>
      <c r="D1285">
        <v>111</v>
      </c>
      <c r="E1285">
        <v>6.3</v>
      </c>
      <c r="F1285">
        <v>20.18</v>
      </c>
      <c r="G1285" s="1">
        <v>50468</v>
      </c>
    </row>
    <row r="1286" spans="1:7" x14ac:dyDescent="0.25">
      <c r="A1286" t="s">
        <v>1141</v>
      </c>
      <c r="B1286">
        <v>2015</v>
      </c>
      <c r="C1286">
        <v>15</v>
      </c>
      <c r="D1286">
        <v>112</v>
      </c>
      <c r="E1286">
        <v>6.8</v>
      </c>
      <c r="F1286">
        <v>1.1599999999999999</v>
      </c>
      <c r="G1286" s="1">
        <v>19669</v>
      </c>
    </row>
    <row r="1287" spans="1:7" x14ac:dyDescent="0.25">
      <c r="A1287" t="s">
        <v>1143</v>
      </c>
      <c r="B1287">
        <v>2015</v>
      </c>
      <c r="C1287">
        <v>15</v>
      </c>
      <c r="D1287">
        <v>118</v>
      </c>
      <c r="E1287">
        <v>7.1</v>
      </c>
      <c r="F1287">
        <v>2.25</v>
      </c>
      <c r="G1287" s="1">
        <v>7075</v>
      </c>
    </row>
    <row r="1288" spans="1:7" x14ac:dyDescent="0.25">
      <c r="A1288" t="s">
        <v>1144</v>
      </c>
      <c r="B1288">
        <v>2015</v>
      </c>
      <c r="C1288">
        <v>15</v>
      </c>
      <c r="D1288">
        <v>106</v>
      </c>
      <c r="E1288">
        <v>5.9</v>
      </c>
      <c r="F1288">
        <v>27.37</v>
      </c>
      <c r="G1288" s="1">
        <v>108167</v>
      </c>
    </row>
    <row r="1289" spans="1:7" x14ac:dyDescent="0.25">
      <c r="A1289" t="s">
        <v>1145</v>
      </c>
      <c r="B1289">
        <v>2015</v>
      </c>
      <c r="C1289">
        <v>15</v>
      </c>
      <c r="D1289">
        <v>90</v>
      </c>
      <c r="E1289">
        <v>5.9</v>
      </c>
      <c r="F1289">
        <v>2.46</v>
      </c>
      <c r="G1289" s="1">
        <v>13231</v>
      </c>
    </row>
    <row r="1290" spans="1:7" x14ac:dyDescent="0.25">
      <c r="A1290" t="s">
        <v>1146</v>
      </c>
      <c r="B1290">
        <v>2015</v>
      </c>
      <c r="C1290">
        <v>15</v>
      </c>
      <c r="D1290">
        <v>156</v>
      </c>
      <c r="E1290">
        <v>8</v>
      </c>
      <c r="F1290">
        <v>183.64</v>
      </c>
      <c r="G1290" s="1">
        <v>850374</v>
      </c>
    </row>
    <row r="1291" spans="1:7" x14ac:dyDescent="0.25">
      <c r="A1291" t="s">
        <v>1147</v>
      </c>
      <c r="B1291">
        <v>2015</v>
      </c>
      <c r="C1291">
        <v>15</v>
      </c>
      <c r="D1291">
        <v>118</v>
      </c>
      <c r="E1291">
        <v>5.6</v>
      </c>
      <c r="F1291">
        <v>0.56000000000000005</v>
      </c>
      <c r="G1291" s="1">
        <v>28821</v>
      </c>
    </row>
    <row r="1292" spans="1:7" x14ac:dyDescent="0.25">
      <c r="A1292" t="s">
        <v>1148</v>
      </c>
      <c r="B1292">
        <v>2015</v>
      </c>
      <c r="C1292">
        <v>15</v>
      </c>
      <c r="D1292">
        <v>99</v>
      </c>
      <c r="E1292">
        <v>6.2</v>
      </c>
      <c r="F1292">
        <v>2.46</v>
      </c>
      <c r="G1292" s="1">
        <v>5070</v>
      </c>
    </row>
    <row r="1293" spans="1:7" x14ac:dyDescent="0.25">
      <c r="A1293" t="s">
        <v>1150</v>
      </c>
      <c r="B1293">
        <v>2015</v>
      </c>
      <c r="C1293">
        <v>15</v>
      </c>
      <c r="D1293">
        <v>90</v>
      </c>
      <c r="E1293">
        <v>7.3</v>
      </c>
      <c r="F1293">
        <v>3.76</v>
      </c>
      <c r="G1293" s="1">
        <v>74434</v>
      </c>
    </row>
    <row r="1294" spans="1:7" x14ac:dyDescent="0.25">
      <c r="A1294" t="s">
        <v>1151</v>
      </c>
      <c r="B1294">
        <v>2015</v>
      </c>
      <c r="C1294">
        <v>15</v>
      </c>
      <c r="D1294">
        <v>115</v>
      </c>
      <c r="E1294">
        <v>7.2</v>
      </c>
      <c r="F1294">
        <v>0.25</v>
      </c>
      <c r="G1294" s="1">
        <v>16603</v>
      </c>
    </row>
    <row r="1295" spans="1:7" x14ac:dyDescent="0.25">
      <c r="A1295" t="s">
        <v>1153</v>
      </c>
      <c r="B1295">
        <v>2015</v>
      </c>
      <c r="C1295">
        <v>12</v>
      </c>
      <c r="D1295">
        <v>113</v>
      </c>
      <c r="E1295">
        <v>6.6</v>
      </c>
      <c r="F1295">
        <v>1.1100000000000001</v>
      </c>
      <c r="G1295" s="1">
        <v>58863</v>
      </c>
    </row>
    <row r="1296" spans="1:7" x14ac:dyDescent="0.25">
      <c r="A1296" t="s">
        <v>1154</v>
      </c>
      <c r="B1296">
        <v>2015</v>
      </c>
      <c r="C1296">
        <v>12</v>
      </c>
      <c r="D1296">
        <v>119</v>
      </c>
      <c r="E1296">
        <v>7</v>
      </c>
      <c r="F1296">
        <v>2.02</v>
      </c>
      <c r="G1296" s="1">
        <v>64257</v>
      </c>
    </row>
    <row r="1297" spans="1:7" x14ac:dyDescent="0.25">
      <c r="A1297" t="s">
        <v>1155</v>
      </c>
      <c r="B1297">
        <v>2015</v>
      </c>
      <c r="C1297">
        <v>15</v>
      </c>
      <c r="D1297">
        <v>94</v>
      </c>
      <c r="E1297">
        <v>7.5</v>
      </c>
      <c r="F1297">
        <v>0.64</v>
      </c>
      <c r="G1297" s="1">
        <v>27235</v>
      </c>
    </row>
    <row r="1298" spans="1:7" x14ac:dyDescent="0.25">
      <c r="A1298" t="s">
        <v>1156</v>
      </c>
      <c r="B1298">
        <v>2015</v>
      </c>
      <c r="C1298">
        <v>12</v>
      </c>
      <c r="D1298">
        <v>116</v>
      </c>
      <c r="E1298">
        <v>7</v>
      </c>
      <c r="F1298">
        <v>2.46</v>
      </c>
      <c r="G1298" s="1">
        <v>28177</v>
      </c>
    </row>
    <row r="1299" spans="1:7" x14ac:dyDescent="0.25">
      <c r="A1299" t="s">
        <v>1157</v>
      </c>
      <c r="B1299">
        <v>2015</v>
      </c>
      <c r="C1299">
        <v>15</v>
      </c>
      <c r="D1299">
        <v>103</v>
      </c>
      <c r="E1299">
        <v>8.1</v>
      </c>
      <c r="F1299">
        <v>0.43</v>
      </c>
      <c r="G1299" s="1">
        <v>7839</v>
      </c>
    </row>
    <row r="1300" spans="1:7" x14ac:dyDescent="0.25">
      <c r="A1300" t="s">
        <v>1159</v>
      </c>
      <c r="B1300">
        <v>2015</v>
      </c>
      <c r="C1300">
        <v>15</v>
      </c>
      <c r="D1300">
        <v>85</v>
      </c>
      <c r="E1300">
        <v>6.4</v>
      </c>
      <c r="F1300">
        <v>0.1</v>
      </c>
      <c r="G1300">
        <v>706</v>
      </c>
    </row>
    <row r="1301" spans="1:7" x14ac:dyDescent="0.25">
      <c r="A1301" t="s">
        <v>1160</v>
      </c>
      <c r="B1301">
        <v>2015</v>
      </c>
      <c r="C1301">
        <v>15</v>
      </c>
      <c r="D1301">
        <v>101</v>
      </c>
      <c r="E1301">
        <v>7.6</v>
      </c>
      <c r="F1301">
        <v>2.46</v>
      </c>
      <c r="G1301" s="1">
        <v>14610</v>
      </c>
    </row>
    <row r="1302" spans="1:7" x14ac:dyDescent="0.25">
      <c r="A1302" t="s">
        <v>1161</v>
      </c>
      <c r="B1302">
        <v>2015</v>
      </c>
      <c r="C1302">
        <v>12</v>
      </c>
      <c r="D1302">
        <v>115</v>
      </c>
      <c r="E1302">
        <v>7</v>
      </c>
      <c r="F1302">
        <v>0.12</v>
      </c>
      <c r="G1302" s="1">
        <v>11046</v>
      </c>
    </row>
    <row r="1303" spans="1:7" x14ac:dyDescent="0.25">
      <c r="A1303" t="s">
        <v>1162</v>
      </c>
      <c r="B1303">
        <v>2015</v>
      </c>
      <c r="C1303">
        <v>15</v>
      </c>
      <c r="D1303">
        <v>110</v>
      </c>
      <c r="E1303">
        <v>5.9</v>
      </c>
      <c r="F1303">
        <v>5.78</v>
      </c>
      <c r="G1303" s="1">
        <v>59278</v>
      </c>
    </row>
    <row r="1304" spans="1:7" x14ac:dyDescent="0.25">
      <c r="A1304" t="s">
        <v>1163</v>
      </c>
      <c r="B1304">
        <v>2015</v>
      </c>
      <c r="C1304">
        <v>18</v>
      </c>
      <c r="D1304">
        <v>98</v>
      </c>
      <c r="E1304">
        <v>7.2</v>
      </c>
      <c r="F1304">
        <v>0.03</v>
      </c>
      <c r="G1304" s="1">
        <v>11756</v>
      </c>
    </row>
    <row r="1305" spans="1:7" x14ac:dyDescent="0.25">
      <c r="A1305" t="s">
        <v>1164</v>
      </c>
      <c r="B1305">
        <v>2015</v>
      </c>
      <c r="C1305">
        <v>15</v>
      </c>
      <c r="D1305">
        <v>107</v>
      </c>
      <c r="E1305">
        <v>5.8</v>
      </c>
      <c r="F1305">
        <v>26.28</v>
      </c>
      <c r="G1305" s="1">
        <v>25731</v>
      </c>
    </row>
    <row r="1306" spans="1:7" x14ac:dyDescent="0.25">
      <c r="A1306" t="s">
        <v>1168</v>
      </c>
      <c r="B1306">
        <v>2015</v>
      </c>
      <c r="C1306">
        <v>15</v>
      </c>
      <c r="D1306">
        <v>100</v>
      </c>
      <c r="E1306">
        <v>6.3</v>
      </c>
      <c r="F1306">
        <v>0.01</v>
      </c>
      <c r="G1306" s="1">
        <v>1176</v>
      </c>
    </row>
    <row r="1307" spans="1:7" x14ac:dyDescent="0.25">
      <c r="A1307" t="s">
        <v>1169</v>
      </c>
      <c r="B1307">
        <v>2015</v>
      </c>
      <c r="C1307">
        <v>15</v>
      </c>
      <c r="D1307">
        <v>111</v>
      </c>
      <c r="E1307">
        <v>5.7</v>
      </c>
      <c r="F1307">
        <v>35.090000000000003</v>
      </c>
      <c r="G1307" s="1">
        <v>66558</v>
      </c>
    </row>
    <row r="1308" spans="1:7" x14ac:dyDescent="0.25">
      <c r="A1308" t="s">
        <v>1171</v>
      </c>
      <c r="B1308">
        <v>2015</v>
      </c>
      <c r="C1308">
        <v>12</v>
      </c>
      <c r="D1308">
        <v>137</v>
      </c>
      <c r="E1308">
        <v>6.5</v>
      </c>
      <c r="F1308">
        <v>281.72000000000003</v>
      </c>
      <c r="G1308" s="1">
        <v>354403</v>
      </c>
    </row>
    <row r="1309" spans="1:7" x14ac:dyDescent="0.25">
      <c r="A1309" t="s">
        <v>1172</v>
      </c>
      <c r="B1309">
        <v>2015</v>
      </c>
      <c r="C1309">
        <v>15</v>
      </c>
      <c r="D1309">
        <v>102</v>
      </c>
      <c r="E1309">
        <v>8.3000000000000007</v>
      </c>
      <c r="F1309">
        <v>2.46</v>
      </c>
      <c r="G1309" s="1">
        <v>20217</v>
      </c>
    </row>
    <row r="1310" spans="1:7" x14ac:dyDescent="0.25">
      <c r="A1310" t="s">
        <v>1173</v>
      </c>
      <c r="B1310">
        <v>2015</v>
      </c>
      <c r="C1310">
        <v>15</v>
      </c>
      <c r="D1310">
        <v>103</v>
      </c>
      <c r="E1310">
        <v>7.4</v>
      </c>
      <c r="F1310">
        <v>0.41</v>
      </c>
      <c r="G1310" s="1">
        <v>6444</v>
      </c>
    </row>
    <row r="1311" spans="1:7" x14ac:dyDescent="0.25">
      <c r="A1311" t="s">
        <v>1174</v>
      </c>
      <c r="B1311">
        <v>2015</v>
      </c>
      <c r="C1311">
        <v>15</v>
      </c>
      <c r="D1311">
        <v>105</v>
      </c>
      <c r="E1311">
        <v>6.2</v>
      </c>
      <c r="F1311">
        <v>0.14000000000000001</v>
      </c>
      <c r="G1311" s="1">
        <v>7884</v>
      </c>
    </row>
    <row r="1312" spans="1:7" x14ac:dyDescent="0.25">
      <c r="A1312" t="s">
        <v>1176</v>
      </c>
      <c r="B1312">
        <v>2015</v>
      </c>
      <c r="C1312">
        <v>13</v>
      </c>
      <c r="D1312">
        <v>100</v>
      </c>
      <c r="E1312">
        <v>7.3</v>
      </c>
      <c r="F1312">
        <v>0.7</v>
      </c>
      <c r="G1312" s="1">
        <v>18735</v>
      </c>
    </row>
    <row r="1313" spans="1:7" x14ac:dyDescent="0.25">
      <c r="A1313" t="s">
        <v>1177</v>
      </c>
      <c r="B1313">
        <v>2015</v>
      </c>
      <c r="C1313">
        <v>12</v>
      </c>
      <c r="D1313">
        <v>114</v>
      </c>
      <c r="E1313">
        <v>7.1</v>
      </c>
      <c r="F1313">
        <v>0.09</v>
      </c>
      <c r="G1313" s="1">
        <v>34298</v>
      </c>
    </row>
    <row r="1314" spans="1:7" x14ac:dyDescent="0.25">
      <c r="A1314" t="s">
        <v>1178</v>
      </c>
      <c r="B1314">
        <v>2015</v>
      </c>
      <c r="C1314">
        <v>15</v>
      </c>
      <c r="D1314">
        <v>105</v>
      </c>
      <c r="E1314">
        <v>6.6</v>
      </c>
      <c r="F1314">
        <v>0.18</v>
      </c>
      <c r="G1314" s="1">
        <v>41631</v>
      </c>
    </row>
    <row r="1315" spans="1:7" x14ac:dyDescent="0.25">
      <c r="A1315" t="s">
        <v>1186</v>
      </c>
      <c r="B1315">
        <v>2015</v>
      </c>
      <c r="C1315">
        <v>12</v>
      </c>
      <c r="D1315">
        <v>90</v>
      </c>
      <c r="E1315">
        <v>6.4</v>
      </c>
      <c r="F1315">
        <v>2.46</v>
      </c>
      <c r="G1315" s="1">
        <v>13472</v>
      </c>
    </row>
    <row r="1316" spans="1:7" x14ac:dyDescent="0.25">
      <c r="A1316" t="s">
        <v>1188</v>
      </c>
      <c r="B1316">
        <v>2015</v>
      </c>
      <c r="C1316">
        <v>15</v>
      </c>
      <c r="D1316">
        <v>121</v>
      </c>
      <c r="E1316">
        <v>7.1</v>
      </c>
      <c r="F1316">
        <v>2.46</v>
      </c>
      <c r="G1316" s="1">
        <v>4805</v>
      </c>
    </row>
    <row r="1317" spans="1:7" x14ac:dyDescent="0.25">
      <c r="A1317" t="s">
        <v>1189</v>
      </c>
      <c r="B1317">
        <v>2015</v>
      </c>
      <c r="C1317">
        <v>15</v>
      </c>
      <c r="D1317">
        <v>99</v>
      </c>
      <c r="E1317">
        <v>7.1</v>
      </c>
      <c r="F1317">
        <v>0.1</v>
      </c>
      <c r="G1317" s="1">
        <v>5180</v>
      </c>
    </row>
    <row r="1318" spans="1:7" x14ac:dyDescent="0.25">
      <c r="A1318" t="s">
        <v>1191</v>
      </c>
      <c r="B1318">
        <v>2015</v>
      </c>
      <c r="C1318">
        <v>15</v>
      </c>
      <c r="D1318">
        <v>129</v>
      </c>
      <c r="E1318">
        <v>6.9</v>
      </c>
      <c r="F1318">
        <v>0.51</v>
      </c>
      <c r="G1318" s="1">
        <v>5615</v>
      </c>
    </row>
    <row r="1319" spans="1:7" x14ac:dyDescent="0.25">
      <c r="A1319" t="s">
        <v>1192</v>
      </c>
      <c r="B1319">
        <v>2015</v>
      </c>
      <c r="C1319">
        <v>15</v>
      </c>
      <c r="D1319">
        <v>100</v>
      </c>
      <c r="E1319">
        <v>6.5</v>
      </c>
      <c r="F1319">
        <v>0.05</v>
      </c>
      <c r="G1319" s="1">
        <v>2536</v>
      </c>
    </row>
    <row r="1320" spans="1:7" x14ac:dyDescent="0.25">
      <c r="A1320" t="s">
        <v>1193</v>
      </c>
      <c r="B1320">
        <v>2015</v>
      </c>
      <c r="C1320">
        <v>15</v>
      </c>
      <c r="D1320">
        <v>114</v>
      </c>
      <c r="E1320">
        <v>5.3</v>
      </c>
      <c r="F1320">
        <v>28.78</v>
      </c>
      <c r="G1320" s="1">
        <v>65390</v>
      </c>
    </row>
    <row r="1321" spans="1:7" x14ac:dyDescent="0.25">
      <c r="A1321" t="s">
        <v>1197</v>
      </c>
      <c r="B1321">
        <v>2015</v>
      </c>
      <c r="C1321">
        <v>15</v>
      </c>
      <c r="D1321">
        <v>105</v>
      </c>
      <c r="E1321">
        <v>6.3</v>
      </c>
      <c r="F1321">
        <v>0.03</v>
      </c>
      <c r="G1321" s="1">
        <v>3059</v>
      </c>
    </row>
    <row r="1322" spans="1:7" x14ac:dyDescent="0.25">
      <c r="A1322" t="s">
        <v>1198</v>
      </c>
      <c r="B1322">
        <v>2015</v>
      </c>
      <c r="C1322">
        <v>15</v>
      </c>
      <c r="D1322">
        <v>95</v>
      </c>
      <c r="E1322">
        <v>6.1</v>
      </c>
      <c r="F1322">
        <v>2.46</v>
      </c>
      <c r="G1322" s="1">
        <v>3853</v>
      </c>
    </row>
    <row r="1323" spans="1:7" x14ac:dyDescent="0.25">
      <c r="A1323" t="s">
        <v>1199</v>
      </c>
      <c r="B1323">
        <v>2015</v>
      </c>
      <c r="C1323">
        <v>15</v>
      </c>
      <c r="D1323">
        <v>98</v>
      </c>
      <c r="E1323">
        <v>5.9</v>
      </c>
      <c r="F1323">
        <v>1.51</v>
      </c>
      <c r="G1323" s="1">
        <v>23381</v>
      </c>
    </row>
    <row r="1324" spans="1:7" x14ac:dyDescent="0.25">
      <c r="A1324" t="s">
        <v>1209</v>
      </c>
      <c r="B1324">
        <v>2015</v>
      </c>
      <c r="C1324">
        <v>15</v>
      </c>
      <c r="D1324">
        <v>93</v>
      </c>
      <c r="E1324">
        <v>7.2</v>
      </c>
      <c r="F1324">
        <v>0.14000000000000001</v>
      </c>
      <c r="G1324" s="1">
        <v>14974</v>
      </c>
    </row>
    <row r="1325" spans="1:7" x14ac:dyDescent="0.25">
      <c r="A1325" t="s">
        <v>1212</v>
      </c>
      <c r="B1325">
        <v>2015</v>
      </c>
      <c r="C1325">
        <v>15</v>
      </c>
      <c r="D1325">
        <v>128</v>
      </c>
      <c r="E1325">
        <v>5.7</v>
      </c>
      <c r="F1325">
        <v>2.46</v>
      </c>
      <c r="G1325" s="1">
        <v>12292</v>
      </c>
    </row>
    <row r="1326" spans="1:7" x14ac:dyDescent="0.25">
      <c r="A1326" t="s">
        <v>1217</v>
      </c>
      <c r="B1326">
        <v>2015</v>
      </c>
      <c r="C1326">
        <v>15</v>
      </c>
      <c r="D1326">
        <v>115</v>
      </c>
      <c r="E1326">
        <v>6.6</v>
      </c>
      <c r="F1326">
        <v>0.02</v>
      </c>
      <c r="G1326" s="1">
        <v>1062</v>
      </c>
    </row>
    <row r="1327" spans="1:7" x14ac:dyDescent="0.25">
      <c r="A1327" t="s">
        <v>1220</v>
      </c>
      <c r="B1327">
        <v>2015</v>
      </c>
      <c r="C1327">
        <v>15</v>
      </c>
      <c r="D1327">
        <v>122</v>
      </c>
      <c r="E1327">
        <v>6.8</v>
      </c>
      <c r="F1327">
        <v>0.05</v>
      </c>
      <c r="G1327" s="1">
        <v>5287</v>
      </c>
    </row>
    <row r="1328" spans="1:7" x14ac:dyDescent="0.25">
      <c r="A1328" t="s">
        <v>1226</v>
      </c>
      <c r="B1328">
        <v>2015</v>
      </c>
      <c r="C1328">
        <v>15</v>
      </c>
      <c r="D1328">
        <v>79</v>
      </c>
      <c r="E1328">
        <v>6.1</v>
      </c>
      <c r="F1328">
        <v>1.1000000000000001</v>
      </c>
      <c r="G1328" s="1">
        <v>17439</v>
      </c>
    </row>
    <row r="1329" spans="1:7" x14ac:dyDescent="0.25">
      <c r="A1329" t="s">
        <v>1227</v>
      </c>
      <c r="B1329">
        <v>2015</v>
      </c>
      <c r="C1329">
        <v>15</v>
      </c>
      <c r="D1329">
        <v>113</v>
      </c>
      <c r="E1329">
        <v>7.4</v>
      </c>
      <c r="F1329">
        <v>0.12</v>
      </c>
      <c r="G1329" s="1">
        <v>12399</v>
      </c>
    </row>
    <row r="1330" spans="1:7" x14ac:dyDescent="0.25">
      <c r="A1330" t="s">
        <v>1228</v>
      </c>
      <c r="B1330">
        <v>2015</v>
      </c>
      <c r="C1330">
        <v>15</v>
      </c>
      <c r="D1330">
        <v>89</v>
      </c>
      <c r="E1330">
        <v>7.4</v>
      </c>
      <c r="F1330">
        <v>2.46</v>
      </c>
      <c r="G1330" s="1">
        <v>1108</v>
      </c>
    </row>
    <row r="1331" spans="1:7" x14ac:dyDescent="0.25">
      <c r="A1331" t="s">
        <v>1230</v>
      </c>
      <c r="B1331">
        <v>2015</v>
      </c>
      <c r="C1331">
        <v>13</v>
      </c>
      <c r="D1331">
        <v>103</v>
      </c>
      <c r="E1331">
        <v>6</v>
      </c>
      <c r="F1331">
        <v>2.46</v>
      </c>
      <c r="G1331" s="1">
        <v>9940</v>
      </c>
    </row>
    <row r="1332" spans="1:7" x14ac:dyDescent="0.25">
      <c r="A1332" t="s">
        <v>1236</v>
      </c>
      <c r="B1332">
        <v>2015</v>
      </c>
      <c r="C1332">
        <v>15</v>
      </c>
      <c r="D1332">
        <v>100</v>
      </c>
      <c r="E1332">
        <v>6.6</v>
      </c>
      <c r="F1332">
        <v>0.23</v>
      </c>
      <c r="G1332" s="1">
        <v>116955</v>
      </c>
    </row>
    <row r="1333" spans="1:7" x14ac:dyDescent="0.25">
      <c r="A1333" t="s">
        <v>1238</v>
      </c>
      <c r="B1333">
        <v>2015</v>
      </c>
      <c r="C1333">
        <v>15</v>
      </c>
      <c r="D1333">
        <v>108</v>
      </c>
      <c r="E1333">
        <v>7.3</v>
      </c>
      <c r="F1333">
        <v>0.21</v>
      </c>
      <c r="G1333" s="1">
        <v>13718</v>
      </c>
    </row>
    <row r="1334" spans="1:7" x14ac:dyDescent="0.25">
      <c r="A1334" t="s">
        <v>1239</v>
      </c>
      <c r="B1334">
        <v>2015</v>
      </c>
      <c r="C1334">
        <v>15</v>
      </c>
      <c r="D1334">
        <v>109</v>
      </c>
      <c r="E1334">
        <v>6.6</v>
      </c>
      <c r="F1334">
        <v>0.16</v>
      </c>
      <c r="G1334" s="1">
        <v>14010</v>
      </c>
    </row>
    <row r="1335" spans="1:7" x14ac:dyDescent="0.25">
      <c r="A1335" t="s">
        <v>1241</v>
      </c>
      <c r="B1335">
        <v>2015</v>
      </c>
      <c r="C1335">
        <v>15</v>
      </c>
      <c r="D1335">
        <v>130</v>
      </c>
      <c r="E1335">
        <v>6.1</v>
      </c>
      <c r="F1335">
        <v>0.03</v>
      </c>
      <c r="G1335" s="1">
        <v>3370</v>
      </c>
    </row>
    <row r="1336" spans="1:7" x14ac:dyDescent="0.25">
      <c r="A1336" t="s">
        <v>1242</v>
      </c>
      <c r="B1336">
        <v>2015</v>
      </c>
      <c r="C1336">
        <v>15</v>
      </c>
      <c r="D1336">
        <v>127</v>
      </c>
      <c r="E1336">
        <v>7.5</v>
      </c>
      <c r="F1336">
        <v>0.46</v>
      </c>
      <c r="G1336" s="1">
        <v>16399</v>
      </c>
    </row>
    <row r="1337" spans="1:7" x14ac:dyDescent="0.25">
      <c r="A1337" t="s">
        <v>1246</v>
      </c>
      <c r="B1337">
        <v>2015</v>
      </c>
      <c r="C1337">
        <v>15</v>
      </c>
      <c r="D1337">
        <v>100</v>
      </c>
      <c r="E1337">
        <v>5.8</v>
      </c>
      <c r="F1337">
        <v>2.46</v>
      </c>
      <c r="G1337" s="1">
        <v>2390</v>
      </c>
    </row>
    <row r="1338" spans="1:7" x14ac:dyDescent="0.25">
      <c r="A1338" t="s">
        <v>1247</v>
      </c>
      <c r="B1338">
        <v>2015</v>
      </c>
      <c r="C1338">
        <v>12</v>
      </c>
      <c r="D1338">
        <v>98</v>
      </c>
      <c r="E1338">
        <v>5.0999999999999996</v>
      </c>
      <c r="F1338">
        <v>2.46</v>
      </c>
      <c r="G1338" s="1">
        <v>3442</v>
      </c>
    </row>
    <row r="1339" spans="1:7" x14ac:dyDescent="0.25">
      <c r="A1339" t="s">
        <v>1250</v>
      </c>
      <c r="B1339">
        <v>2015</v>
      </c>
      <c r="C1339">
        <v>15</v>
      </c>
      <c r="D1339">
        <v>100</v>
      </c>
      <c r="E1339">
        <v>7.8</v>
      </c>
      <c r="F1339">
        <v>0.44</v>
      </c>
      <c r="G1339" s="1">
        <v>44568</v>
      </c>
    </row>
    <row r="1340" spans="1:7" x14ac:dyDescent="0.25">
      <c r="A1340" t="s">
        <v>1254</v>
      </c>
      <c r="B1340">
        <v>2015</v>
      </c>
      <c r="C1340">
        <v>15</v>
      </c>
      <c r="D1340">
        <v>112</v>
      </c>
      <c r="E1340">
        <v>7.7</v>
      </c>
      <c r="F1340">
        <v>0.38</v>
      </c>
      <c r="G1340" s="1">
        <v>16290</v>
      </c>
    </row>
    <row r="1341" spans="1:7" x14ac:dyDescent="0.25">
      <c r="A1341" t="s">
        <v>1255</v>
      </c>
      <c r="B1341">
        <v>2015</v>
      </c>
      <c r="C1341">
        <v>18</v>
      </c>
      <c r="D1341">
        <v>99</v>
      </c>
      <c r="E1341">
        <v>6.3</v>
      </c>
      <c r="F1341">
        <v>2.46</v>
      </c>
      <c r="G1341" s="1">
        <v>21925</v>
      </c>
    </row>
    <row r="1342" spans="1:7" x14ac:dyDescent="0.25">
      <c r="A1342" t="s">
        <v>1257</v>
      </c>
      <c r="B1342">
        <v>2015</v>
      </c>
      <c r="C1342">
        <v>12</v>
      </c>
      <c r="D1342">
        <v>124</v>
      </c>
      <c r="E1342">
        <v>7.1</v>
      </c>
      <c r="F1342">
        <v>0.05</v>
      </c>
      <c r="G1342" s="1">
        <v>13896</v>
      </c>
    </row>
    <row r="1343" spans="1:7" x14ac:dyDescent="0.25">
      <c r="A1343" t="s">
        <v>1258</v>
      </c>
      <c r="B1343">
        <v>2015</v>
      </c>
      <c r="C1343">
        <v>15</v>
      </c>
      <c r="D1343">
        <v>98</v>
      </c>
      <c r="E1343">
        <v>6.6</v>
      </c>
      <c r="F1343">
        <v>2.46</v>
      </c>
      <c r="G1343" s="1">
        <v>2375</v>
      </c>
    </row>
    <row r="1344" spans="1:7" x14ac:dyDescent="0.25">
      <c r="A1344" t="s">
        <v>1259</v>
      </c>
      <c r="B1344">
        <v>2015</v>
      </c>
      <c r="C1344">
        <v>15</v>
      </c>
      <c r="D1344">
        <v>89</v>
      </c>
      <c r="E1344">
        <v>6.7</v>
      </c>
      <c r="F1344">
        <v>0.03</v>
      </c>
      <c r="G1344" s="1">
        <v>3174</v>
      </c>
    </row>
    <row r="1345" spans="1:7" x14ac:dyDescent="0.25">
      <c r="A1345" t="s">
        <v>1260</v>
      </c>
      <c r="B1345">
        <v>2015</v>
      </c>
      <c r="C1345">
        <v>15</v>
      </c>
      <c r="D1345">
        <v>96</v>
      </c>
      <c r="E1345">
        <v>6.7</v>
      </c>
      <c r="F1345">
        <v>9.25</v>
      </c>
      <c r="G1345" s="1">
        <v>100288</v>
      </c>
    </row>
    <row r="1346" spans="1:7" x14ac:dyDescent="0.25">
      <c r="A1346" t="s">
        <v>1261</v>
      </c>
      <c r="B1346">
        <v>2015</v>
      </c>
      <c r="C1346">
        <v>15</v>
      </c>
      <c r="D1346">
        <v>119</v>
      </c>
      <c r="E1346">
        <v>5.5</v>
      </c>
      <c r="F1346">
        <v>0.34</v>
      </c>
      <c r="G1346" s="1">
        <v>44562</v>
      </c>
    </row>
    <row r="1347" spans="1:7" x14ac:dyDescent="0.25">
      <c r="A1347" t="s">
        <v>1262</v>
      </c>
      <c r="B1347">
        <v>2015</v>
      </c>
      <c r="C1347">
        <v>12</v>
      </c>
      <c r="D1347">
        <v>87</v>
      </c>
      <c r="E1347">
        <v>5.2</v>
      </c>
      <c r="F1347">
        <v>0.01</v>
      </c>
      <c r="G1347" s="1">
        <v>5984</v>
      </c>
    </row>
    <row r="1348" spans="1:7" x14ac:dyDescent="0.25">
      <c r="A1348" t="s">
        <v>1264</v>
      </c>
      <c r="B1348">
        <v>2015</v>
      </c>
      <c r="C1348">
        <v>15</v>
      </c>
      <c r="D1348">
        <v>97</v>
      </c>
      <c r="E1348">
        <v>5.4</v>
      </c>
      <c r="F1348">
        <v>0.06</v>
      </c>
      <c r="G1348" s="1">
        <v>2264</v>
      </c>
    </row>
    <row r="1349" spans="1:7" x14ac:dyDescent="0.25">
      <c r="A1349" t="s">
        <v>1265</v>
      </c>
      <c r="B1349">
        <v>2015</v>
      </c>
      <c r="C1349">
        <v>15</v>
      </c>
      <c r="D1349">
        <v>123</v>
      </c>
      <c r="E1349">
        <v>6.7</v>
      </c>
      <c r="F1349">
        <v>0.27</v>
      </c>
      <c r="G1349" s="1">
        <v>3754</v>
      </c>
    </row>
    <row r="1350" spans="1:7" x14ac:dyDescent="0.25">
      <c r="A1350" t="s">
        <v>1275</v>
      </c>
      <c r="B1350">
        <v>2015</v>
      </c>
      <c r="C1350">
        <v>15</v>
      </c>
      <c r="D1350">
        <v>106</v>
      </c>
      <c r="E1350">
        <v>7.3</v>
      </c>
      <c r="F1350">
        <v>15.79</v>
      </c>
      <c r="G1350" s="1">
        <v>98526</v>
      </c>
    </row>
    <row r="1351" spans="1:7" x14ac:dyDescent="0.25">
      <c r="A1351" t="s">
        <v>1276</v>
      </c>
      <c r="B1351">
        <v>2015</v>
      </c>
      <c r="C1351">
        <v>15</v>
      </c>
      <c r="D1351">
        <v>93</v>
      </c>
      <c r="E1351">
        <v>5.9</v>
      </c>
      <c r="F1351">
        <v>0.02</v>
      </c>
      <c r="G1351" s="1">
        <v>24983</v>
      </c>
    </row>
    <row r="1352" spans="1:7" x14ac:dyDescent="0.25">
      <c r="A1352" t="s">
        <v>1282</v>
      </c>
      <c r="B1352">
        <v>2015</v>
      </c>
      <c r="C1352">
        <v>15</v>
      </c>
      <c r="D1352">
        <v>100</v>
      </c>
      <c r="E1352">
        <v>6.4</v>
      </c>
      <c r="F1352">
        <v>2.61</v>
      </c>
      <c r="G1352" s="1">
        <v>10432</v>
      </c>
    </row>
    <row r="1353" spans="1:7" x14ac:dyDescent="0.25">
      <c r="A1353" t="s">
        <v>1283</v>
      </c>
      <c r="B1353">
        <v>2015</v>
      </c>
      <c r="C1353">
        <v>15</v>
      </c>
      <c r="D1353">
        <v>105</v>
      </c>
      <c r="E1353">
        <v>6.1</v>
      </c>
      <c r="F1353">
        <v>0.24</v>
      </c>
      <c r="G1353" s="1">
        <v>9797</v>
      </c>
    </row>
    <row r="1354" spans="1:7" x14ac:dyDescent="0.25">
      <c r="A1354" t="s">
        <v>1294</v>
      </c>
      <c r="B1354">
        <v>2015</v>
      </c>
      <c r="C1354">
        <v>15</v>
      </c>
      <c r="D1354">
        <v>97</v>
      </c>
      <c r="E1354">
        <v>6.8</v>
      </c>
      <c r="F1354">
        <v>0.83</v>
      </c>
      <c r="G1354" s="1">
        <v>9141</v>
      </c>
    </row>
    <row r="1355" spans="1:7" x14ac:dyDescent="0.25">
      <c r="A1355" t="s">
        <v>1296</v>
      </c>
      <c r="B1355">
        <v>2015</v>
      </c>
      <c r="C1355">
        <v>15</v>
      </c>
      <c r="D1355">
        <v>87</v>
      </c>
      <c r="E1355">
        <v>7.6</v>
      </c>
      <c r="F1355">
        <v>0.89</v>
      </c>
      <c r="G1355" s="1">
        <v>6451</v>
      </c>
    </row>
    <row r="1356" spans="1:7" x14ac:dyDescent="0.25">
      <c r="A1356" t="s">
        <v>1297</v>
      </c>
      <c r="B1356">
        <v>2015</v>
      </c>
      <c r="C1356">
        <v>15</v>
      </c>
      <c r="D1356">
        <v>95</v>
      </c>
      <c r="E1356">
        <v>6.3</v>
      </c>
      <c r="F1356">
        <v>0.03</v>
      </c>
      <c r="G1356" s="1">
        <v>59448</v>
      </c>
    </row>
    <row r="1357" spans="1:7" x14ac:dyDescent="0.25">
      <c r="A1357" t="s">
        <v>1299</v>
      </c>
      <c r="B1357">
        <v>2015</v>
      </c>
      <c r="C1357">
        <v>12</v>
      </c>
      <c r="D1357">
        <v>104</v>
      </c>
      <c r="E1357">
        <v>6.7</v>
      </c>
      <c r="F1357">
        <v>10.02</v>
      </c>
      <c r="G1357" s="1">
        <v>31259</v>
      </c>
    </row>
    <row r="1358" spans="1:7" x14ac:dyDescent="0.25">
      <c r="A1358" t="s">
        <v>1305</v>
      </c>
      <c r="B1358">
        <v>2015</v>
      </c>
      <c r="C1358">
        <v>12</v>
      </c>
      <c r="D1358">
        <v>125</v>
      </c>
      <c r="E1358">
        <v>6.4</v>
      </c>
      <c r="F1358">
        <v>1.98</v>
      </c>
      <c r="G1358" s="1">
        <v>32125</v>
      </c>
    </row>
    <row r="1359" spans="1:7" x14ac:dyDescent="0.25">
      <c r="A1359" t="s">
        <v>1306</v>
      </c>
      <c r="B1359">
        <v>2015</v>
      </c>
      <c r="C1359">
        <v>15</v>
      </c>
      <c r="D1359">
        <v>93</v>
      </c>
      <c r="E1359">
        <v>6.7</v>
      </c>
      <c r="F1359">
        <v>0.22</v>
      </c>
      <c r="G1359" s="1">
        <v>3435</v>
      </c>
    </row>
    <row r="1360" spans="1:7" x14ac:dyDescent="0.25">
      <c r="A1360" t="s">
        <v>1307</v>
      </c>
      <c r="B1360">
        <v>2015</v>
      </c>
      <c r="C1360">
        <v>12</v>
      </c>
      <c r="D1360">
        <v>108</v>
      </c>
      <c r="E1360">
        <v>7.7</v>
      </c>
      <c r="F1360">
        <v>1.34</v>
      </c>
      <c r="G1360" s="1">
        <v>65409</v>
      </c>
    </row>
    <row r="1361" spans="1:7" x14ac:dyDescent="0.25">
      <c r="A1361" t="s">
        <v>1308</v>
      </c>
      <c r="B1361">
        <v>2015</v>
      </c>
      <c r="C1361">
        <v>15</v>
      </c>
      <c r="D1361">
        <v>93</v>
      </c>
      <c r="E1361">
        <v>6.7</v>
      </c>
      <c r="F1361">
        <v>123.09</v>
      </c>
      <c r="G1361" s="1">
        <v>124306</v>
      </c>
    </row>
    <row r="1362" spans="1:7" x14ac:dyDescent="0.25">
      <c r="A1362" t="s">
        <v>1310</v>
      </c>
      <c r="B1362">
        <v>2015</v>
      </c>
      <c r="C1362">
        <v>15</v>
      </c>
      <c r="D1362">
        <v>108</v>
      </c>
      <c r="E1362">
        <v>7.2</v>
      </c>
      <c r="F1362">
        <v>3.87</v>
      </c>
      <c r="G1362" s="1">
        <v>60797</v>
      </c>
    </row>
    <row r="1363" spans="1:7" x14ac:dyDescent="0.25">
      <c r="A1363" t="s">
        <v>1312</v>
      </c>
      <c r="B1363">
        <v>2015</v>
      </c>
      <c r="C1363">
        <v>18</v>
      </c>
      <c r="D1363">
        <v>102</v>
      </c>
      <c r="E1363">
        <v>7.3</v>
      </c>
      <c r="F1363">
        <v>18.7</v>
      </c>
      <c r="G1363" s="1">
        <v>90214</v>
      </c>
    </row>
    <row r="1364" spans="1:7" x14ac:dyDescent="0.25">
      <c r="A1364" t="s">
        <v>180</v>
      </c>
      <c r="B1364">
        <v>2015</v>
      </c>
      <c r="C1364">
        <v>15</v>
      </c>
      <c r="D1364">
        <v>110</v>
      </c>
      <c r="E1364">
        <v>7</v>
      </c>
      <c r="F1364">
        <v>2.46</v>
      </c>
      <c r="G1364" s="1">
        <v>56367</v>
      </c>
    </row>
    <row r="1365" spans="1:7" x14ac:dyDescent="0.25">
      <c r="A1365" t="s">
        <v>1317</v>
      </c>
      <c r="B1365">
        <v>2015</v>
      </c>
      <c r="C1365">
        <v>15</v>
      </c>
      <c r="D1365">
        <v>101</v>
      </c>
      <c r="E1365">
        <v>6</v>
      </c>
      <c r="F1365">
        <v>0.03</v>
      </c>
      <c r="G1365" s="1">
        <v>32316</v>
      </c>
    </row>
    <row r="1366" spans="1:7" x14ac:dyDescent="0.25">
      <c r="A1366" t="s">
        <v>1318</v>
      </c>
      <c r="B1366">
        <v>2015</v>
      </c>
      <c r="C1366">
        <v>15</v>
      </c>
      <c r="D1366">
        <v>101</v>
      </c>
      <c r="E1366">
        <v>7</v>
      </c>
      <c r="F1366">
        <v>1.98</v>
      </c>
      <c r="G1366" s="1">
        <v>107663</v>
      </c>
    </row>
    <row r="1367" spans="1:7" x14ac:dyDescent="0.25">
      <c r="A1367" t="s">
        <v>1323</v>
      </c>
      <c r="B1367">
        <v>2015</v>
      </c>
      <c r="C1367">
        <v>15</v>
      </c>
      <c r="D1367">
        <v>90</v>
      </c>
      <c r="E1367">
        <v>6.1</v>
      </c>
      <c r="F1367">
        <v>0.02</v>
      </c>
      <c r="G1367" s="1">
        <v>4958</v>
      </c>
    </row>
    <row r="1368" spans="1:7" x14ac:dyDescent="0.25">
      <c r="A1368" t="s">
        <v>1324</v>
      </c>
      <c r="B1368">
        <v>2015</v>
      </c>
      <c r="C1368">
        <v>15</v>
      </c>
      <c r="D1368">
        <v>100</v>
      </c>
      <c r="E1368">
        <v>4.0999999999999996</v>
      </c>
      <c r="F1368">
        <v>2.46</v>
      </c>
      <c r="G1368" s="1">
        <v>8954</v>
      </c>
    </row>
    <row r="1369" spans="1:7" x14ac:dyDescent="0.25">
      <c r="A1369" t="s">
        <v>1327</v>
      </c>
      <c r="B1369">
        <v>2015</v>
      </c>
      <c r="C1369">
        <v>15</v>
      </c>
      <c r="D1369">
        <v>82</v>
      </c>
      <c r="E1369">
        <v>4.9000000000000004</v>
      </c>
      <c r="F1369">
        <v>0.02</v>
      </c>
      <c r="G1369">
        <v>916</v>
      </c>
    </row>
    <row r="1370" spans="1:7" x14ac:dyDescent="0.25">
      <c r="A1370" t="s">
        <v>1328</v>
      </c>
      <c r="B1370">
        <v>2015</v>
      </c>
      <c r="C1370">
        <v>15</v>
      </c>
      <c r="D1370">
        <v>96</v>
      </c>
      <c r="E1370">
        <v>6.1</v>
      </c>
      <c r="F1370">
        <v>14.43</v>
      </c>
      <c r="G1370" s="1">
        <v>94850</v>
      </c>
    </row>
    <row r="1371" spans="1:7" x14ac:dyDescent="0.25">
      <c r="A1371" t="s">
        <v>1333</v>
      </c>
      <c r="B1371">
        <v>2015</v>
      </c>
      <c r="C1371">
        <v>15</v>
      </c>
      <c r="D1371">
        <v>110</v>
      </c>
      <c r="E1371">
        <v>6.2</v>
      </c>
      <c r="F1371">
        <v>2.46</v>
      </c>
      <c r="G1371" s="1">
        <v>5705</v>
      </c>
    </row>
    <row r="1372" spans="1:7" x14ac:dyDescent="0.25">
      <c r="A1372" t="s">
        <v>1338</v>
      </c>
      <c r="B1372">
        <v>2015</v>
      </c>
      <c r="C1372">
        <v>18</v>
      </c>
      <c r="D1372">
        <v>95</v>
      </c>
      <c r="E1372">
        <v>7</v>
      </c>
      <c r="F1372">
        <v>3.22</v>
      </c>
      <c r="G1372" s="1">
        <v>135921</v>
      </c>
    </row>
    <row r="1373" spans="1:7" x14ac:dyDescent="0.25">
      <c r="A1373" t="s">
        <v>1339</v>
      </c>
      <c r="B1373">
        <v>2015</v>
      </c>
      <c r="C1373">
        <v>15</v>
      </c>
      <c r="D1373">
        <v>90</v>
      </c>
      <c r="E1373">
        <v>6.6</v>
      </c>
      <c r="F1373">
        <v>14.44</v>
      </c>
      <c r="G1373" s="1">
        <v>22306</v>
      </c>
    </row>
    <row r="1374" spans="1:7" x14ac:dyDescent="0.25">
      <c r="A1374" t="s">
        <v>1340</v>
      </c>
      <c r="B1374">
        <v>2015</v>
      </c>
      <c r="C1374">
        <v>15</v>
      </c>
      <c r="D1374">
        <v>114</v>
      </c>
      <c r="E1374">
        <v>7.4</v>
      </c>
      <c r="F1374">
        <v>0.14000000000000001</v>
      </c>
      <c r="G1374" s="1">
        <v>2448</v>
      </c>
    </row>
    <row r="1375" spans="1:7" x14ac:dyDescent="0.25">
      <c r="A1375" t="s">
        <v>1342</v>
      </c>
      <c r="B1375">
        <v>2015</v>
      </c>
      <c r="C1375">
        <v>15</v>
      </c>
      <c r="D1375">
        <v>87</v>
      </c>
      <c r="E1375">
        <v>6.1</v>
      </c>
      <c r="F1375">
        <v>0.01</v>
      </c>
      <c r="G1375" s="1">
        <v>10942</v>
      </c>
    </row>
    <row r="1376" spans="1:7" x14ac:dyDescent="0.25">
      <c r="A1376" t="s">
        <v>1345</v>
      </c>
      <c r="B1376">
        <v>2015</v>
      </c>
      <c r="C1376">
        <v>15</v>
      </c>
      <c r="D1376">
        <v>98</v>
      </c>
      <c r="E1376">
        <v>5.6</v>
      </c>
      <c r="F1376">
        <v>2.46</v>
      </c>
      <c r="G1376" s="1">
        <v>4379</v>
      </c>
    </row>
    <row r="1377" spans="1:7" x14ac:dyDescent="0.25">
      <c r="A1377" t="s">
        <v>1351</v>
      </c>
      <c r="B1377">
        <v>2015</v>
      </c>
      <c r="C1377">
        <v>15</v>
      </c>
      <c r="D1377">
        <v>101</v>
      </c>
      <c r="E1377">
        <v>5.8</v>
      </c>
      <c r="F1377">
        <v>0.01</v>
      </c>
      <c r="G1377" s="1">
        <v>21871</v>
      </c>
    </row>
    <row r="1378" spans="1:7" x14ac:dyDescent="0.25">
      <c r="A1378" t="s">
        <v>1354</v>
      </c>
      <c r="B1378">
        <v>2015</v>
      </c>
      <c r="C1378">
        <v>15</v>
      </c>
      <c r="D1378">
        <v>92</v>
      </c>
      <c r="E1378">
        <v>7</v>
      </c>
      <c r="F1378">
        <v>25.14</v>
      </c>
      <c r="G1378" s="1">
        <v>289517</v>
      </c>
    </row>
    <row r="1379" spans="1:7" x14ac:dyDescent="0.25">
      <c r="A1379" t="s">
        <v>1356</v>
      </c>
      <c r="B1379">
        <v>2015</v>
      </c>
      <c r="C1379">
        <v>15</v>
      </c>
      <c r="D1379">
        <v>110</v>
      </c>
      <c r="E1379">
        <v>6.1</v>
      </c>
      <c r="F1379">
        <v>0.02</v>
      </c>
      <c r="G1379" s="1">
        <v>17347</v>
      </c>
    </row>
    <row r="1380" spans="1:7" x14ac:dyDescent="0.25">
      <c r="A1380" t="s">
        <v>1357</v>
      </c>
      <c r="B1380">
        <v>2015</v>
      </c>
      <c r="C1380">
        <v>18</v>
      </c>
      <c r="D1380">
        <v>103</v>
      </c>
      <c r="E1380">
        <v>6.3</v>
      </c>
      <c r="F1380">
        <v>4.2699999999999996</v>
      </c>
      <c r="G1380" s="1">
        <v>13722</v>
      </c>
    </row>
    <row r="1381" spans="1:7" x14ac:dyDescent="0.25">
      <c r="A1381" t="s">
        <v>1363</v>
      </c>
      <c r="B1381">
        <v>2015</v>
      </c>
      <c r="C1381">
        <v>15</v>
      </c>
      <c r="D1381">
        <v>96</v>
      </c>
      <c r="E1381">
        <v>5.5</v>
      </c>
      <c r="F1381">
        <v>2.46</v>
      </c>
      <c r="G1381" s="1">
        <v>3068</v>
      </c>
    </row>
    <row r="1382" spans="1:7" x14ac:dyDescent="0.25">
      <c r="A1382" t="s">
        <v>1365</v>
      </c>
      <c r="B1382">
        <v>2015</v>
      </c>
      <c r="C1382">
        <v>15</v>
      </c>
      <c r="D1382">
        <v>115</v>
      </c>
      <c r="E1382">
        <v>6.1</v>
      </c>
      <c r="F1382">
        <v>2.46</v>
      </c>
      <c r="G1382" s="1">
        <v>6376</v>
      </c>
    </row>
    <row r="1383" spans="1:7" x14ac:dyDescent="0.25">
      <c r="A1383" t="s">
        <v>1367</v>
      </c>
      <c r="B1383">
        <v>2015</v>
      </c>
      <c r="C1383">
        <v>15</v>
      </c>
      <c r="D1383">
        <v>90</v>
      </c>
      <c r="E1383">
        <v>5.0999999999999996</v>
      </c>
      <c r="F1383">
        <v>2.46</v>
      </c>
      <c r="G1383" s="1">
        <v>2488</v>
      </c>
    </row>
    <row r="1384" spans="1:7" x14ac:dyDescent="0.25">
      <c r="A1384" t="s">
        <v>1368</v>
      </c>
      <c r="B1384">
        <v>2015</v>
      </c>
      <c r="C1384">
        <v>15</v>
      </c>
      <c r="D1384">
        <v>110</v>
      </c>
      <c r="E1384">
        <v>7.4</v>
      </c>
      <c r="F1384">
        <v>0.16</v>
      </c>
      <c r="G1384" s="1">
        <v>6064</v>
      </c>
    </row>
    <row r="1385" spans="1:7" x14ac:dyDescent="0.25">
      <c r="A1385" t="s">
        <v>1371</v>
      </c>
      <c r="B1385">
        <v>2015</v>
      </c>
      <c r="C1385">
        <v>12</v>
      </c>
      <c r="D1385">
        <v>97</v>
      </c>
      <c r="E1385">
        <v>6.2</v>
      </c>
      <c r="F1385">
        <v>0.01</v>
      </c>
      <c r="G1385" s="1">
        <v>4732</v>
      </c>
    </row>
    <row r="1386" spans="1:7" x14ac:dyDescent="0.25">
      <c r="A1386" t="s">
        <v>1372</v>
      </c>
      <c r="B1386">
        <v>2015</v>
      </c>
      <c r="C1386">
        <v>15</v>
      </c>
      <c r="D1386">
        <v>86</v>
      </c>
      <c r="E1386">
        <v>6.3</v>
      </c>
      <c r="F1386">
        <v>2.46</v>
      </c>
      <c r="G1386">
        <v>442</v>
      </c>
    </row>
    <row r="1387" spans="1:7" x14ac:dyDescent="0.25">
      <c r="A1387" t="s">
        <v>1378</v>
      </c>
      <c r="B1387">
        <v>2015</v>
      </c>
      <c r="C1387">
        <v>12</v>
      </c>
      <c r="D1387">
        <v>96</v>
      </c>
      <c r="E1387">
        <v>6.1</v>
      </c>
      <c r="F1387">
        <v>2.46</v>
      </c>
      <c r="G1387" s="1">
        <v>2972</v>
      </c>
    </row>
    <row r="1388" spans="1:7" x14ac:dyDescent="0.25">
      <c r="A1388" t="s">
        <v>1386</v>
      </c>
      <c r="B1388">
        <v>2015</v>
      </c>
      <c r="C1388">
        <v>15</v>
      </c>
      <c r="D1388">
        <v>101</v>
      </c>
      <c r="E1388">
        <v>6.8</v>
      </c>
      <c r="F1388">
        <v>0.03</v>
      </c>
      <c r="G1388" s="1">
        <v>3418</v>
      </c>
    </row>
    <row r="1389" spans="1:7" x14ac:dyDescent="0.25">
      <c r="A1389" t="s">
        <v>1396</v>
      </c>
      <c r="B1389">
        <v>2015</v>
      </c>
      <c r="C1389">
        <v>15</v>
      </c>
      <c r="D1389">
        <v>94</v>
      </c>
      <c r="E1389">
        <v>6.5</v>
      </c>
      <c r="F1389">
        <v>177.4</v>
      </c>
      <c r="G1389" s="1">
        <v>109421</v>
      </c>
    </row>
    <row r="1390" spans="1:7" x14ac:dyDescent="0.25">
      <c r="A1390" t="s">
        <v>1397</v>
      </c>
      <c r="B1390">
        <v>2015</v>
      </c>
      <c r="C1390">
        <v>12</v>
      </c>
      <c r="D1390">
        <v>101</v>
      </c>
      <c r="E1390">
        <v>5.4</v>
      </c>
      <c r="F1390">
        <v>0</v>
      </c>
      <c r="G1390" s="1">
        <v>11210</v>
      </c>
    </row>
    <row r="1391" spans="1:7" x14ac:dyDescent="0.25">
      <c r="A1391" t="s">
        <v>1400</v>
      </c>
      <c r="B1391">
        <v>2015</v>
      </c>
      <c r="C1391">
        <v>15</v>
      </c>
      <c r="D1391">
        <v>90</v>
      </c>
      <c r="E1391">
        <v>7.6</v>
      </c>
      <c r="F1391">
        <v>2.46</v>
      </c>
      <c r="G1391" s="1">
        <v>3510</v>
      </c>
    </row>
    <row r="1392" spans="1:7" x14ac:dyDescent="0.25">
      <c r="A1392" t="s">
        <v>1408</v>
      </c>
      <c r="B1392">
        <v>2015</v>
      </c>
      <c r="C1392">
        <v>18</v>
      </c>
      <c r="D1392">
        <v>84</v>
      </c>
      <c r="E1392">
        <v>6.4</v>
      </c>
      <c r="F1392">
        <v>0</v>
      </c>
      <c r="G1392" s="1">
        <v>1223</v>
      </c>
    </row>
    <row r="1393" spans="1:7" x14ac:dyDescent="0.25">
      <c r="A1393" t="s">
        <v>1421</v>
      </c>
      <c r="B1393">
        <v>2015</v>
      </c>
      <c r="C1393">
        <v>18</v>
      </c>
      <c r="D1393">
        <v>107</v>
      </c>
      <c r="E1393">
        <v>7.4</v>
      </c>
      <c r="F1393">
        <v>1.78</v>
      </c>
      <c r="G1393" s="1">
        <v>50927</v>
      </c>
    </row>
    <row r="1394" spans="1:7" x14ac:dyDescent="0.25">
      <c r="A1394" t="s">
        <v>1432</v>
      </c>
      <c r="B1394">
        <v>2015</v>
      </c>
      <c r="C1394">
        <v>15</v>
      </c>
      <c r="D1394">
        <v>123</v>
      </c>
      <c r="E1394">
        <v>5.8</v>
      </c>
      <c r="F1394">
        <v>1.65</v>
      </c>
      <c r="G1394" s="1">
        <v>8059</v>
      </c>
    </row>
    <row r="1395" spans="1:7" x14ac:dyDescent="0.25">
      <c r="A1395" t="s">
        <v>1443</v>
      </c>
      <c r="B1395">
        <v>2015</v>
      </c>
      <c r="C1395">
        <v>15</v>
      </c>
      <c r="D1395">
        <v>90</v>
      </c>
      <c r="E1395">
        <v>6.1</v>
      </c>
      <c r="F1395">
        <v>2.46</v>
      </c>
      <c r="G1395" s="1">
        <v>5868</v>
      </c>
    </row>
    <row r="1396" spans="1:7" x14ac:dyDescent="0.25">
      <c r="A1396" t="s">
        <v>1448</v>
      </c>
      <c r="B1396">
        <v>2015</v>
      </c>
      <c r="C1396">
        <v>15</v>
      </c>
      <c r="D1396">
        <v>74</v>
      </c>
      <c r="E1396">
        <v>6.5</v>
      </c>
      <c r="F1396">
        <v>0.02</v>
      </c>
      <c r="G1396" s="1">
        <v>1156</v>
      </c>
    </row>
    <row r="1397" spans="1:7" x14ac:dyDescent="0.25">
      <c r="A1397" t="s">
        <v>1450</v>
      </c>
      <c r="B1397">
        <v>2015</v>
      </c>
      <c r="C1397">
        <v>15</v>
      </c>
      <c r="D1397">
        <v>107</v>
      </c>
      <c r="E1397">
        <v>6.6</v>
      </c>
      <c r="F1397">
        <v>0.06</v>
      </c>
      <c r="G1397" s="1">
        <v>3844</v>
      </c>
    </row>
    <row r="1398" spans="1:7" x14ac:dyDescent="0.25">
      <c r="A1398" t="s">
        <v>1462</v>
      </c>
      <c r="B1398">
        <v>2015</v>
      </c>
      <c r="C1398">
        <v>15</v>
      </c>
      <c r="D1398">
        <v>87</v>
      </c>
      <c r="E1398">
        <v>6.5</v>
      </c>
      <c r="F1398">
        <v>0.03</v>
      </c>
      <c r="G1398" s="1">
        <v>1385</v>
      </c>
    </row>
    <row r="1399" spans="1:7" x14ac:dyDescent="0.25">
      <c r="A1399" t="s">
        <v>1463</v>
      </c>
      <c r="B1399">
        <v>2015</v>
      </c>
      <c r="C1399">
        <v>15</v>
      </c>
      <c r="D1399">
        <v>99</v>
      </c>
      <c r="E1399">
        <v>6.5</v>
      </c>
      <c r="F1399">
        <v>2.46</v>
      </c>
      <c r="G1399" s="1">
        <v>5222</v>
      </c>
    </row>
    <row r="1400" spans="1:7" x14ac:dyDescent="0.25">
      <c r="A1400" t="s">
        <v>1467</v>
      </c>
      <c r="B1400">
        <v>2015</v>
      </c>
      <c r="C1400">
        <v>15</v>
      </c>
      <c r="D1400">
        <v>87</v>
      </c>
      <c r="E1400">
        <v>6.1</v>
      </c>
      <c r="F1400">
        <v>2.46</v>
      </c>
      <c r="G1400" s="1">
        <v>3318</v>
      </c>
    </row>
    <row r="1401" spans="1:7" x14ac:dyDescent="0.25">
      <c r="A1401" t="s">
        <v>1471</v>
      </c>
      <c r="B1401">
        <v>2015</v>
      </c>
      <c r="C1401">
        <v>15</v>
      </c>
      <c r="D1401">
        <v>105</v>
      </c>
      <c r="E1401">
        <v>7.1</v>
      </c>
      <c r="F1401">
        <v>0.28000000000000003</v>
      </c>
      <c r="G1401" s="1">
        <v>6042</v>
      </c>
    </row>
    <row r="1402" spans="1:7" x14ac:dyDescent="0.25">
      <c r="A1402" t="s">
        <v>1472</v>
      </c>
      <c r="B1402">
        <v>2015</v>
      </c>
      <c r="C1402">
        <v>15</v>
      </c>
      <c r="D1402">
        <v>108</v>
      </c>
      <c r="E1402">
        <v>7.6</v>
      </c>
      <c r="F1402">
        <v>0.1</v>
      </c>
      <c r="G1402" s="1">
        <v>7635</v>
      </c>
    </row>
    <row r="1403" spans="1:7" x14ac:dyDescent="0.25">
      <c r="A1403" t="s">
        <v>1473</v>
      </c>
      <c r="B1403">
        <v>2015</v>
      </c>
      <c r="C1403">
        <v>15</v>
      </c>
      <c r="D1403">
        <v>95</v>
      </c>
      <c r="E1403">
        <v>8.1</v>
      </c>
      <c r="F1403">
        <v>356.46</v>
      </c>
      <c r="G1403" s="1">
        <v>761041</v>
      </c>
    </row>
    <row r="1404" spans="1:7" x14ac:dyDescent="0.25">
      <c r="A1404" t="s">
        <v>1532</v>
      </c>
      <c r="B1404">
        <v>2015</v>
      </c>
      <c r="C1404">
        <v>15</v>
      </c>
      <c r="D1404">
        <v>88</v>
      </c>
      <c r="E1404">
        <v>6.1</v>
      </c>
      <c r="F1404">
        <v>1.83</v>
      </c>
      <c r="G1404" s="1">
        <v>10478</v>
      </c>
    </row>
    <row r="1405" spans="1:7" x14ac:dyDescent="0.25">
      <c r="A1405" t="s">
        <v>1536</v>
      </c>
      <c r="B1405">
        <v>2015</v>
      </c>
      <c r="C1405">
        <v>15</v>
      </c>
      <c r="D1405">
        <v>97</v>
      </c>
      <c r="E1405">
        <v>6.3</v>
      </c>
      <c r="F1405">
        <v>0</v>
      </c>
      <c r="G1405" s="1">
        <v>1245</v>
      </c>
    </row>
    <row r="1406" spans="1:7" x14ac:dyDescent="0.25">
      <c r="A1406" t="s">
        <v>1540</v>
      </c>
      <c r="B1406">
        <v>2015</v>
      </c>
      <c r="C1406">
        <v>12</v>
      </c>
      <c r="D1406">
        <v>99</v>
      </c>
      <c r="E1406">
        <v>6.6</v>
      </c>
      <c r="F1406">
        <v>0.02</v>
      </c>
      <c r="G1406" s="1">
        <v>13409</v>
      </c>
    </row>
    <row r="1407" spans="1:7" x14ac:dyDescent="0.25">
      <c r="A1407" t="s">
        <v>1546</v>
      </c>
      <c r="B1407">
        <v>2015</v>
      </c>
      <c r="C1407">
        <v>15</v>
      </c>
      <c r="D1407">
        <v>104</v>
      </c>
      <c r="E1407">
        <v>6.9</v>
      </c>
      <c r="F1407">
        <v>0.01</v>
      </c>
      <c r="G1407" s="1">
        <v>4626</v>
      </c>
    </row>
    <row r="1408" spans="1:7" x14ac:dyDescent="0.25">
      <c r="A1408" t="s">
        <v>1556</v>
      </c>
      <c r="B1408">
        <v>2015</v>
      </c>
      <c r="C1408">
        <v>15</v>
      </c>
      <c r="D1408">
        <v>96</v>
      </c>
      <c r="E1408">
        <v>6.7</v>
      </c>
      <c r="F1408">
        <v>0.01</v>
      </c>
      <c r="G1408" s="1">
        <v>5509</v>
      </c>
    </row>
    <row r="1409" spans="1:7" x14ac:dyDescent="0.25">
      <c r="A1409" t="s">
        <v>1575</v>
      </c>
      <c r="B1409">
        <v>2015</v>
      </c>
      <c r="C1409">
        <v>18</v>
      </c>
      <c r="D1409">
        <v>116</v>
      </c>
      <c r="E1409">
        <v>7.7</v>
      </c>
      <c r="F1409">
        <v>3.48</v>
      </c>
      <c r="G1409" s="1">
        <v>66469</v>
      </c>
    </row>
    <row r="1410" spans="1:7" x14ac:dyDescent="0.25">
      <c r="A1410" t="s">
        <v>1602</v>
      </c>
      <c r="B1410">
        <v>2015</v>
      </c>
      <c r="C1410">
        <v>18</v>
      </c>
      <c r="D1410">
        <v>110</v>
      </c>
      <c r="E1410">
        <v>6.3</v>
      </c>
      <c r="F1410">
        <v>1.1200000000000001</v>
      </c>
      <c r="G1410" s="1">
        <v>1654</v>
      </c>
    </row>
    <row r="1411" spans="1:7" x14ac:dyDescent="0.25">
      <c r="A1411" t="s">
        <v>1611</v>
      </c>
      <c r="B1411">
        <v>2015</v>
      </c>
      <c r="C1411">
        <v>15</v>
      </c>
      <c r="D1411">
        <v>92</v>
      </c>
      <c r="E1411">
        <v>6</v>
      </c>
      <c r="F1411">
        <v>7.0000000000000007E-2</v>
      </c>
      <c r="G1411" s="1">
        <v>6881</v>
      </c>
    </row>
    <row r="1412" spans="1:7" x14ac:dyDescent="0.25">
      <c r="A1412" t="s">
        <v>1614</v>
      </c>
      <c r="B1412">
        <v>2015</v>
      </c>
      <c r="C1412">
        <v>15</v>
      </c>
      <c r="D1412">
        <v>98</v>
      </c>
      <c r="E1412">
        <v>5.6</v>
      </c>
      <c r="F1412">
        <v>2.46</v>
      </c>
      <c r="G1412" s="1">
        <v>5840</v>
      </c>
    </row>
    <row r="1413" spans="1:7" x14ac:dyDescent="0.25">
      <c r="A1413" t="s">
        <v>1624</v>
      </c>
      <c r="B1413">
        <v>2015</v>
      </c>
      <c r="C1413">
        <v>15</v>
      </c>
      <c r="D1413">
        <v>106</v>
      </c>
      <c r="E1413">
        <v>7.5</v>
      </c>
      <c r="F1413">
        <v>2.46</v>
      </c>
      <c r="G1413" s="1">
        <v>2136</v>
      </c>
    </row>
    <row r="1414" spans="1:7" x14ac:dyDescent="0.25">
      <c r="A1414" t="s">
        <v>1625</v>
      </c>
      <c r="B1414">
        <v>2015</v>
      </c>
      <c r="C1414">
        <v>12</v>
      </c>
      <c r="D1414">
        <v>90</v>
      </c>
      <c r="E1414">
        <v>7</v>
      </c>
      <c r="F1414">
        <v>0.04</v>
      </c>
      <c r="G1414" s="1">
        <v>9089</v>
      </c>
    </row>
    <row r="1415" spans="1:7" x14ac:dyDescent="0.25">
      <c r="A1415" t="s">
        <v>1650</v>
      </c>
      <c r="B1415">
        <v>2015</v>
      </c>
      <c r="C1415">
        <v>15</v>
      </c>
      <c r="D1415">
        <v>96</v>
      </c>
      <c r="E1415">
        <v>5.2</v>
      </c>
      <c r="F1415">
        <v>16.03</v>
      </c>
      <c r="G1415" s="1">
        <v>44081</v>
      </c>
    </row>
    <row r="1416" spans="1:7" x14ac:dyDescent="0.25">
      <c r="A1416" t="s">
        <v>1664</v>
      </c>
      <c r="B1416">
        <v>2015</v>
      </c>
      <c r="C1416">
        <v>12</v>
      </c>
      <c r="D1416">
        <v>122</v>
      </c>
      <c r="E1416">
        <v>5.3</v>
      </c>
      <c r="F1416">
        <v>0.53</v>
      </c>
      <c r="G1416" s="1">
        <v>22274</v>
      </c>
    </row>
    <row r="1417" spans="1:7" x14ac:dyDescent="0.25">
      <c r="A1417" t="s">
        <v>1673</v>
      </c>
      <c r="B1417">
        <v>2015</v>
      </c>
      <c r="C1417">
        <v>15</v>
      </c>
      <c r="D1417">
        <v>80</v>
      </c>
      <c r="E1417">
        <v>7.2</v>
      </c>
      <c r="F1417">
        <v>0.06</v>
      </c>
      <c r="G1417" s="1">
        <v>1350</v>
      </c>
    </row>
    <row r="1418" spans="1:7" x14ac:dyDescent="0.25">
      <c r="A1418" t="s">
        <v>1717</v>
      </c>
      <c r="B1418">
        <v>2015</v>
      </c>
      <c r="C1418">
        <v>15</v>
      </c>
      <c r="D1418">
        <v>96</v>
      </c>
      <c r="E1418">
        <v>6.1</v>
      </c>
      <c r="F1418">
        <v>2.46</v>
      </c>
      <c r="G1418" s="1">
        <v>1196</v>
      </c>
    </row>
    <row r="1419" spans="1:7" x14ac:dyDescent="0.25">
      <c r="A1419" t="s">
        <v>1749</v>
      </c>
      <c r="B1419">
        <v>2015</v>
      </c>
      <c r="C1419">
        <v>15</v>
      </c>
      <c r="D1419">
        <v>103</v>
      </c>
      <c r="E1419">
        <v>7.2</v>
      </c>
      <c r="F1419">
        <v>2.46</v>
      </c>
      <c r="G1419">
        <v>443</v>
      </c>
    </row>
    <row r="1420" spans="1:7" x14ac:dyDescent="0.25">
      <c r="A1420" t="s">
        <v>1753</v>
      </c>
      <c r="B1420">
        <v>2015</v>
      </c>
      <c r="C1420">
        <v>15</v>
      </c>
      <c r="D1420">
        <v>79</v>
      </c>
      <c r="E1420">
        <v>5.6</v>
      </c>
      <c r="F1420">
        <v>2.46</v>
      </c>
      <c r="G1420" s="1">
        <v>13078</v>
      </c>
    </row>
    <row r="1421" spans="1:7" x14ac:dyDescent="0.25">
      <c r="A1421" t="s">
        <v>1786</v>
      </c>
      <c r="B1421">
        <v>2015</v>
      </c>
      <c r="C1421">
        <v>15</v>
      </c>
      <c r="D1421">
        <v>93</v>
      </c>
      <c r="E1421">
        <v>6.6</v>
      </c>
      <c r="F1421">
        <v>0.01</v>
      </c>
      <c r="G1421" s="1">
        <v>3522</v>
      </c>
    </row>
    <row r="1422" spans="1:7" x14ac:dyDescent="0.25">
      <c r="A1422" t="s">
        <v>1826</v>
      </c>
      <c r="B1422">
        <v>2015</v>
      </c>
      <c r="C1422">
        <v>15</v>
      </c>
      <c r="D1422">
        <v>100</v>
      </c>
      <c r="E1422">
        <v>7.5</v>
      </c>
      <c r="F1422">
        <v>0.17</v>
      </c>
      <c r="G1422">
        <v>949</v>
      </c>
    </row>
    <row r="1423" spans="1:7" x14ac:dyDescent="0.25">
      <c r="A1423" t="s">
        <v>1854</v>
      </c>
      <c r="B1423">
        <v>2015</v>
      </c>
      <c r="C1423">
        <v>15</v>
      </c>
      <c r="D1423">
        <v>97</v>
      </c>
      <c r="E1423">
        <v>6.3</v>
      </c>
      <c r="F1423">
        <v>0.01</v>
      </c>
      <c r="G1423" s="1">
        <v>2283</v>
      </c>
    </row>
    <row r="1424" spans="1:7" x14ac:dyDescent="0.25">
      <c r="A1424" t="s">
        <v>1856</v>
      </c>
      <c r="B1424">
        <v>2015</v>
      </c>
      <c r="C1424">
        <v>15</v>
      </c>
      <c r="D1424">
        <v>107</v>
      </c>
      <c r="E1424">
        <v>6</v>
      </c>
      <c r="F1424">
        <v>2.46</v>
      </c>
      <c r="G1424">
        <v>621</v>
      </c>
    </row>
    <row r="1425" spans="1:7" x14ac:dyDescent="0.25">
      <c r="A1425" t="s">
        <v>1869</v>
      </c>
      <c r="B1425">
        <v>2015</v>
      </c>
      <c r="C1425">
        <v>15</v>
      </c>
      <c r="D1425">
        <v>83</v>
      </c>
      <c r="E1425">
        <v>5.5</v>
      </c>
      <c r="F1425">
        <v>2.46</v>
      </c>
      <c r="G1425" s="1">
        <v>1290</v>
      </c>
    </row>
    <row r="1426" spans="1:7" x14ac:dyDescent="0.25">
      <c r="A1426" t="s">
        <v>1917</v>
      </c>
      <c r="B1426">
        <v>2015</v>
      </c>
      <c r="C1426">
        <v>15</v>
      </c>
      <c r="D1426">
        <v>106</v>
      </c>
      <c r="E1426">
        <v>6.1</v>
      </c>
      <c r="F1426">
        <v>2.46</v>
      </c>
      <c r="G1426" s="1">
        <v>1297</v>
      </c>
    </row>
    <row r="1427" spans="1:7" x14ac:dyDescent="0.25">
      <c r="A1427" t="s">
        <v>1922</v>
      </c>
      <c r="B1427">
        <v>2015</v>
      </c>
      <c r="C1427">
        <v>15</v>
      </c>
      <c r="D1427">
        <v>103</v>
      </c>
      <c r="E1427">
        <v>7.4</v>
      </c>
      <c r="F1427">
        <v>0.41</v>
      </c>
      <c r="G1427" s="1">
        <v>5587</v>
      </c>
    </row>
    <row r="1428" spans="1:7" x14ac:dyDescent="0.25">
      <c r="A1428" t="s">
        <v>1142</v>
      </c>
      <c r="B1428">
        <v>2016</v>
      </c>
      <c r="C1428">
        <v>15</v>
      </c>
      <c r="D1428">
        <v>93</v>
      </c>
      <c r="E1428">
        <v>4.8</v>
      </c>
      <c r="F1428">
        <v>26.58</v>
      </c>
      <c r="G1428" s="1">
        <v>45180</v>
      </c>
    </row>
    <row r="1429" spans="1:7" x14ac:dyDescent="0.25">
      <c r="A1429" t="s">
        <v>1158</v>
      </c>
      <c r="B1429">
        <v>2016</v>
      </c>
      <c r="C1429">
        <v>15</v>
      </c>
      <c r="D1429">
        <v>72</v>
      </c>
      <c r="E1429">
        <v>7.1</v>
      </c>
      <c r="F1429">
        <v>2.46</v>
      </c>
      <c r="G1429">
        <v>613</v>
      </c>
    </row>
    <row r="1430" spans="1:7" x14ac:dyDescent="0.25">
      <c r="A1430" t="s">
        <v>1175</v>
      </c>
      <c r="B1430">
        <v>2016</v>
      </c>
      <c r="C1430">
        <v>15</v>
      </c>
      <c r="D1430">
        <v>102</v>
      </c>
      <c r="E1430">
        <v>4.3</v>
      </c>
      <c r="F1430">
        <v>2.46</v>
      </c>
      <c r="G1430" s="1">
        <v>16500</v>
      </c>
    </row>
    <row r="1431" spans="1:7" x14ac:dyDescent="0.25">
      <c r="A1431" t="s">
        <v>1184</v>
      </c>
      <c r="B1431">
        <v>2016</v>
      </c>
      <c r="C1431">
        <v>12</v>
      </c>
      <c r="D1431">
        <v>106</v>
      </c>
      <c r="E1431">
        <v>5.3</v>
      </c>
      <c r="F1431">
        <v>2.46</v>
      </c>
      <c r="G1431" s="1">
        <v>17460</v>
      </c>
    </row>
    <row r="1432" spans="1:7" x14ac:dyDescent="0.25">
      <c r="A1432" t="s">
        <v>1196</v>
      </c>
      <c r="B1432">
        <v>2016</v>
      </c>
      <c r="C1432">
        <v>15</v>
      </c>
      <c r="D1432">
        <v>112</v>
      </c>
      <c r="E1432">
        <v>5.2</v>
      </c>
      <c r="F1432">
        <v>34.92</v>
      </c>
      <c r="G1432" s="1">
        <v>115262</v>
      </c>
    </row>
    <row r="1433" spans="1:7" x14ac:dyDescent="0.25">
      <c r="A1433" t="s">
        <v>1211</v>
      </c>
      <c r="B1433">
        <v>2016</v>
      </c>
      <c r="C1433">
        <v>15</v>
      </c>
      <c r="D1433">
        <v>108</v>
      </c>
      <c r="E1433">
        <v>8</v>
      </c>
      <c r="F1433">
        <v>363.07</v>
      </c>
      <c r="G1433" s="1">
        <v>1095532</v>
      </c>
    </row>
    <row r="1434" spans="1:7" x14ac:dyDescent="0.25">
      <c r="A1434" t="s">
        <v>1215</v>
      </c>
      <c r="B1434">
        <v>2016</v>
      </c>
      <c r="C1434">
        <v>12</v>
      </c>
      <c r="D1434">
        <v>108</v>
      </c>
      <c r="E1434">
        <v>5.8</v>
      </c>
      <c r="F1434">
        <v>10.91</v>
      </c>
      <c r="G1434" s="1">
        <v>59350</v>
      </c>
    </row>
    <row r="1435" spans="1:7" x14ac:dyDescent="0.25">
      <c r="A1435" t="s">
        <v>1216</v>
      </c>
      <c r="B1435">
        <v>2016</v>
      </c>
      <c r="C1435">
        <v>15</v>
      </c>
      <c r="D1435">
        <v>91</v>
      </c>
      <c r="E1435">
        <v>4.4000000000000004</v>
      </c>
      <c r="F1435">
        <v>2.46</v>
      </c>
      <c r="G1435" s="1">
        <v>8402</v>
      </c>
    </row>
    <row r="1436" spans="1:7" x14ac:dyDescent="0.25">
      <c r="A1436" t="s">
        <v>1219</v>
      </c>
      <c r="B1436">
        <v>2016</v>
      </c>
      <c r="C1436">
        <v>15</v>
      </c>
      <c r="D1436">
        <v>106</v>
      </c>
      <c r="E1436">
        <v>6.3</v>
      </c>
      <c r="F1436">
        <v>30.5</v>
      </c>
      <c r="G1436" s="1">
        <v>141016</v>
      </c>
    </row>
    <row r="1437" spans="1:7" x14ac:dyDescent="0.25">
      <c r="A1437" t="s">
        <v>1224</v>
      </c>
      <c r="B1437">
        <v>2016</v>
      </c>
      <c r="C1437">
        <v>15</v>
      </c>
      <c r="D1437">
        <v>101</v>
      </c>
      <c r="E1437">
        <v>6.4</v>
      </c>
      <c r="F1437">
        <v>2.46</v>
      </c>
      <c r="G1437" s="1">
        <v>7154</v>
      </c>
    </row>
    <row r="1438" spans="1:7" x14ac:dyDescent="0.25">
      <c r="A1438" t="s">
        <v>1225</v>
      </c>
      <c r="B1438">
        <v>2016</v>
      </c>
      <c r="C1438">
        <v>15</v>
      </c>
      <c r="D1438">
        <v>99</v>
      </c>
      <c r="E1438">
        <v>5.9</v>
      </c>
      <c r="F1438">
        <v>62.68</v>
      </c>
      <c r="G1438" s="1">
        <v>166668</v>
      </c>
    </row>
    <row r="1439" spans="1:7" x14ac:dyDescent="0.25">
      <c r="A1439" t="s">
        <v>1232</v>
      </c>
      <c r="B1439">
        <v>2016</v>
      </c>
      <c r="C1439">
        <v>15</v>
      </c>
      <c r="D1439">
        <v>90</v>
      </c>
      <c r="E1439">
        <v>5.4</v>
      </c>
      <c r="F1439">
        <v>2.46</v>
      </c>
      <c r="G1439" s="1">
        <v>3001</v>
      </c>
    </row>
    <row r="1440" spans="1:7" x14ac:dyDescent="0.25">
      <c r="A1440" t="s">
        <v>1235</v>
      </c>
      <c r="B1440">
        <v>2016</v>
      </c>
      <c r="C1440">
        <v>15</v>
      </c>
      <c r="D1440">
        <v>90</v>
      </c>
      <c r="E1440">
        <v>4.5999999999999996</v>
      </c>
      <c r="F1440">
        <v>2.46</v>
      </c>
      <c r="G1440" s="1">
        <v>9821</v>
      </c>
    </row>
    <row r="1441" spans="1:7" x14ac:dyDescent="0.25">
      <c r="A1441" t="s">
        <v>1237</v>
      </c>
      <c r="B1441">
        <v>2016</v>
      </c>
      <c r="C1441">
        <v>15</v>
      </c>
      <c r="D1441">
        <v>117</v>
      </c>
      <c r="E1441">
        <v>6.7</v>
      </c>
      <c r="F1441">
        <v>27.57</v>
      </c>
      <c r="G1441" s="1">
        <v>69714</v>
      </c>
    </row>
    <row r="1442" spans="1:7" x14ac:dyDescent="0.25">
      <c r="A1442" t="s">
        <v>1243</v>
      </c>
      <c r="B1442">
        <v>2016</v>
      </c>
      <c r="C1442">
        <v>15</v>
      </c>
      <c r="D1442">
        <v>111</v>
      </c>
      <c r="E1442">
        <v>6.5</v>
      </c>
      <c r="F1442">
        <v>18.71</v>
      </c>
      <c r="G1442" s="1">
        <v>44638</v>
      </c>
    </row>
    <row r="1443" spans="1:7" x14ac:dyDescent="0.25">
      <c r="A1443" t="s">
        <v>1248</v>
      </c>
      <c r="B1443">
        <v>2016</v>
      </c>
      <c r="C1443">
        <v>15</v>
      </c>
      <c r="D1443">
        <v>107</v>
      </c>
      <c r="E1443">
        <v>6.3</v>
      </c>
      <c r="F1443">
        <v>36.869999999999997</v>
      </c>
      <c r="G1443" s="1">
        <v>30022</v>
      </c>
    </row>
    <row r="1444" spans="1:7" x14ac:dyDescent="0.25">
      <c r="A1444" t="s">
        <v>1251</v>
      </c>
      <c r="B1444">
        <v>2016</v>
      </c>
      <c r="C1444">
        <v>15</v>
      </c>
      <c r="D1444">
        <v>92</v>
      </c>
      <c r="E1444">
        <v>5.4</v>
      </c>
      <c r="F1444">
        <v>2.46</v>
      </c>
      <c r="G1444" s="1">
        <v>20341</v>
      </c>
    </row>
    <row r="1445" spans="1:7" x14ac:dyDescent="0.25">
      <c r="A1445" t="s">
        <v>1252</v>
      </c>
      <c r="B1445">
        <v>2016</v>
      </c>
      <c r="C1445">
        <v>18</v>
      </c>
      <c r="D1445">
        <v>115</v>
      </c>
      <c r="E1445">
        <v>6.3</v>
      </c>
      <c r="F1445">
        <v>12.63</v>
      </c>
      <c r="G1445" s="1">
        <v>75439</v>
      </c>
    </row>
    <row r="1446" spans="1:7" x14ac:dyDescent="0.25">
      <c r="A1446" t="s">
        <v>1256</v>
      </c>
      <c r="B1446">
        <v>2016</v>
      </c>
      <c r="C1446">
        <v>12</v>
      </c>
      <c r="D1446">
        <v>86</v>
      </c>
      <c r="E1446">
        <v>5.7</v>
      </c>
      <c r="F1446">
        <v>2.46</v>
      </c>
      <c r="G1446">
        <v>306</v>
      </c>
    </row>
    <row r="1447" spans="1:7" x14ac:dyDescent="0.25">
      <c r="A1447" t="s">
        <v>1266</v>
      </c>
      <c r="B1447">
        <v>2016</v>
      </c>
      <c r="C1447">
        <v>15</v>
      </c>
      <c r="D1447">
        <v>98</v>
      </c>
      <c r="E1447">
        <v>4.4000000000000004</v>
      </c>
      <c r="F1447">
        <v>2.46</v>
      </c>
      <c r="G1447" s="1">
        <v>29873</v>
      </c>
    </row>
    <row r="1448" spans="1:7" x14ac:dyDescent="0.25">
      <c r="A1448" t="s">
        <v>1267</v>
      </c>
      <c r="B1448">
        <v>2016</v>
      </c>
      <c r="C1448">
        <v>15</v>
      </c>
      <c r="D1448">
        <v>134</v>
      </c>
      <c r="E1448">
        <v>7.1</v>
      </c>
      <c r="F1448">
        <v>19.100000000000001</v>
      </c>
      <c r="G1448" s="1">
        <v>40110</v>
      </c>
    </row>
    <row r="1449" spans="1:7" x14ac:dyDescent="0.25">
      <c r="A1449" t="s">
        <v>1269</v>
      </c>
      <c r="B1449">
        <v>2016</v>
      </c>
      <c r="C1449">
        <v>15</v>
      </c>
      <c r="D1449">
        <v>103</v>
      </c>
      <c r="E1449">
        <v>7.2</v>
      </c>
      <c r="F1449">
        <v>72.08</v>
      </c>
      <c r="G1449" s="1">
        <v>347206</v>
      </c>
    </row>
    <row r="1450" spans="1:7" x14ac:dyDescent="0.25">
      <c r="A1450" t="s">
        <v>1270</v>
      </c>
      <c r="B1450">
        <v>2016</v>
      </c>
      <c r="C1450">
        <v>15</v>
      </c>
      <c r="D1450">
        <v>102</v>
      </c>
      <c r="E1450">
        <v>5.9</v>
      </c>
      <c r="F1450">
        <v>35.590000000000003</v>
      </c>
      <c r="G1450" s="1">
        <v>130805</v>
      </c>
    </row>
    <row r="1451" spans="1:7" x14ac:dyDescent="0.25">
      <c r="A1451" t="s">
        <v>1271</v>
      </c>
      <c r="B1451">
        <v>2016</v>
      </c>
      <c r="C1451">
        <v>15</v>
      </c>
      <c r="D1451">
        <v>112</v>
      </c>
      <c r="E1451">
        <v>6.6</v>
      </c>
      <c r="F1451">
        <v>3.71</v>
      </c>
      <c r="G1451" s="1">
        <v>83250</v>
      </c>
    </row>
    <row r="1452" spans="1:7" x14ac:dyDescent="0.25">
      <c r="A1452" t="s">
        <v>1272</v>
      </c>
      <c r="B1452">
        <v>2016</v>
      </c>
      <c r="C1452">
        <v>15</v>
      </c>
      <c r="D1452">
        <v>120</v>
      </c>
      <c r="E1452">
        <v>5.7</v>
      </c>
      <c r="F1452">
        <v>66.180000000000007</v>
      </c>
      <c r="G1452" s="1">
        <v>130517</v>
      </c>
    </row>
    <row r="1453" spans="1:7" x14ac:dyDescent="0.25">
      <c r="A1453" t="s">
        <v>1274</v>
      </c>
      <c r="B1453">
        <v>2016</v>
      </c>
      <c r="C1453">
        <v>15</v>
      </c>
      <c r="D1453">
        <v>113</v>
      </c>
      <c r="E1453">
        <v>6.3</v>
      </c>
      <c r="F1453">
        <v>14.27</v>
      </c>
      <c r="G1453" s="1">
        <v>69277</v>
      </c>
    </row>
    <row r="1454" spans="1:7" x14ac:dyDescent="0.25">
      <c r="A1454" t="s">
        <v>1278</v>
      </c>
      <c r="B1454">
        <v>2016</v>
      </c>
      <c r="C1454">
        <v>15</v>
      </c>
      <c r="D1454">
        <v>127</v>
      </c>
      <c r="E1454">
        <v>5.4</v>
      </c>
      <c r="F1454">
        <v>31.15</v>
      </c>
      <c r="G1454" s="1">
        <v>123381</v>
      </c>
    </row>
    <row r="1455" spans="1:7" x14ac:dyDescent="0.25">
      <c r="A1455" t="s">
        <v>1281</v>
      </c>
      <c r="B1455">
        <v>2016</v>
      </c>
      <c r="C1455">
        <v>12</v>
      </c>
      <c r="D1455">
        <v>86</v>
      </c>
      <c r="E1455">
        <v>6.4</v>
      </c>
      <c r="F1455">
        <v>1.03</v>
      </c>
      <c r="G1455" s="1">
        <v>14881</v>
      </c>
    </row>
    <row r="1456" spans="1:7" x14ac:dyDescent="0.25">
      <c r="A1456" t="s">
        <v>1285</v>
      </c>
      <c r="B1456">
        <v>2016</v>
      </c>
      <c r="C1456">
        <v>15</v>
      </c>
      <c r="D1456">
        <v>98</v>
      </c>
      <c r="E1456">
        <v>6.5</v>
      </c>
      <c r="F1456">
        <v>41.01</v>
      </c>
      <c r="G1456" s="1">
        <v>103390</v>
      </c>
    </row>
    <row r="1457" spans="1:7" x14ac:dyDescent="0.25">
      <c r="A1457" t="s">
        <v>1290</v>
      </c>
      <c r="B1457">
        <v>2016</v>
      </c>
      <c r="C1457">
        <v>15</v>
      </c>
      <c r="D1457">
        <v>110</v>
      </c>
      <c r="E1457">
        <v>7.4</v>
      </c>
      <c r="F1457">
        <v>56.25</v>
      </c>
      <c r="G1457" s="1">
        <v>277084</v>
      </c>
    </row>
    <row r="1458" spans="1:7" x14ac:dyDescent="0.25">
      <c r="A1458" t="s">
        <v>1291</v>
      </c>
      <c r="B1458">
        <v>2016</v>
      </c>
      <c r="C1458">
        <v>15</v>
      </c>
      <c r="D1458">
        <v>108</v>
      </c>
      <c r="E1458">
        <v>6</v>
      </c>
      <c r="F1458">
        <v>79.209999999999994</v>
      </c>
      <c r="G1458" s="1">
        <v>107836</v>
      </c>
    </row>
    <row r="1459" spans="1:7" x14ac:dyDescent="0.25">
      <c r="A1459" t="s">
        <v>1292</v>
      </c>
      <c r="B1459">
        <v>2016</v>
      </c>
      <c r="C1459">
        <v>15</v>
      </c>
      <c r="D1459">
        <v>144</v>
      </c>
      <c r="E1459">
        <v>6.9</v>
      </c>
      <c r="F1459">
        <v>155.44</v>
      </c>
      <c r="G1459" s="1">
        <v>453505</v>
      </c>
    </row>
    <row r="1460" spans="1:7" x14ac:dyDescent="0.25">
      <c r="A1460" t="s">
        <v>1293</v>
      </c>
      <c r="B1460">
        <v>2016</v>
      </c>
      <c r="C1460">
        <v>15</v>
      </c>
      <c r="D1460">
        <v>113</v>
      </c>
      <c r="E1460">
        <v>6.2</v>
      </c>
      <c r="F1460">
        <v>2.46</v>
      </c>
      <c r="G1460" s="1">
        <v>13583</v>
      </c>
    </row>
    <row r="1461" spans="1:7" x14ac:dyDescent="0.25">
      <c r="A1461" t="s">
        <v>1302</v>
      </c>
      <c r="B1461">
        <v>2016</v>
      </c>
      <c r="C1461">
        <v>15</v>
      </c>
      <c r="D1461">
        <v>111</v>
      </c>
      <c r="E1461">
        <v>6.7</v>
      </c>
      <c r="F1461">
        <v>2.46</v>
      </c>
      <c r="G1461" s="1">
        <v>21243</v>
      </c>
    </row>
    <row r="1462" spans="1:7" x14ac:dyDescent="0.25">
      <c r="A1462" t="s">
        <v>1303</v>
      </c>
      <c r="B1462">
        <v>2016</v>
      </c>
      <c r="C1462">
        <v>15</v>
      </c>
      <c r="D1462">
        <v>118</v>
      </c>
      <c r="E1462">
        <v>5.6</v>
      </c>
      <c r="F1462">
        <v>32.46</v>
      </c>
      <c r="G1462" s="1">
        <v>39115</v>
      </c>
    </row>
    <row r="1463" spans="1:7" x14ac:dyDescent="0.25">
      <c r="A1463" t="s">
        <v>1304</v>
      </c>
      <c r="B1463">
        <v>2016</v>
      </c>
      <c r="C1463">
        <v>15</v>
      </c>
      <c r="D1463">
        <v>90</v>
      </c>
      <c r="E1463">
        <v>4.9000000000000004</v>
      </c>
      <c r="F1463">
        <v>2.46</v>
      </c>
      <c r="G1463" s="1">
        <v>3260</v>
      </c>
    </row>
    <row r="1464" spans="1:7" x14ac:dyDescent="0.25">
      <c r="A1464" t="s">
        <v>1309</v>
      </c>
      <c r="B1464">
        <v>2016</v>
      </c>
      <c r="C1464">
        <v>15</v>
      </c>
      <c r="D1464">
        <v>112</v>
      </c>
      <c r="E1464">
        <v>6.6</v>
      </c>
      <c r="F1464">
        <v>23.05</v>
      </c>
      <c r="G1464" s="1">
        <v>54825</v>
      </c>
    </row>
    <row r="1465" spans="1:7" x14ac:dyDescent="0.25">
      <c r="A1465" t="s">
        <v>1311</v>
      </c>
      <c r="B1465">
        <v>2016</v>
      </c>
      <c r="C1465">
        <v>15</v>
      </c>
      <c r="D1465">
        <v>110</v>
      </c>
      <c r="E1465">
        <v>5.8</v>
      </c>
      <c r="F1465">
        <v>0.06</v>
      </c>
      <c r="G1465" s="1">
        <v>11637</v>
      </c>
    </row>
    <row r="1466" spans="1:7" x14ac:dyDescent="0.25">
      <c r="A1466" t="s">
        <v>1313</v>
      </c>
      <c r="B1466">
        <v>2016</v>
      </c>
      <c r="C1466">
        <v>15</v>
      </c>
      <c r="D1466">
        <v>120</v>
      </c>
      <c r="E1466">
        <v>5.2</v>
      </c>
      <c r="F1466">
        <v>103.14</v>
      </c>
      <c r="G1466" s="1">
        <v>186340</v>
      </c>
    </row>
    <row r="1467" spans="1:7" x14ac:dyDescent="0.25">
      <c r="A1467" t="s">
        <v>1314</v>
      </c>
      <c r="B1467">
        <v>2016</v>
      </c>
      <c r="C1467">
        <v>15</v>
      </c>
      <c r="D1467">
        <v>88</v>
      </c>
      <c r="E1467">
        <v>5.2</v>
      </c>
      <c r="F1467">
        <v>2.46</v>
      </c>
      <c r="G1467" s="1">
        <v>2351</v>
      </c>
    </row>
    <row r="1468" spans="1:7" x14ac:dyDescent="0.25">
      <c r="A1468" t="s">
        <v>1315</v>
      </c>
      <c r="B1468">
        <v>2016</v>
      </c>
      <c r="C1468">
        <v>12</v>
      </c>
      <c r="D1468">
        <v>127</v>
      </c>
      <c r="E1468">
        <v>6.7</v>
      </c>
      <c r="F1468">
        <v>2.46</v>
      </c>
      <c r="G1468" s="1">
        <v>4718</v>
      </c>
    </row>
    <row r="1469" spans="1:7" x14ac:dyDescent="0.25">
      <c r="A1469" t="s">
        <v>1319</v>
      </c>
      <c r="B1469">
        <v>2016</v>
      </c>
      <c r="C1469">
        <v>15</v>
      </c>
      <c r="D1469">
        <v>123</v>
      </c>
      <c r="E1469">
        <v>6.7</v>
      </c>
      <c r="F1469">
        <v>47.37</v>
      </c>
      <c r="G1469" s="1">
        <v>274518</v>
      </c>
    </row>
    <row r="1470" spans="1:7" x14ac:dyDescent="0.25">
      <c r="A1470" t="s">
        <v>1321</v>
      </c>
      <c r="B1470">
        <v>2016</v>
      </c>
      <c r="C1470">
        <v>18</v>
      </c>
      <c r="D1470">
        <v>151</v>
      </c>
      <c r="E1470">
        <v>6.5</v>
      </c>
      <c r="F1470">
        <v>330.36</v>
      </c>
      <c r="G1470" s="1">
        <v>742599</v>
      </c>
    </row>
    <row r="1471" spans="1:7" x14ac:dyDescent="0.25">
      <c r="A1471" t="s">
        <v>1326</v>
      </c>
      <c r="B1471">
        <v>2016</v>
      </c>
      <c r="C1471">
        <v>15</v>
      </c>
      <c r="D1471">
        <v>114</v>
      </c>
      <c r="E1471">
        <v>6.1</v>
      </c>
      <c r="F1471">
        <v>48.39</v>
      </c>
      <c r="G1471" s="1">
        <v>117120</v>
      </c>
    </row>
    <row r="1472" spans="1:7" x14ac:dyDescent="0.25">
      <c r="A1472" t="s">
        <v>1329</v>
      </c>
      <c r="B1472">
        <v>2016</v>
      </c>
      <c r="C1472">
        <v>15</v>
      </c>
      <c r="D1472">
        <v>107</v>
      </c>
      <c r="E1472">
        <v>7.1</v>
      </c>
      <c r="F1472">
        <v>0.03</v>
      </c>
      <c r="G1472" s="1">
        <v>20519</v>
      </c>
    </row>
    <row r="1473" spans="1:7" x14ac:dyDescent="0.25">
      <c r="A1473" t="s">
        <v>1331</v>
      </c>
      <c r="B1473">
        <v>2016</v>
      </c>
      <c r="C1473">
        <v>15</v>
      </c>
      <c r="D1473">
        <v>98</v>
      </c>
      <c r="E1473">
        <v>6.1</v>
      </c>
      <c r="F1473">
        <v>4.2</v>
      </c>
      <c r="G1473" s="1">
        <v>46915</v>
      </c>
    </row>
    <row r="1474" spans="1:7" x14ac:dyDescent="0.25">
      <c r="A1474" t="s">
        <v>1332</v>
      </c>
      <c r="B1474">
        <v>2016</v>
      </c>
      <c r="C1474">
        <v>15</v>
      </c>
      <c r="D1474">
        <v>97</v>
      </c>
      <c r="E1474">
        <v>6.3</v>
      </c>
      <c r="F1474">
        <v>107.51</v>
      </c>
      <c r="G1474" s="1">
        <v>100931</v>
      </c>
    </row>
    <row r="1475" spans="1:7" x14ac:dyDescent="0.25">
      <c r="A1475" t="s">
        <v>1334</v>
      </c>
      <c r="B1475">
        <v>2016</v>
      </c>
      <c r="C1475">
        <v>15</v>
      </c>
      <c r="D1475">
        <v>107</v>
      </c>
      <c r="E1475">
        <v>5.5</v>
      </c>
      <c r="F1475">
        <v>2.46</v>
      </c>
      <c r="G1475" s="1">
        <v>23530</v>
      </c>
    </row>
    <row r="1476" spans="1:7" x14ac:dyDescent="0.25">
      <c r="A1476" t="s">
        <v>1335</v>
      </c>
      <c r="B1476">
        <v>2016</v>
      </c>
      <c r="C1476">
        <v>15</v>
      </c>
      <c r="D1476">
        <v>104</v>
      </c>
      <c r="E1476">
        <v>6.5</v>
      </c>
      <c r="F1476">
        <v>1.36</v>
      </c>
      <c r="G1476" s="1">
        <v>20898</v>
      </c>
    </row>
    <row r="1477" spans="1:7" x14ac:dyDescent="0.25">
      <c r="A1477" t="s">
        <v>1343</v>
      </c>
      <c r="B1477">
        <v>2016</v>
      </c>
      <c r="C1477">
        <v>12</v>
      </c>
      <c r="D1477">
        <v>90</v>
      </c>
      <c r="E1477">
        <v>4.9000000000000004</v>
      </c>
      <c r="F1477">
        <v>2.46</v>
      </c>
      <c r="G1477" s="1">
        <v>2252</v>
      </c>
    </row>
    <row r="1478" spans="1:7" x14ac:dyDescent="0.25">
      <c r="A1478" t="s">
        <v>1344</v>
      </c>
      <c r="B1478">
        <v>2016</v>
      </c>
      <c r="C1478">
        <v>12</v>
      </c>
      <c r="D1478">
        <v>93</v>
      </c>
      <c r="E1478">
        <v>6.2</v>
      </c>
      <c r="F1478">
        <v>2.46</v>
      </c>
      <c r="G1478" s="1">
        <v>31903</v>
      </c>
    </row>
    <row r="1479" spans="1:7" x14ac:dyDescent="0.25">
      <c r="A1479" t="s">
        <v>1346</v>
      </c>
      <c r="B1479">
        <v>2016</v>
      </c>
      <c r="C1479">
        <v>15</v>
      </c>
      <c r="D1479">
        <v>97</v>
      </c>
      <c r="E1479">
        <v>7.3</v>
      </c>
      <c r="F1479">
        <v>2.46</v>
      </c>
      <c r="G1479" s="1">
        <v>77836</v>
      </c>
    </row>
    <row r="1480" spans="1:7" x14ac:dyDescent="0.25">
      <c r="A1480" t="s">
        <v>1347</v>
      </c>
      <c r="B1480">
        <v>2016</v>
      </c>
      <c r="C1480">
        <v>15</v>
      </c>
      <c r="D1480">
        <v>90</v>
      </c>
      <c r="E1480">
        <v>6.4</v>
      </c>
      <c r="F1480">
        <v>14.01</v>
      </c>
      <c r="G1480" s="1">
        <v>26057</v>
      </c>
    </row>
    <row r="1481" spans="1:7" x14ac:dyDescent="0.25">
      <c r="A1481" t="s">
        <v>1348</v>
      </c>
      <c r="B1481">
        <v>2016</v>
      </c>
      <c r="C1481">
        <v>13</v>
      </c>
      <c r="D1481">
        <v>111</v>
      </c>
      <c r="E1481">
        <v>5.7</v>
      </c>
      <c r="F1481">
        <v>6.46</v>
      </c>
      <c r="G1481" s="1">
        <v>3811</v>
      </c>
    </row>
    <row r="1482" spans="1:7" x14ac:dyDescent="0.25">
      <c r="A1482" t="s">
        <v>1352</v>
      </c>
      <c r="B1482">
        <v>2016</v>
      </c>
      <c r="C1482">
        <v>15</v>
      </c>
      <c r="D1482">
        <v>90</v>
      </c>
      <c r="E1482">
        <v>4.9000000000000004</v>
      </c>
      <c r="F1482">
        <v>2.46</v>
      </c>
      <c r="G1482" s="1">
        <v>9090</v>
      </c>
    </row>
    <row r="1483" spans="1:7" x14ac:dyDescent="0.25">
      <c r="A1483" t="s">
        <v>1353</v>
      </c>
      <c r="B1483">
        <v>2016</v>
      </c>
      <c r="C1483">
        <v>15</v>
      </c>
      <c r="D1483">
        <v>116</v>
      </c>
      <c r="E1483">
        <v>7.4</v>
      </c>
      <c r="F1483">
        <v>36.26</v>
      </c>
      <c r="G1483" s="1">
        <v>358748</v>
      </c>
    </row>
    <row r="1484" spans="1:7" x14ac:dyDescent="0.25">
      <c r="A1484" t="s">
        <v>1358</v>
      </c>
      <c r="B1484">
        <v>2016</v>
      </c>
      <c r="C1484">
        <v>15</v>
      </c>
      <c r="D1484">
        <v>139</v>
      </c>
      <c r="E1484">
        <v>6.9</v>
      </c>
      <c r="F1484">
        <v>20.76</v>
      </c>
      <c r="G1484" s="1">
        <v>61072</v>
      </c>
    </row>
    <row r="1485" spans="1:7" x14ac:dyDescent="0.25">
      <c r="A1485" t="s">
        <v>1359</v>
      </c>
      <c r="B1485">
        <v>2016</v>
      </c>
      <c r="C1485">
        <v>18</v>
      </c>
      <c r="D1485">
        <v>117</v>
      </c>
      <c r="E1485">
        <v>6.1</v>
      </c>
      <c r="F1485">
        <v>1.33</v>
      </c>
      <c r="G1485" s="1">
        <v>102035</v>
      </c>
    </row>
    <row r="1486" spans="1:7" x14ac:dyDescent="0.25">
      <c r="A1486" t="s">
        <v>1361</v>
      </c>
      <c r="B1486">
        <v>2016</v>
      </c>
      <c r="C1486">
        <v>18</v>
      </c>
      <c r="D1486">
        <v>108</v>
      </c>
      <c r="E1486">
        <v>6.2</v>
      </c>
      <c r="F1486">
        <v>3.15</v>
      </c>
      <c r="G1486" s="1">
        <v>23301</v>
      </c>
    </row>
    <row r="1487" spans="1:7" x14ac:dyDescent="0.25">
      <c r="A1487" t="s">
        <v>1362</v>
      </c>
      <c r="B1487">
        <v>2016</v>
      </c>
      <c r="C1487">
        <v>18</v>
      </c>
      <c r="D1487">
        <v>97</v>
      </c>
      <c r="E1487">
        <v>6</v>
      </c>
      <c r="F1487">
        <v>2.46</v>
      </c>
      <c r="G1487" s="1">
        <v>3015</v>
      </c>
    </row>
    <row r="1488" spans="1:7" x14ac:dyDescent="0.25">
      <c r="A1488" t="s">
        <v>1364</v>
      </c>
      <c r="B1488">
        <v>2016</v>
      </c>
      <c r="C1488">
        <v>15</v>
      </c>
      <c r="D1488">
        <v>88</v>
      </c>
      <c r="E1488">
        <v>6.3</v>
      </c>
      <c r="F1488">
        <v>2.46</v>
      </c>
      <c r="G1488" s="1">
        <v>2929</v>
      </c>
    </row>
    <row r="1489" spans="1:7" x14ac:dyDescent="0.25">
      <c r="A1489" t="s">
        <v>1366</v>
      </c>
      <c r="B1489">
        <v>2016</v>
      </c>
      <c r="C1489">
        <v>15</v>
      </c>
      <c r="D1489">
        <v>147</v>
      </c>
      <c r="E1489">
        <v>7.8</v>
      </c>
      <c r="F1489">
        <v>408.08</v>
      </c>
      <c r="G1489" s="1">
        <v>831755</v>
      </c>
    </row>
    <row r="1490" spans="1:7" x14ac:dyDescent="0.25">
      <c r="A1490" t="s">
        <v>1369</v>
      </c>
      <c r="B1490">
        <v>2016</v>
      </c>
      <c r="C1490">
        <v>18</v>
      </c>
      <c r="D1490">
        <v>104</v>
      </c>
      <c r="E1490">
        <v>6.4</v>
      </c>
      <c r="F1490">
        <v>0.02</v>
      </c>
      <c r="G1490" s="1">
        <v>1840</v>
      </c>
    </row>
    <row r="1491" spans="1:7" x14ac:dyDescent="0.25">
      <c r="A1491" t="s">
        <v>1370</v>
      </c>
      <c r="B1491">
        <v>2016</v>
      </c>
      <c r="C1491">
        <v>15</v>
      </c>
      <c r="D1491">
        <v>88</v>
      </c>
      <c r="E1491">
        <v>6.4</v>
      </c>
      <c r="F1491">
        <v>2.46</v>
      </c>
      <c r="G1491" s="1">
        <v>66928</v>
      </c>
    </row>
    <row r="1492" spans="1:7" x14ac:dyDescent="0.25">
      <c r="A1492" t="s">
        <v>1373</v>
      </c>
      <c r="B1492">
        <v>2016</v>
      </c>
      <c r="C1492">
        <v>15</v>
      </c>
      <c r="D1492">
        <v>110</v>
      </c>
      <c r="E1492">
        <v>6.7</v>
      </c>
      <c r="F1492">
        <v>0.23</v>
      </c>
      <c r="G1492" s="1">
        <v>22837</v>
      </c>
    </row>
    <row r="1493" spans="1:7" x14ac:dyDescent="0.25">
      <c r="A1493" t="s">
        <v>1374</v>
      </c>
      <c r="B1493">
        <v>2016</v>
      </c>
      <c r="C1493">
        <v>18</v>
      </c>
      <c r="D1493">
        <v>90</v>
      </c>
      <c r="E1493">
        <v>6</v>
      </c>
      <c r="F1493">
        <v>0.03</v>
      </c>
      <c r="G1493" s="1">
        <v>6483</v>
      </c>
    </row>
    <row r="1494" spans="1:7" x14ac:dyDescent="0.25">
      <c r="A1494" t="s">
        <v>1376</v>
      </c>
      <c r="B1494">
        <v>2016</v>
      </c>
      <c r="C1494">
        <v>15</v>
      </c>
      <c r="D1494">
        <v>98</v>
      </c>
      <c r="E1494">
        <v>5.7</v>
      </c>
      <c r="F1494">
        <v>21.22</v>
      </c>
      <c r="G1494" s="1">
        <v>90912</v>
      </c>
    </row>
    <row r="1495" spans="1:7" x14ac:dyDescent="0.25">
      <c r="A1495" t="s">
        <v>1377</v>
      </c>
      <c r="B1495">
        <v>2016</v>
      </c>
      <c r="C1495">
        <v>15</v>
      </c>
      <c r="D1495">
        <v>86</v>
      </c>
      <c r="E1495">
        <v>5.8</v>
      </c>
      <c r="F1495">
        <v>2.46</v>
      </c>
      <c r="G1495" s="1">
        <v>2913</v>
      </c>
    </row>
    <row r="1496" spans="1:7" x14ac:dyDescent="0.25">
      <c r="A1496" t="s">
        <v>1379</v>
      </c>
      <c r="B1496">
        <v>2016</v>
      </c>
      <c r="C1496">
        <v>12</v>
      </c>
      <c r="D1496">
        <v>118</v>
      </c>
      <c r="E1496">
        <v>7.6</v>
      </c>
      <c r="F1496">
        <v>2.13</v>
      </c>
      <c r="G1496" s="1">
        <v>245996</v>
      </c>
    </row>
    <row r="1497" spans="1:7" x14ac:dyDescent="0.25">
      <c r="A1497" t="s">
        <v>1380</v>
      </c>
      <c r="B1497">
        <v>2016</v>
      </c>
      <c r="C1497">
        <v>15</v>
      </c>
      <c r="D1497">
        <v>86</v>
      </c>
      <c r="E1497">
        <v>6.3</v>
      </c>
      <c r="F1497">
        <v>55.12</v>
      </c>
      <c r="G1497" s="1">
        <v>141258</v>
      </c>
    </row>
    <row r="1498" spans="1:7" x14ac:dyDescent="0.25">
      <c r="A1498" t="s">
        <v>1382</v>
      </c>
      <c r="B1498">
        <v>2016</v>
      </c>
      <c r="C1498">
        <v>18</v>
      </c>
      <c r="D1498">
        <v>97</v>
      </c>
      <c r="E1498">
        <v>6.8</v>
      </c>
      <c r="F1498">
        <v>0.09</v>
      </c>
      <c r="G1498" s="1">
        <v>12323</v>
      </c>
    </row>
    <row r="1499" spans="1:7" x14ac:dyDescent="0.25">
      <c r="A1499" t="s">
        <v>1383</v>
      </c>
      <c r="B1499">
        <v>2016</v>
      </c>
      <c r="C1499">
        <v>15</v>
      </c>
      <c r="D1499">
        <v>110</v>
      </c>
      <c r="E1499">
        <v>6.2</v>
      </c>
      <c r="F1499">
        <v>126.64</v>
      </c>
      <c r="G1499" s="1">
        <v>184314</v>
      </c>
    </row>
    <row r="1500" spans="1:7" x14ac:dyDescent="0.25">
      <c r="A1500" t="s">
        <v>1384</v>
      </c>
      <c r="B1500">
        <v>2016</v>
      </c>
      <c r="C1500">
        <v>15</v>
      </c>
      <c r="D1500">
        <v>123</v>
      </c>
      <c r="E1500">
        <v>6.6</v>
      </c>
      <c r="F1500">
        <v>162.43</v>
      </c>
      <c r="G1500" s="1">
        <v>237960</v>
      </c>
    </row>
    <row r="1501" spans="1:7" x14ac:dyDescent="0.25">
      <c r="A1501" t="s">
        <v>1387</v>
      </c>
      <c r="B1501">
        <v>2016</v>
      </c>
      <c r="C1501">
        <v>12</v>
      </c>
      <c r="D1501">
        <v>101</v>
      </c>
      <c r="E1501">
        <v>7.8</v>
      </c>
      <c r="F1501">
        <v>5.2</v>
      </c>
      <c r="G1501" s="1">
        <v>138308</v>
      </c>
    </row>
    <row r="1502" spans="1:7" x14ac:dyDescent="0.25">
      <c r="A1502" t="s">
        <v>1388</v>
      </c>
      <c r="B1502">
        <v>2016</v>
      </c>
      <c r="C1502">
        <v>15</v>
      </c>
      <c r="D1502">
        <v>111</v>
      </c>
      <c r="E1502">
        <v>6.8</v>
      </c>
      <c r="F1502">
        <v>27.38</v>
      </c>
      <c r="G1502" s="1">
        <v>58644</v>
      </c>
    </row>
    <row r="1503" spans="1:7" x14ac:dyDescent="0.25">
      <c r="A1503" t="s">
        <v>1389</v>
      </c>
      <c r="B1503">
        <v>2016</v>
      </c>
      <c r="C1503">
        <v>15</v>
      </c>
      <c r="D1503">
        <v>93</v>
      </c>
      <c r="E1503">
        <v>5.8</v>
      </c>
      <c r="F1503">
        <v>2.46</v>
      </c>
      <c r="G1503" s="1">
        <v>3423</v>
      </c>
    </row>
    <row r="1504" spans="1:7" x14ac:dyDescent="0.25">
      <c r="A1504" t="s">
        <v>1398</v>
      </c>
      <c r="B1504">
        <v>2016</v>
      </c>
      <c r="C1504">
        <v>13</v>
      </c>
      <c r="D1504">
        <v>127</v>
      </c>
      <c r="E1504">
        <v>7</v>
      </c>
      <c r="F1504">
        <v>15.43</v>
      </c>
      <c r="G1504" s="1">
        <v>77479</v>
      </c>
    </row>
    <row r="1505" spans="1:7" x14ac:dyDescent="0.25">
      <c r="A1505">
        <v>37</v>
      </c>
      <c r="B1505">
        <v>2016</v>
      </c>
      <c r="C1505">
        <v>15</v>
      </c>
      <c r="D1505">
        <v>85</v>
      </c>
      <c r="E1505">
        <v>3.9</v>
      </c>
      <c r="F1505">
        <v>2.46</v>
      </c>
      <c r="G1505">
        <v>666</v>
      </c>
    </row>
    <row r="1506" spans="1:7" x14ac:dyDescent="0.25">
      <c r="A1506" t="s">
        <v>1401</v>
      </c>
      <c r="B1506">
        <v>2016</v>
      </c>
      <c r="C1506">
        <v>12</v>
      </c>
      <c r="D1506">
        <v>100</v>
      </c>
      <c r="E1506">
        <v>6.1</v>
      </c>
      <c r="F1506">
        <v>2.46</v>
      </c>
      <c r="G1506" s="1">
        <v>2035</v>
      </c>
    </row>
    <row r="1507" spans="1:7" x14ac:dyDescent="0.25">
      <c r="A1507" t="s">
        <v>1402</v>
      </c>
      <c r="B1507">
        <v>2016</v>
      </c>
      <c r="C1507">
        <v>15</v>
      </c>
      <c r="D1507">
        <v>104</v>
      </c>
      <c r="E1507">
        <v>7.6</v>
      </c>
      <c r="F1507">
        <v>0.69</v>
      </c>
      <c r="G1507" s="1">
        <v>30643</v>
      </c>
    </row>
    <row r="1508" spans="1:7" x14ac:dyDescent="0.25">
      <c r="A1508" t="s">
        <v>1403</v>
      </c>
      <c r="B1508">
        <v>2016</v>
      </c>
      <c r="C1508">
        <v>12</v>
      </c>
      <c r="D1508">
        <v>120</v>
      </c>
      <c r="E1508">
        <v>7.2</v>
      </c>
      <c r="F1508">
        <v>2.96</v>
      </c>
      <c r="G1508" s="1">
        <v>52631</v>
      </c>
    </row>
    <row r="1509" spans="1:7" x14ac:dyDescent="0.25">
      <c r="A1509" t="s">
        <v>1405</v>
      </c>
      <c r="B1509">
        <v>2016</v>
      </c>
      <c r="C1509">
        <v>15</v>
      </c>
      <c r="D1509">
        <v>110</v>
      </c>
      <c r="E1509">
        <v>6.6</v>
      </c>
      <c r="F1509">
        <v>0.09</v>
      </c>
      <c r="G1509" s="1">
        <v>6138</v>
      </c>
    </row>
    <row r="1510" spans="1:7" x14ac:dyDescent="0.25">
      <c r="A1510" t="s">
        <v>1409</v>
      </c>
      <c r="B1510">
        <v>2016</v>
      </c>
      <c r="C1510">
        <v>15</v>
      </c>
      <c r="D1510">
        <v>95</v>
      </c>
      <c r="E1510">
        <v>5.5</v>
      </c>
      <c r="F1510">
        <v>2.46</v>
      </c>
      <c r="G1510" s="1">
        <v>16709</v>
      </c>
    </row>
    <row r="1511" spans="1:7" x14ac:dyDescent="0.25">
      <c r="A1511" t="s">
        <v>1411</v>
      </c>
      <c r="B1511">
        <v>2016</v>
      </c>
      <c r="C1511">
        <v>15</v>
      </c>
      <c r="D1511">
        <v>91</v>
      </c>
      <c r="E1511">
        <v>5.4</v>
      </c>
      <c r="F1511">
        <v>0.17</v>
      </c>
      <c r="G1511" s="1">
        <v>6465</v>
      </c>
    </row>
    <row r="1512" spans="1:7" x14ac:dyDescent="0.25">
      <c r="A1512" t="s">
        <v>1412</v>
      </c>
      <c r="B1512">
        <v>2016</v>
      </c>
      <c r="C1512">
        <v>12</v>
      </c>
      <c r="D1512">
        <v>91</v>
      </c>
      <c r="E1512">
        <v>7.3</v>
      </c>
      <c r="F1512">
        <v>7.0000000000000007E-2</v>
      </c>
      <c r="G1512">
        <v>462</v>
      </c>
    </row>
    <row r="1513" spans="1:7" x14ac:dyDescent="0.25">
      <c r="A1513" t="s">
        <v>1413</v>
      </c>
      <c r="B1513">
        <v>2016</v>
      </c>
      <c r="C1513">
        <v>12</v>
      </c>
      <c r="D1513">
        <v>89</v>
      </c>
      <c r="E1513">
        <v>6.1</v>
      </c>
      <c r="F1513">
        <v>97.69</v>
      </c>
      <c r="G1513" s="1">
        <v>205916</v>
      </c>
    </row>
    <row r="1514" spans="1:7" x14ac:dyDescent="0.25">
      <c r="A1514" t="s">
        <v>1414</v>
      </c>
      <c r="B1514">
        <v>2016</v>
      </c>
      <c r="C1514">
        <v>12</v>
      </c>
      <c r="D1514">
        <v>111</v>
      </c>
      <c r="E1514">
        <v>7.6</v>
      </c>
      <c r="F1514">
        <v>0.08</v>
      </c>
      <c r="G1514" s="1">
        <v>4787</v>
      </c>
    </row>
    <row r="1515" spans="1:7" x14ac:dyDescent="0.25">
      <c r="A1515" t="s">
        <v>1415</v>
      </c>
      <c r="B1515">
        <v>2016</v>
      </c>
      <c r="C1515">
        <v>15</v>
      </c>
      <c r="D1515">
        <v>127</v>
      </c>
      <c r="E1515">
        <v>6.7</v>
      </c>
      <c r="F1515">
        <v>87.24</v>
      </c>
      <c r="G1515" s="1">
        <v>184368</v>
      </c>
    </row>
    <row r="1516" spans="1:7" x14ac:dyDescent="0.25">
      <c r="A1516" t="s">
        <v>1416</v>
      </c>
      <c r="B1516">
        <v>2016</v>
      </c>
      <c r="C1516">
        <v>15</v>
      </c>
      <c r="D1516">
        <v>118</v>
      </c>
      <c r="E1516">
        <v>7.8</v>
      </c>
      <c r="F1516">
        <v>5.88</v>
      </c>
      <c r="G1516" s="1">
        <v>230155</v>
      </c>
    </row>
    <row r="1517" spans="1:7" x14ac:dyDescent="0.25">
      <c r="A1517" t="s">
        <v>1417</v>
      </c>
      <c r="B1517">
        <v>2016</v>
      </c>
      <c r="C1517">
        <v>15</v>
      </c>
      <c r="D1517">
        <v>91</v>
      </c>
      <c r="E1517">
        <v>5.4</v>
      </c>
      <c r="F1517">
        <v>2.46</v>
      </c>
      <c r="G1517" s="1">
        <v>18944</v>
      </c>
    </row>
    <row r="1518" spans="1:7" x14ac:dyDescent="0.25">
      <c r="A1518" t="s">
        <v>1418</v>
      </c>
      <c r="B1518">
        <v>2016</v>
      </c>
      <c r="C1518">
        <v>12</v>
      </c>
      <c r="D1518">
        <v>112</v>
      </c>
      <c r="E1518">
        <v>5.7</v>
      </c>
      <c r="F1518">
        <v>2.46</v>
      </c>
      <c r="G1518" s="1">
        <v>9687</v>
      </c>
    </row>
    <row r="1519" spans="1:7" x14ac:dyDescent="0.25">
      <c r="A1519" t="s">
        <v>1419</v>
      </c>
      <c r="B1519">
        <v>2016</v>
      </c>
      <c r="C1519">
        <v>15</v>
      </c>
      <c r="D1519">
        <v>93</v>
      </c>
      <c r="E1519">
        <v>4.8</v>
      </c>
      <c r="F1519">
        <v>2.46</v>
      </c>
      <c r="G1519" s="1">
        <v>9456</v>
      </c>
    </row>
    <row r="1520" spans="1:7" x14ac:dyDescent="0.25">
      <c r="A1520" t="s">
        <v>1420</v>
      </c>
      <c r="B1520">
        <v>2016</v>
      </c>
      <c r="C1520">
        <v>15</v>
      </c>
      <c r="D1520">
        <v>96</v>
      </c>
      <c r="E1520">
        <v>7.4</v>
      </c>
      <c r="F1520">
        <v>125.07</v>
      </c>
      <c r="G1520" s="1">
        <v>291391</v>
      </c>
    </row>
    <row r="1521" spans="1:7" x14ac:dyDescent="0.25">
      <c r="A1521" t="s">
        <v>1422</v>
      </c>
      <c r="B1521">
        <v>2016</v>
      </c>
      <c r="C1521">
        <v>12</v>
      </c>
      <c r="D1521">
        <v>102</v>
      </c>
      <c r="E1521">
        <v>6.7</v>
      </c>
      <c r="F1521">
        <v>76.23</v>
      </c>
      <c r="G1521" s="1">
        <v>60908</v>
      </c>
    </row>
    <row r="1522" spans="1:7" x14ac:dyDescent="0.25">
      <c r="A1522" t="s">
        <v>1424</v>
      </c>
      <c r="B1522">
        <v>2016</v>
      </c>
      <c r="C1522">
        <v>15</v>
      </c>
      <c r="D1522">
        <v>92</v>
      </c>
      <c r="E1522">
        <v>6.4</v>
      </c>
      <c r="F1522">
        <v>2.46</v>
      </c>
      <c r="G1522" s="1">
        <v>2519</v>
      </c>
    </row>
    <row r="1523" spans="1:7" x14ac:dyDescent="0.25">
      <c r="A1523" t="s">
        <v>1426</v>
      </c>
      <c r="B1523">
        <v>2016</v>
      </c>
      <c r="C1523">
        <v>15</v>
      </c>
      <c r="D1523">
        <v>102</v>
      </c>
      <c r="E1523">
        <v>6.9</v>
      </c>
      <c r="F1523">
        <v>0.28000000000000003</v>
      </c>
      <c r="G1523" s="1">
        <v>14517</v>
      </c>
    </row>
    <row r="1524" spans="1:7" x14ac:dyDescent="0.25">
      <c r="A1524" t="s">
        <v>1427</v>
      </c>
      <c r="B1524">
        <v>2016</v>
      </c>
      <c r="C1524">
        <v>15</v>
      </c>
      <c r="D1524">
        <v>105</v>
      </c>
      <c r="E1524">
        <v>7.4</v>
      </c>
      <c r="F1524">
        <v>2.46</v>
      </c>
      <c r="G1524" s="1">
        <v>10387</v>
      </c>
    </row>
    <row r="1525" spans="1:7" x14ac:dyDescent="0.25">
      <c r="A1525" t="s">
        <v>1428</v>
      </c>
      <c r="B1525">
        <v>2016</v>
      </c>
      <c r="C1525">
        <v>15</v>
      </c>
      <c r="D1525">
        <v>113</v>
      </c>
      <c r="E1525">
        <v>6.2</v>
      </c>
      <c r="F1525">
        <v>77.040000000000006</v>
      </c>
      <c r="G1525" s="1">
        <v>118650</v>
      </c>
    </row>
    <row r="1526" spans="1:7" x14ac:dyDescent="0.25">
      <c r="A1526" t="s">
        <v>1429</v>
      </c>
      <c r="B1526">
        <v>2016</v>
      </c>
      <c r="C1526">
        <v>15</v>
      </c>
      <c r="D1526">
        <v>97</v>
      </c>
      <c r="E1526">
        <v>7.2</v>
      </c>
      <c r="F1526">
        <v>486.3</v>
      </c>
      <c r="G1526" s="1">
        <v>295164</v>
      </c>
    </row>
    <row r="1527" spans="1:7" x14ac:dyDescent="0.25">
      <c r="A1527" t="s">
        <v>1430</v>
      </c>
      <c r="B1527">
        <v>2016</v>
      </c>
      <c r="C1527">
        <v>15</v>
      </c>
      <c r="D1527">
        <v>100</v>
      </c>
      <c r="E1527">
        <v>5.6</v>
      </c>
      <c r="F1527">
        <v>1.6</v>
      </c>
      <c r="G1527" s="1">
        <v>3819</v>
      </c>
    </row>
    <row r="1528" spans="1:7" x14ac:dyDescent="0.25">
      <c r="A1528" t="s">
        <v>1431</v>
      </c>
      <c r="B1528">
        <v>2016</v>
      </c>
      <c r="C1528">
        <v>15</v>
      </c>
      <c r="D1528">
        <v>128</v>
      </c>
      <c r="E1528">
        <v>7.3</v>
      </c>
      <c r="F1528">
        <v>86.26</v>
      </c>
      <c r="G1528" s="1">
        <v>311601</v>
      </c>
    </row>
    <row r="1529" spans="1:7" x14ac:dyDescent="0.25">
      <c r="A1529" t="s">
        <v>1433</v>
      </c>
      <c r="B1529">
        <v>2016</v>
      </c>
      <c r="C1529">
        <v>15</v>
      </c>
      <c r="D1529">
        <v>123</v>
      </c>
      <c r="E1529">
        <v>5.7</v>
      </c>
      <c r="F1529">
        <v>26.41</v>
      </c>
      <c r="G1529" s="1">
        <v>45890</v>
      </c>
    </row>
    <row r="1530" spans="1:7" x14ac:dyDescent="0.25">
      <c r="A1530" t="s">
        <v>1434</v>
      </c>
      <c r="B1530">
        <v>2016</v>
      </c>
      <c r="C1530">
        <v>12</v>
      </c>
      <c r="D1530">
        <v>121</v>
      </c>
      <c r="E1530">
        <v>6.2</v>
      </c>
      <c r="F1530">
        <v>34.340000000000003</v>
      </c>
      <c r="G1530" s="1">
        <v>186093</v>
      </c>
    </row>
    <row r="1531" spans="1:7" x14ac:dyDescent="0.25">
      <c r="A1531" t="s">
        <v>1435</v>
      </c>
      <c r="B1531">
        <v>2016</v>
      </c>
      <c r="C1531">
        <v>15</v>
      </c>
      <c r="D1531">
        <v>92</v>
      </c>
      <c r="E1531">
        <v>5.8</v>
      </c>
      <c r="F1531">
        <v>3.91</v>
      </c>
      <c r="G1531" s="1">
        <v>45588</v>
      </c>
    </row>
    <row r="1532" spans="1:7" x14ac:dyDescent="0.25">
      <c r="A1532" t="s">
        <v>1438</v>
      </c>
      <c r="B1532">
        <v>2016</v>
      </c>
      <c r="C1532">
        <v>15</v>
      </c>
      <c r="D1532">
        <v>156</v>
      </c>
      <c r="E1532">
        <v>7.4</v>
      </c>
      <c r="F1532">
        <v>2.46</v>
      </c>
      <c r="G1532" s="1">
        <v>77869</v>
      </c>
    </row>
    <row r="1533" spans="1:7" x14ac:dyDescent="0.25">
      <c r="A1533" t="s">
        <v>1439</v>
      </c>
      <c r="B1533">
        <v>2016</v>
      </c>
      <c r="C1533">
        <v>15</v>
      </c>
      <c r="D1533">
        <v>130</v>
      </c>
      <c r="E1533">
        <v>7.1</v>
      </c>
      <c r="F1533">
        <v>2.46</v>
      </c>
      <c r="G1533" s="1">
        <v>70084</v>
      </c>
    </row>
    <row r="1534" spans="1:7" x14ac:dyDescent="0.25">
      <c r="A1534" t="s">
        <v>1440</v>
      </c>
      <c r="B1534">
        <v>2016</v>
      </c>
      <c r="C1534">
        <v>15</v>
      </c>
      <c r="D1534">
        <v>98</v>
      </c>
      <c r="E1534">
        <v>6.3</v>
      </c>
      <c r="F1534">
        <v>2.46</v>
      </c>
      <c r="G1534" s="1">
        <v>17975</v>
      </c>
    </row>
    <row r="1535" spans="1:7" x14ac:dyDescent="0.25">
      <c r="A1535" t="s">
        <v>1441</v>
      </c>
      <c r="B1535">
        <v>2016</v>
      </c>
      <c r="C1535">
        <v>15</v>
      </c>
      <c r="D1535">
        <v>109</v>
      </c>
      <c r="E1535">
        <v>6.8</v>
      </c>
      <c r="F1535">
        <v>4.07</v>
      </c>
      <c r="G1535" s="1">
        <v>22968</v>
      </c>
    </row>
    <row r="1536" spans="1:7" x14ac:dyDescent="0.25">
      <c r="A1536" t="s">
        <v>1442</v>
      </c>
      <c r="B1536">
        <v>2016</v>
      </c>
      <c r="C1536">
        <v>15</v>
      </c>
      <c r="D1536">
        <v>96</v>
      </c>
      <c r="E1536">
        <v>6.5</v>
      </c>
      <c r="F1536">
        <v>38.58</v>
      </c>
      <c r="G1536" s="1">
        <v>138137</v>
      </c>
    </row>
    <row r="1537" spans="1:7" x14ac:dyDescent="0.25">
      <c r="A1537" t="s">
        <v>1444</v>
      </c>
      <c r="B1537">
        <v>2016</v>
      </c>
      <c r="C1537">
        <v>15</v>
      </c>
      <c r="D1537">
        <v>117</v>
      </c>
      <c r="E1537">
        <v>6.8</v>
      </c>
      <c r="F1537">
        <v>128.34</v>
      </c>
      <c r="G1537" s="1">
        <v>241077</v>
      </c>
    </row>
    <row r="1538" spans="1:7" x14ac:dyDescent="0.25">
      <c r="A1538" t="s">
        <v>1445</v>
      </c>
      <c r="B1538">
        <v>2016</v>
      </c>
      <c r="C1538">
        <v>15</v>
      </c>
      <c r="D1538">
        <v>85</v>
      </c>
      <c r="E1538">
        <v>5.6</v>
      </c>
      <c r="F1538">
        <v>0.01</v>
      </c>
      <c r="G1538" s="1">
        <v>5440</v>
      </c>
    </row>
    <row r="1539" spans="1:7" x14ac:dyDescent="0.25">
      <c r="A1539" t="s">
        <v>1446</v>
      </c>
      <c r="B1539">
        <v>2016</v>
      </c>
      <c r="C1539">
        <v>15</v>
      </c>
      <c r="D1539">
        <v>123</v>
      </c>
      <c r="E1539">
        <v>5.9</v>
      </c>
      <c r="F1539">
        <v>325.10000000000002</v>
      </c>
      <c r="G1539" s="1">
        <v>711143</v>
      </c>
    </row>
    <row r="1540" spans="1:7" x14ac:dyDescent="0.25">
      <c r="A1540" t="s">
        <v>1447</v>
      </c>
      <c r="B1540">
        <v>2016</v>
      </c>
      <c r="C1540">
        <v>15</v>
      </c>
      <c r="D1540">
        <v>97</v>
      </c>
      <c r="E1540">
        <v>6.9</v>
      </c>
      <c r="F1540">
        <v>4.21</v>
      </c>
      <c r="G1540" s="1">
        <v>131031</v>
      </c>
    </row>
    <row r="1541" spans="1:7" x14ac:dyDescent="0.25">
      <c r="A1541" t="s">
        <v>1449</v>
      </c>
      <c r="B1541">
        <v>2016</v>
      </c>
      <c r="C1541">
        <v>15</v>
      </c>
      <c r="D1541">
        <v>110</v>
      </c>
      <c r="E1541">
        <v>6.7</v>
      </c>
      <c r="F1541">
        <v>3.4</v>
      </c>
      <c r="G1541" s="1">
        <v>12508</v>
      </c>
    </row>
    <row r="1542" spans="1:7" x14ac:dyDescent="0.25">
      <c r="A1542" t="s">
        <v>1451</v>
      </c>
      <c r="B1542">
        <v>2016</v>
      </c>
      <c r="C1542">
        <v>15</v>
      </c>
      <c r="D1542">
        <v>98</v>
      </c>
      <c r="E1542">
        <v>7</v>
      </c>
      <c r="F1542">
        <v>0.59</v>
      </c>
      <c r="G1542" s="1">
        <v>13300</v>
      </c>
    </row>
    <row r="1543" spans="1:7" x14ac:dyDescent="0.25">
      <c r="A1543" t="s">
        <v>1452</v>
      </c>
      <c r="B1543">
        <v>2016</v>
      </c>
      <c r="C1543">
        <v>12</v>
      </c>
      <c r="D1543">
        <v>134</v>
      </c>
      <c r="E1543">
        <v>7.3</v>
      </c>
      <c r="F1543">
        <v>21.59</v>
      </c>
      <c r="G1543" s="1">
        <v>159994</v>
      </c>
    </row>
    <row r="1544" spans="1:7" x14ac:dyDescent="0.25">
      <c r="A1544" t="s">
        <v>1453</v>
      </c>
      <c r="B1544">
        <v>2016</v>
      </c>
      <c r="C1544">
        <v>15</v>
      </c>
      <c r="D1544">
        <v>87</v>
      </c>
      <c r="E1544">
        <v>6.8</v>
      </c>
      <c r="F1544">
        <v>72.680000000000007</v>
      </c>
      <c r="G1544" s="1">
        <v>66143</v>
      </c>
    </row>
    <row r="1545" spans="1:7" x14ac:dyDescent="0.25">
      <c r="A1545" t="s">
        <v>1454</v>
      </c>
      <c r="B1545">
        <v>2016</v>
      </c>
      <c r="C1545">
        <v>12</v>
      </c>
      <c r="D1545">
        <v>101</v>
      </c>
      <c r="E1545">
        <v>7.7</v>
      </c>
      <c r="F1545">
        <v>48.02</v>
      </c>
      <c r="G1545" s="1">
        <v>136479</v>
      </c>
    </row>
    <row r="1546" spans="1:7" x14ac:dyDescent="0.25">
      <c r="A1546" t="s">
        <v>1455</v>
      </c>
      <c r="B1546">
        <v>2016</v>
      </c>
      <c r="C1546">
        <v>15</v>
      </c>
      <c r="D1546">
        <v>87</v>
      </c>
      <c r="E1546">
        <v>6.5</v>
      </c>
      <c r="F1546">
        <v>368.38</v>
      </c>
      <c r="G1546" s="1">
        <v>212981</v>
      </c>
    </row>
    <row r="1547" spans="1:7" x14ac:dyDescent="0.25">
      <c r="A1547" t="s">
        <v>1456</v>
      </c>
      <c r="B1547">
        <v>2016</v>
      </c>
      <c r="C1547">
        <v>15</v>
      </c>
      <c r="D1547">
        <v>108</v>
      </c>
      <c r="E1547">
        <v>8</v>
      </c>
      <c r="F1547">
        <v>341.27</v>
      </c>
      <c r="G1547" s="1">
        <v>531068</v>
      </c>
    </row>
    <row r="1548" spans="1:7" x14ac:dyDescent="0.25">
      <c r="A1548" t="s">
        <v>1457</v>
      </c>
      <c r="B1548">
        <v>2016</v>
      </c>
      <c r="C1548">
        <v>15</v>
      </c>
      <c r="D1548">
        <v>106</v>
      </c>
      <c r="E1548">
        <v>7.4</v>
      </c>
      <c r="F1548">
        <v>364</v>
      </c>
      <c r="G1548" s="1">
        <v>287881</v>
      </c>
    </row>
    <row r="1549" spans="1:7" x14ac:dyDescent="0.25">
      <c r="A1549" t="s">
        <v>1458</v>
      </c>
      <c r="B1549">
        <v>2016</v>
      </c>
      <c r="C1549">
        <v>15</v>
      </c>
      <c r="D1549">
        <v>92</v>
      </c>
      <c r="E1549">
        <v>6.4</v>
      </c>
      <c r="F1549">
        <v>153.71</v>
      </c>
      <c r="G1549" s="1">
        <v>88637</v>
      </c>
    </row>
    <row r="1550" spans="1:7" x14ac:dyDescent="0.25">
      <c r="A1550" t="s">
        <v>1459</v>
      </c>
      <c r="B1550">
        <v>2016</v>
      </c>
      <c r="C1550">
        <v>15</v>
      </c>
      <c r="D1550">
        <v>104</v>
      </c>
      <c r="E1550">
        <v>6.1</v>
      </c>
      <c r="F1550">
        <v>0.05</v>
      </c>
      <c r="G1550" s="1">
        <v>20430</v>
      </c>
    </row>
    <row r="1551" spans="1:7" x14ac:dyDescent="0.25">
      <c r="A1551" t="s">
        <v>1461</v>
      </c>
      <c r="B1551">
        <v>2016</v>
      </c>
      <c r="C1551">
        <v>15</v>
      </c>
      <c r="D1551">
        <v>89</v>
      </c>
      <c r="E1551">
        <v>4.5999999999999996</v>
      </c>
      <c r="F1551">
        <v>2.46</v>
      </c>
      <c r="G1551" s="1">
        <v>15601</v>
      </c>
    </row>
    <row r="1552" spans="1:7" x14ac:dyDescent="0.25">
      <c r="A1552" t="s">
        <v>1464</v>
      </c>
      <c r="B1552">
        <v>2016</v>
      </c>
      <c r="C1552">
        <v>15</v>
      </c>
      <c r="D1552">
        <v>162</v>
      </c>
      <c r="E1552">
        <v>7.3</v>
      </c>
      <c r="F1552">
        <v>1.48</v>
      </c>
      <c r="G1552" s="1">
        <v>50585</v>
      </c>
    </row>
    <row r="1553" spans="1:7" x14ac:dyDescent="0.25">
      <c r="A1553" t="s">
        <v>1465</v>
      </c>
      <c r="B1553">
        <v>2016</v>
      </c>
      <c r="C1553">
        <v>15</v>
      </c>
      <c r="D1553">
        <v>119</v>
      </c>
      <c r="E1553">
        <v>6.9</v>
      </c>
      <c r="F1553">
        <v>0.3</v>
      </c>
      <c r="G1553" s="1">
        <v>16508</v>
      </c>
    </row>
    <row r="1554" spans="1:7" x14ac:dyDescent="0.25">
      <c r="A1554" t="s">
        <v>1468</v>
      </c>
      <c r="B1554">
        <v>2016</v>
      </c>
      <c r="C1554">
        <v>15</v>
      </c>
      <c r="D1554">
        <v>124</v>
      </c>
      <c r="E1554">
        <v>7.4</v>
      </c>
      <c r="F1554">
        <v>8.81</v>
      </c>
      <c r="G1554" s="1">
        <v>18393</v>
      </c>
    </row>
    <row r="1555" spans="1:7" x14ac:dyDescent="0.25">
      <c r="A1555" t="s">
        <v>1476</v>
      </c>
      <c r="B1555">
        <v>2016</v>
      </c>
      <c r="C1555">
        <v>15</v>
      </c>
      <c r="D1555">
        <v>116</v>
      </c>
      <c r="E1555">
        <v>7.9</v>
      </c>
      <c r="F1555">
        <v>100.55</v>
      </c>
      <c r="G1555" s="1">
        <v>743318</v>
      </c>
    </row>
    <row r="1556" spans="1:7" x14ac:dyDescent="0.25">
      <c r="A1556" t="s">
        <v>1477</v>
      </c>
      <c r="B1556">
        <v>2016</v>
      </c>
      <c r="C1556">
        <v>15</v>
      </c>
      <c r="D1556">
        <v>132</v>
      </c>
      <c r="E1556">
        <v>7.2</v>
      </c>
      <c r="F1556">
        <v>234.04</v>
      </c>
      <c r="G1556" s="1">
        <v>497645</v>
      </c>
    </row>
    <row r="1557" spans="1:7" x14ac:dyDescent="0.25">
      <c r="A1557" t="s">
        <v>1478</v>
      </c>
      <c r="B1557">
        <v>2016</v>
      </c>
      <c r="C1557">
        <v>15</v>
      </c>
      <c r="D1557">
        <v>112</v>
      </c>
      <c r="E1557">
        <v>6.5</v>
      </c>
      <c r="F1557">
        <v>75.400000000000006</v>
      </c>
      <c r="G1557" s="1">
        <v>196007</v>
      </c>
    </row>
    <row r="1558" spans="1:7" x14ac:dyDescent="0.25">
      <c r="A1558" t="s">
        <v>1479</v>
      </c>
      <c r="B1558">
        <v>2016</v>
      </c>
      <c r="C1558">
        <v>12</v>
      </c>
      <c r="D1558">
        <v>128</v>
      </c>
      <c r="E1558">
        <v>5.3</v>
      </c>
      <c r="F1558">
        <v>2.46</v>
      </c>
      <c r="G1558" s="1">
        <v>13993</v>
      </c>
    </row>
    <row r="1559" spans="1:7" x14ac:dyDescent="0.25">
      <c r="A1559" t="s">
        <v>1480</v>
      </c>
      <c r="B1559">
        <v>2016</v>
      </c>
      <c r="C1559">
        <v>15</v>
      </c>
      <c r="D1559">
        <v>145</v>
      </c>
      <c r="E1559">
        <v>8.1</v>
      </c>
      <c r="F1559">
        <v>2.0099999999999998</v>
      </c>
      <c r="G1559" s="1">
        <v>165167</v>
      </c>
    </row>
    <row r="1560" spans="1:7" x14ac:dyDescent="0.25">
      <c r="A1560" t="s">
        <v>1481</v>
      </c>
      <c r="B1560">
        <v>2016</v>
      </c>
      <c r="C1560">
        <v>15</v>
      </c>
      <c r="D1560">
        <v>114</v>
      </c>
      <c r="E1560">
        <v>7.2</v>
      </c>
      <c r="F1560">
        <v>0.05</v>
      </c>
      <c r="G1560" s="1">
        <v>7096</v>
      </c>
    </row>
    <row r="1561" spans="1:7" x14ac:dyDescent="0.25">
      <c r="A1561" t="s">
        <v>1486</v>
      </c>
      <c r="B1561">
        <v>2016</v>
      </c>
      <c r="C1561">
        <v>12</v>
      </c>
      <c r="D1561">
        <v>97</v>
      </c>
      <c r="E1561">
        <v>7</v>
      </c>
      <c r="F1561">
        <v>2.46</v>
      </c>
      <c r="G1561" s="1">
        <v>3749</v>
      </c>
    </row>
    <row r="1562" spans="1:7" x14ac:dyDescent="0.25">
      <c r="A1562" t="s">
        <v>1487</v>
      </c>
      <c r="B1562">
        <v>2016</v>
      </c>
      <c r="C1562">
        <v>15</v>
      </c>
      <c r="D1562">
        <v>99</v>
      </c>
      <c r="E1562">
        <v>5.8</v>
      </c>
      <c r="F1562">
        <v>2.46</v>
      </c>
      <c r="G1562" s="1">
        <v>8881</v>
      </c>
    </row>
    <row r="1563" spans="1:7" x14ac:dyDescent="0.25">
      <c r="A1563" t="s">
        <v>1488</v>
      </c>
      <c r="B1563">
        <v>2016</v>
      </c>
      <c r="C1563">
        <v>15</v>
      </c>
      <c r="D1563">
        <v>95</v>
      </c>
      <c r="E1563">
        <v>5.3</v>
      </c>
      <c r="F1563">
        <v>0</v>
      </c>
      <c r="G1563" s="1">
        <v>8454</v>
      </c>
    </row>
    <row r="1564" spans="1:7" x14ac:dyDescent="0.25">
      <c r="A1564" t="s">
        <v>1489</v>
      </c>
      <c r="B1564">
        <v>2016</v>
      </c>
      <c r="C1564">
        <v>15</v>
      </c>
      <c r="D1564">
        <v>111</v>
      </c>
      <c r="E1564">
        <v>6.6</v>
      </c>
      <c r="F1564">
        <v>4.71</v>
      </c>
      <c r="G1564" s="1">
        <v>17303</v>
      </c>
    </row>
    <row r="1565" spans="1:7" x14ac:dyDescent="0.25">
      <c r="A1565" t="s">
        <v>1490</v>
      </c>
      <c r="B1565">
        <v>2016</v>
      </c>
      <c r="C1565">
        <v>18</v>
      </c>
      <c r="D1565">
        <v>103</v>
      </c>
      <c r="E1565">
        <v>6.5</v>
      </c>
      <c r="F1565">
        <v>2.46</v>
      </c>
      <c r="G1565" s="1">
        <v>9799</v>
      </c>
    </row>
    <row r="1566" spans="1:7" x14ac:dyDescent="0.25">
      <c r="A1566" t="s">
        <v>1491</v>
      </c>
      <c r="B1566">
        <v>2016</v>
      </c>
      <c r="C1566">
        <v>15</v>
      </c>
      <c r="D1566">
        <v>139</v>
      </c>
      <c r="E1566">
        <v>8.1</v>
      </c>
      <c r="F1566">
        <v>67.209999999999994</v>
      </c>
      <c r="G1566" s="1">
        <v>573639</v>
      </c>
    </row>
    <row r="1567" spans="1:7" x14ac:dyDescent="0.25">
      <c r="A1567" t="s">
        <v>1493</v>
      </c>
      <c r="B1567">
        <v>2016</v>
      </c>
      <c r="C1567">
        <v>15</v>
      </c>
      <c r="D1567">
        <v>133</v>
      </c>
      <c r="E1567">
        <v>7.1</v>
      </c>
      <c r="F1567">
        <v>0.11</v>
      </c>
      <c r="G1567" s="1">
        <v>9778</v>
      </c>
    </row>
    <row r="1568" spans="1:7" x14ac:dyDescent="0.25">
      <c r="A1568" t="s">
        <v>1494</v>
      </c>
      <c r="B1568">
        <v>2016</v>
      </c>
      <c r="C1568">
        <v>15</v>
      </c>
      <c r="D1568">
        <v>118</v>
      </c>
      <c r="E1568">
        <v>7.4</v>
      </c>
      <c r="F1568">
        <v>0.27</v>
      </c>
      <c r="G1568" s="1">
        <v>12373</v>
      </c>
    </row>
    <row r="1569" spans="1:7" x14ac:dyDescent="0.25">
      <c r="A1569" t="s">
        <v>1495</v>
      </c>
      <c r="B1569">
        <v>2016</v>
      </c>
      <c r="C1569">
        <v>18</v>
      </c>
      <c r="D1569">
        <v>120</v>
      </c>
      <c r="E1569">
        <v>5.4</v>
      </c>
      <c r="F1569">
        <v>2.46</v>
      </c>
      <c r="G1569" s="1">
        <v>3541</v>
      </c>
    </row>
    <row r="1570" spans="1:7" x14ac:dyDescent="0.25">
      <c r="A1570" t="s">
        <v>1496</v>
      </c>
      <c r="B1570">
        <v>2016</v>
      </c>
      <c r="C1570">
        <v>15</v>
      </c>
      <c r="D1570">
        <v>105</v>
      </c>
      <c r="E1570">
        <v>5.9</v>
      </c>
      <c r="F1570">
        <v>14.9</v>
      </c>
      <c r="G1570" s="1">
        <v>66290</v>
      </c>
    </row>
    <row r="1571" spans="1:7" x14ac:dyDescent="0.25">
      <c r="A1571" t="s">
        <v>1498</v>
      </c>
      <c r="B1571">
        <v>2016</v>
      </c>
      <c r="C1571">
        <v>15</v>
      </c>
      <c r="D1571">
        <v>85</v>
      </c>
      <c r="E1571">
        <v>6.7</v>
      </c>
      <c r="F1571">
        <v>0.7</v>
      </c>
      <c r="G1571" s="1">
        <v>7721</v>
      </c>
    </row>
    <row r="1572" spans="1:7" x14ac:dyDescent="0.25">
      <c r="A1572" t="s">
        <v>1499</v>
      </c>
      <c r="B1572">
        <v>2016</v>
      </c>
      <c r="C1572">
        <v>15</v>
      </c>
      <c r="D1572">
        <v>120</v>
      </c>
      <c r="E1572">
        <v>6.5</v>
      </c>
      <c r="F1572">
        <v>15.86</v>
      </c>
      <c r="G1572" s="1">
        <v>21655</v>
      </c>
    </row>
    <row r="1573" spans="1:7" x14ac:dyDescent="0.25">
      <c r="A1573" t="s">
        <v>1500</v>
      </c>
      <c r="B1573">
        <v>2016</v>
      </c>
      <c r="C1573">
        <v>18</v>
      </c>
      <c r="D1573">
        <v>127</v>
      </c>
      <c r="E1573">
        <v>7.8</v>
      </c>
      <c r="F1573">
        <v>169.61</v>
      </c>
      <c r="G1573" s="1">
        <v>247892</v>
      </c>
    </row>
    <row r="1574" spans="1:7" x14ac:dyDescent="0.25">
      <c r="A1574" t="s">
        <v>1501</v>
      </c>
      <c r="B1574">
        <v>2016</v>
      </c>
      <c r="C1574">
        <v>15</v>
      </c>
      <c r="D1574">
        <v>116</v>
      </c>
      <c r="E1574">
        <v>7.5</v>
      </c>
      <c r="F1574">
        <v>10.66</v>
      </c>
      <c r="G1574" s="1">
        <v>296837</v>
      </c>
    </row>
    <row r="1575" spans="1:7" x14ac:dyDescent="0.25">
      <c r="A1575" t="s">
        <v>1502</v>
      </c>
      <c r="B1575">
        <v>2016</v>
      </c>
      <c r="C1575">
        <v>15</v>
      </c>
      <c r="D1575">
        <v>104</v>
      </c>
      <c r="E1575">
        <v>6</v>
      </c>
      <c r="F1575">
        <v>2.46</v>
      </c>
      <c r="G1575" s="1">
        <v>7595</v>
      </c>
    </row>
    <row r="1576" spans="1:7" x14ac:dyDescent="0.25">
      <c r="A1576" t="s">
        <v>1503</v>
      </c>
      <c r="B1576">
        <v>2016</v>
      </c>
      <c r="C1576">
        <v>15</v>
      </c>
      <c r="D1576">
        <v>96</v>
      </c>
      <c r="E1576">
        <v>6.6</v>
      </c>
      <c r="F1576">
        <v>11.1</v>
      </c>
      <c r="G1576" s="1">
        <v>80182</v>
      </c>
    </row>
    <row r="1577" spans="1:7" x14ac:dyDescent="0.25">
      <c r="A1577" t="s">
        <v>1504</v>
      </c>
      <c r="B1577">
        <v>2016</v>
      </c>
      <c r="C1577">
        <v>15</v>
      </c>
      <c r="D1577">
        <v>84</v>
      </c>
      <c r="E1577">
        <v>6.3</v>
      </c>
      <c r="F1577">
        <v>6.3</v>
      </c>
      <c r="G1577" s="1">
        <v>10074</v>
      </c>
    </row>
    <row r="1578" spans="1:7" x14ac:dyDescent="0.25">
      <c r="A1578" t="s">
        <v>1505</v>
      </c>
      <c r="B1578">
        <v>2016</v>
      </c>
      <c r="C1578">
        <v>15</v>
      </c>
      <c r="D1578">
        <v>102</v>
      </c>
      <c r="E1578">
        <v>4.7</v>
      </c>
      <c r="F1578">
        <v>2.46</v>
      </c>
      <c r="G1578">
        <v>893</v>
      </c>
    </row>
    <row r="1579" spans="1:7" x14ac:dyDescent="0.25">
      <c r="A1579" t="s">
        <v>1506</v>
      </c>
      <c r="B1579">
        <v>2016</v>
      </c>
      <c r="C1579">
        <v>15</v>
      </c>
      <c r="D1579">
        <v>107</v>
      </c>
      <c r="E1579">
        <v>7.6</v>
      </c>
      <c r="F1579">
        <v>248.76</v>
      </c>
      <c r="G1579" s="1">
        <v>364588</v>
      </c>
    </row>
    <row r="1580" spans="1:7" x14ac:dyDescent="0.25">
      <c r="A1580" t="s">
        <v>1507</v>
      </c>
      <c r="B1580">
        <v>2016</v>
      </c>
      <c r="C1580">
        <v>12</v>
      </c>
      <c r="D1580">
        <v>137</v>
      </c>
      <c r="E1580">
        <v>7.8</v>
      </c>
      <c r="F1580">
        <v>47.7</v>
      </c>
      <c r="G1580" s="1">
        <v>302797</v>
      </c>
    </row>
    <row r="1581" spans="1:7" x14ac:dyDescent="0.25">
      <c r="A1581" t="s">
        <v>1508</v>
      </c>
      <c r="B1581">
        <v>2016</v>
      </c>
      <c r="C1581">
        <v>15</v>
      </c>
      <c r="D1581">
        <v>88</v>
      </c>
      <c r="E1581">
        <v>5.7</v>
      </c>
      <c r="F1581">
        <v>0.2</v>
      </c>
      <c r="G1581" s="1">
        <v>11530</v>
      </c>
    </row>
    <row r="1582" spans="1:7" x14ac:dyDescent="0.25">
      <c r="A1582" t="s">
        <v>1509</v>
      </c>
      <c r="B1582">
        <v>2016</v>
      </c>
      <c r="C1582">
        <v>12</v>
      </c>
      <c r="D1582">
        <v>161</v>
      </c>
      <c r="E1582">
        <v>7.2</v>
      </c>
      <c r="F1582">
        <v>7.1</v>
      </c>
      <c r="G1582" s="1">
        <v>119908</v>
      </c>
    </row>
    <row r="1583" spans="1:7" x14ac:dyDescent="0.25">
      <c r="A1583" t="s">
        <v>1510</v>
      </c>
      <c r="B1583">
        <v>2016</v>
      </c>
      <c r="C1583">
        <v>15</v>
      </c>
      <c r="D1583">
        <v>163</v>
      </c>
      <c r="E1583">
        <v>7</v>
      </c>
      <c r="F1583">
        <v>0.66</v>
      </c>
      <c r="G1583" s="1">
        <v>45649</v>
      </c>
    </row>
    <row r="1584" spans="1:7" x14ac:dyDescent="0.25">
      <c r="A1584" t="s">
        <v>1511</v>
      </c>
      <c r="B1584">
        <v>2016</v>
      </c>
      <c r="C1584">
        <v>12</v>
      </c>
      <c r="D1584">
        <v>83</v>
      </c>
      <c r="E1584">
        <v>4.5</v>
      </c>
      <c r="F1584">
        <v>2.46</v>
      </c>
      <c r="G1584">
        <v>704</v>
      </c>
    </row>
    <row r="1585" spans="1:7" x14ac:dyDescent="0.25">
      <c r="A1585" t="s">
        <v>1512</v>
      </c>
      <c r="B1585">
        <v>2016</v>
      </c>
      <c r="C1585">
        <v>12</v>
      </c>
      <c r="D1585">
        <v>132</v>
      </c>
      <c r="E1585">
        <v>7.5</v>
      </c>
      <c r="F1585">
        <v>3.5</v>
      </c>
      <c r="G1585" s="1">
        <v>80589</v>
      </c>
    </row>
    <row r="1586" spans="1:7" x14ac:dyDescent="0.25">
      <c r="A1586" t="s">
        <v>1513</v>
      </c>
      <c r="B1586">
        <v>2016</v>
      </c>
      <c r="C1586">
        <v>15</v>
      </c>
      <c r="D1586">
        <v>108</v>
      </c>
      <c r="E1586">
        <v>6.3</v>
      </c>
      <c r="F1586">
        <v>2.46</v>
      </c>
      <c r="G1586" s="1">
        <v>15030</v>
      </c>
    </row>
    <row r="1587" spans="1:7" x14ac:dyDescent="0.25">
      <c r="A1587" t="s">
        <v>1514</v>
      </c>
      <c r="B1587">
        <v>2016</v>
      </c>
      <c r="C1587">
        <v>15</v>
      </c>
      <c r="D1587">
        <v>104</v>
      </c>
      <c r="E1587">
        <v>7.3</v>
      </c>
      <c r="F1587">
        <v>14.43</v>
      </c>
      <c r="G1587" s="1">
        <v>137191</v>
      </c>
    </row>
    <row r="1588" spans="1:7" x14ac:dyDescent="0.25">
      <c r="A1588" t="s">
        <v>1515</v>
      </c>
      <c r="B1588">
        <v>2016</v>
      </c>
      <c r="C1588">
        <v>15</v>
      </c>
      <c r="D1588">
        <v>117</v>
      </c>
      <c r="E1588">
        <v>6.8</v>
      </c>
      <c r="F1588">
        <v>4.8499999999999996</v>
      </c>
      <c r="G1588" s="1">
        <v>29122</v>
      </c>
    </row>
    <row r="1589" spans="1:7" x14ac:dyDescent="0.25">
      <c r="A1589" t="s">
        <v>1516</v>
      </c>
      <c r="B1589">
        <v>2016</v>
      </c>
      <c r="C1589">
        <v>15</v>
      </c>
      <c r="D1589">
        <v>102</v>
      </c>
      <c r="E1589">
        <v>6.8</v>
      </c>
      <c r="F1589">
        <v>2.46</v>
      </c>
      <c r="G1589" s="1">
        <v>3046</v>
      </c>
    </row>
    <row r="1590" spans="1:7" x14ac:dyDescent="0.25">
      <c r="A1590" t="s">
        <v>1517</v>
      </c>
      <c r="B1590">
        <v>2016</v>
      </c>
      <c r="C1590">
        <v>12</v>
      </c>
      <c r="D1590">
        <v>111</v>
      </c>
      <c r="E1590">
        <v>6.6</v>
      </c>
      <c r="F1590">
        <v>2.46</v>
      </c>
      <c r="G1590" s="1">
        <v>63398</v>
      </c>
    </row>
    <row r="1591" spans="1:7" x14ac:dyDescent="0.25">
      <c r="A1591" t="s">
        <v>1518</v>
      </c>
      <c r="B1591">
        <v>2016</v>
      </c>
      <c r="C1591">
        <v>15</v>
      </c>
      <c r="D1591">
        <v>118</v>
      </c>
      <c r="E1591">
        <v>6.1</v>
      </c>
      <c r="F1591">
        <v>58.7</v>
      </c>
      <c r="G1591" s="1">
        <v>170619</v>
      </c>
    </row>
    <row r="1592" spans="1:7" x14ac:dyDescent="0.25">
      <c r="A1592" t="s">
        <v>1519</v>
      </c>
      <c r="B1592">
        <v>2016</v>
      </c>
      <c r="C1592">
        <v>15</v>
      </c>
      <c r="D1592">
        <v>94</v>
      </c>
      <c r="E1592">
        <v>6.1</v>
      </c>
      <c r="F1592">
        <v>0.06</v>
      </c>
      <c r="G1592" s="1">
        <v>7804</v>
      </c>
    </row>
    <row r="1593" spans="1:7" x14ac:dyDescent="0.25">
      <c r="A1593" t="s">
        <v>1520</v>
      </c>
      <c r="B1593">
        <v>2016</v>
      </c>
      <c r="C1593">
        <v>15</v>
      </c>
      <c r="D1593">
        <v>86</v>
      </c>
      <c r="E1593">
        <v>6.8</v>
      </c>
      <c r="F1593">
        <v>0.01</v>
      </c>
      <c r="G1593" s="1">
        <v>133482</v>
      </c>
    </row>
    <row r="1594" spans="1:7" x14ac:dyDescent="0.25">
      <c r="A1594" t="s">
        <v>1521</v>
      </c>
      <c r="B1594">
        <v>2016</v>
      </c>
      <c r="C1594">
        <v>15</v>
      </c>
      <c r="D1594">
        <v>113</v>
      </c>
      <c r="E1594">
        <v>6.2</v>
      </c>
      <c r="F1594">
        <v>1.74</v>
      </c>
      <c r="G1594" s="1">
        <v>23718</v>
      </c>
    </row>
    <row r="1595" spans="1:7" x14ac:dyDescent="0.25">
      <c r="A1595" t="s">
        <v>263</v>
      </c>
      <c r="B1595">
        <v>2016</v>
      </c>
      <c r="C1595">
        <v>15</v>
      </c>
      <c r="D1595">
        <v>116</v>
      </c>
      <c r="E1595">
        <v>7</v>
      </c>
      <c r="F1595">
        <v>100.01</v>
      </c>
      <c r="G1595" s="1">
        <v>433338</v>
      </c>
    </row>
    <row r="1596" spans="1:7" x14ac:dyDescent="0.25">
      <c r="A1596" t="s">
        <v>1522</v>
      </c>
      <c r="B1596">
        <v>2016</v>
      </c>
      <c r="C1596">
        <v>15</v>
      </c>
      <c r="D1596">
        <v>130</v>
      </c>
      <c r="E1596">
        <v>7.3</v>
      </c>
      <c r="F1596">
        <v>1.99</v>
      </c>
      <c r="G1596" s="1">
        <v>7114</v>
      </c>
    </row>
    <row r="1597" spans="1:7" x14ac:dyDescent="0.25">
      <c r="A1597" t="s">
        <v>1523</v>
      </c>
      <c r="B1597">
        <v>2016</v>
      </c>
      <c r="C1597">
        <v>12</v>
      </c>
      <c r="D1597">
        <v>116</v>
      </c>
      <c r="E1597">
        <v>7.2</v>
      </c>
      <c r="F1597">
        <v>0.11</v>
      </c>
      <c r="G1597" s="1">
        <v>10184</v>
      </c>
    </row>
    <row r="1598" spans="1:7" x14ac:dyDescent="0.25">
      <c r="A1598" t="s">
        <v>1524</v>
      </c>
      <c r="B1598">
        <v>2016</v>
      </c>
      <c r="C1598">
        <v>15</v>
      </c>
      <c r="D1598">
        <v>81</v>
      </c>
      <c r="E1598">
        <v>6.3</v>
      </c>
      <c r="F1598">
        <v>67.27</v>
      </c>
      <c r="G1598" s="1">
        <v>139497</v>
      </c>
    </row>
    <row r="1599" spans="1:7" x14ac:dyDescent="0.25">
      <c r="A1599" t="s">
        <v>1525</v>
      </c>
      <c r="B1599">
        <v>2016</v>
      </c>
      <c r="C1599">
        <v>12</v>
      </c>
      <c r="D1599">
        <v>105</v>
      </c>
      <c r="E1599">
        <v>5.9</v>
      </c>
      <c r="F1599">
        <v>2.46</v>
      </c>
      <c r="G1599" s="1">
        <v>2888</v>
      </c>
    </row>
    <row r="1600" spans="1:7" x14ac:dyDescent="0.25">
      <c r="A1600" t="s">
        <v>1526</v>
      </c>
      <c r="B1600">
        <v>2016</v>
      </c>
      <c r="C1600">
        <v>15</v>
      </c>
      <c r="D1600">
        <v>115</v>
      </c>
      <c r="E1600">
        <v>7.5</v>
      </c>
      <c r="F1600">
        <v>232.64</v>
      </c>
      <c r="G1600" s="1">
        <v>785811</v>
      </c>
    </row>
    <row r="1601" spans="1:7" x14ac:dyDescent="0.25">
      <c r="A1601" t="s">
        <v>1527</v>
      </c>
      <c r="B1601">
        <v>2016</v>
      </c>
      <c r="C1601">
        <v>15</v>
      </c>
      <c r="D1601">
        <v>118</v>
      </c>
      <c r="E1601">
        <v>8</v>
      </c>
      <c r="F1601">
        <v>51.74</v>
      </c>
      <c r="G1601" s="1">
        <v>246551</v>
      </c>
    </row>
    <row r="1602" spans="1:7" x14ac:dyDescent="0.25">
      <c r="A1602" t="s">
        <v>1528</v>
      </c>
      <c r="B1602">
        <v>2016</v>
      </c>
      <c r="C1602">
        <v>12</v>
      </c>
      <c r="D1602">
        <v>100</v>
      </c>
      <c r="E1602">
        <v>6.7</v>
      </c>
      <c r="F1602">
        <v>13.96</v>
      </c>
      <c r="G1602" s="1">
        <v>82493</v>
      </c>
    </row>
    <row r="1603" spans="1:7" x14ac:dyDescent="0.25">
      <c r="A1603" t="s">
        <v>1529</v>
      </c>
      <c r="B1603">
        <v>2016</v>
      </c>
      <c r="C1603">
        <v>15</v>
      </c>
      <c r="D1603">
        <v>115</v>
      </c>
      <c r="E1603">
        <v>7.2</v>
      </c>
      <c r="F1603">
        <v>12.79</v>
      </c>
      <c r="G1603" s="1">
        <v>169692</v>
      </c>
    </row>
    <row r="1604" spans="1:7" x14ac:dyDescent="0.25">
      <c r="A1604" t="s">
        <v>1530</v>
      </c>
      <c r="B1604">
        <v>2016</v>
      </c>
      <c r="C1604">
        <v>15</v>
      </c>
      <c r="D1604">
        <v>97</v>
      </c>
      <c r="E1604">
        <v>5.4</v>
      </c>
      <c r="F1604">
        <v>2.46</v>
      </c>
      <c r="G1604" s="1">
        <v>6068</v>
      </c>
    </row>
    <row r="1605" spans="1:7" x14ac:dyDescent="0.25">
      <c r="A1605" t="s">
        <v>1531</v>
      </c>
      <c r="B1605">
        <v>2016</v>
      </c>
      <c r="C1605">
        <v>15</v>
      </c>
      <c r="D1605">
        <v>107</v>
      </c>
      <c r="E1605">
        <v>7.1</v>
      </c>
      <c r="F1605">
        <v>61.43</v>
      </c>
      <c r="G1605" s="1">
        <v>178060</v>
      </c>
    </row>
    <row r="1606" spans="1:7" x14ac:dyDescent="0.25">
      <c r="A1606" t="s">
        <v>1534</v>
      </c>
      <c r="B1606">
        <v>2016</v>
      </c>
      <c r="C1606">
        <v>15</v>
      </c>
      <c r="D1606">
        <v>108</v>
      </c>
      <c r="E1606">
        <v>6.1</v>
      </c>
      <c r="F1606">
        <v>2.46</v>
      </c>
      <c r="G1606" s="1">
        <v>1900</v>
      </c>
    </row>
    <row r="1607" spans="1:7" x14ac:dyDescent="0.25">
      <c r="A1607" t="s">
        <v>1535</v>
      </c>
      <c r="B1607">
        <v>2016</v>
      </c>
      <c r="C1607">
        <v>15</v>
      </c>
      <c r="D1607">
        <v>117</v>
      </c>
      <c r="E1607">
        <v>6.3</v>
      </c>
      <c r="F1607">
        <v>55.48</v>
      </c>
      <c r="G1607" s="1">
        <v>91452</v>
      </c>
    </row>
    <row r="1608" spans="1:7" x14ac:dyDescent="0.25">
      <c r="A1608" t="s">
        <v>1541</v>
      </c>
      <c r="B1608">
        <v>2016</v>
      </c>
      <c r="C1608">
        <v>15</v>
      </c>
      <c r="D1608">
        <v>108</v>
      </c>
      <c r="E1608">
        <v>7.4</v>
      </c>
      <c r="F1608">
        <v>3.74</v>
      </c>
      <c r="G1608" s="1">
        <v>92084</v>
      </c>
    </row>
    <row r="1609" spans="1:7" x14ac:dyDescent="0.25">
      <c r="A1609" t="s">
        <v>1542</v>
      </c>
      <c r="B1609">
        <v>2016</v>
      </c>
      <c r="C1609">
        <v>12</v>
      </c>
      <c r="D1609">
        <v>114</v>
      </c>
      <c r="E1609">
        <v>6.7</v>
      </c>
      <c r="F1609">
        <v>0.12</v>
      </c>
      <c r="G1609" s="1">
        <v>6011</v>
      </c>
    </row>
    <row r="1610" spans="1:7" x14ac:dyDescent="0.25">
      <c r="A1610" t="s">
        <v>1543</v>
      </c>
      <c r="B1610">
        <v>2016</v>
      </c>
      <c r="C1610">
        <v>15</v>
      </c>
      <c r="D1610">
        <v>92</v>
      </c>
      <c r="E1610">
        <v>7.4</v>
      </c>
      <c r="F1610">
        <v>0.26</v>
      </c>
      <c r="G1610" s="1">
        <v>6127</v>
      </c>
    </row>
    <row r="1611" spans="1:7" x14ac:dyDescent="0.25">
      <c r="A1611" t="s">
        <v>1544</v>
      </c>
      <c r="B1611">
        <v>2016</v>
      </c>
      <c r="C1611">
        <v>15</v>
      </c>
      <c r="D1611">
        <v>97</v>
      </c>
      <c r="E1611">
        <v>6.8</v>
      </c>
      <c r="F1611">
        <v>31.02</v>
      </c>
      <c r="G1611" s="1">
        <v>103829</v>
      </c>
    </row>
    <row r="1612" spans="1:7" x14ac:dyDescent="0.25">
      <c r="A1612" t="s">
        <v>1547</v>
      </c>
      <c r="B1612">
        <v>2016</v>
      </c>
      <c r="C1612">
        <v>15</v>
      </c>
      <c r="D1612">
        <v>106</v>
      </c>
      <c r="E1612">
        <v>7.9</v>
      </c>
      <c r="F1612">
        <v>3.24</v>
      </c>
      <c r="G1612" s="1">
        <v>99163</v>
      </c>
    </row>
    <row r="1613" spans="1:7" x14ac:dyDescent="0.25">
      <c r="A1613" t="s">
        <v>1548</v>
      </c>
      <c r="B1613">
        <v>2016</v>
      </c>
      <c r="C1613">
        <v>12</v>
      </c>
      <c r="D1613">
        <v>115</v>
      </c>
      <c r="E1613">
        <v>5.6</v>
      </c>
      <c r="F1613">
        <v>54.65</v>
      </c>
      <c r="G1613" s="1">
        <v>206127</v>
      </c>
    </row>
    <row r="1614" spans="1:7" x14ac:dyDescent="0.25">
      <c r="A1614" t="s">
        <v>1549</v>
      </c>
      <c r="B1614">
        <v>2016</v>
      </c>
      <c r="C1614">
        <v>15</v>
      </c>
      <c r="D1614">
        <v>146</v>
      </c>
      <c r="E1614">
        <v>7.4</v>
      </c>
      <c r="F1614">
        <v>0.28999999999999998</v>
      </c>
      <c r="G1614" s="1">
        <v>20521</v>
      </c>
    </row>
    <row r="1615" spans="1:7" x14ac:dyDescent="0.25">
      <c r="A1615" t="s">
        <v>1550</v>
      </c>
      <c r="B1615">
        <v>2016</v>
      </c>
      <c r="C1615">
        <v>15</v>
      </c>
      <c r="D1615">
        <v>107</v>
      </c>
      <c r="E1615">
        <v>6.4</v>
      </c>
      <c r="F1615">
        <v>1.03</v>
      </c>
      <c r="G1615" s="1">
        <v>14773</v>
      </c>
    </row>
    <row r="1616" spans="1:7" x14ac:dyDescent="0.25">
      <c r="A1616" t="s">
        <v>1551</v>
      </c>
      <c r="B1616">
        <v>2016</v>
      </c>
      <c r="C1616">
        <v>15</v>
      </c>
      <c r="D1616">
        <v>80</v>
      </c>
      <c r="E1616">
        <v>7.5</v>
      </c>
      <c r="F1616">
        <v>0.92</v>
      </c>
      <c r="G1616" s="1">
        <v>37644</v>
      </c>
    </row>
    <row r="1617" spans="1:7" x14ac:dyDescent="0.25">
      <c r="A1617" t="s">
        <v>1553</v>
      </c>
      <c r="B1617">
        <v>2016</v>
      </c>
      <c r="C1617">
        <v>15</v>
      </c>
      <c r="D1617">
        <v>98</v>
      </c>
      <c r="E1617">
        <v>5.8</v>
      </c>
      <c r="F1617">
        <v>2.46</v>
      </c>
      <c r="G1617" s="1">
        <v>20047</v>
      </c>
    </row>
    <row r="1618" spans="1:7" x14ac:dyDescent="0.25">
      <c r="A1618" t="s">
        <v>1554</v>
      </c>
      <c r="B1618">
        <v>2016</v>
      </c>
      <c r="C1618">
        <v>15</v>
      </c>
      <c r="D1618">
        <v>132</v>
      </c>
      <c r="E1618">
        <v>6.9</v>
      </c>
      <c r="F1618">
        <v>93.43</v>
      </c>
      <c r="G1618" s="1">
        <v>224047</v>
      </c>
    </row>
    <row r="1619" spans="1:7" x14ac:dyDescent="0.25">
      <c r="A1619" t="s">
        <v>1555</v>
      </c>
      <c r="B1619">
        <v>2016</v>
      </c>
      <c r="C1619">
        <v>15</v>
      </c>
      <c r="D1619">
        <v>124</v>
      </c>
      <c r="E1619">
        <v>7.7</v>
      </c>
      <c r="F1619">
        <v>2.4</v>
      </c>
      <c r="G1619" s="1">
        <v>63634</v>
      </c>
    </row>
    <row r="1620" spans="1:7" x14ac:dyDescent="0.25">
      <c r="A1620" t="s">
        <v>1557</v>
      </c>
      <c r="B1620">
        <v>2016</v>
      </c>
      <c r="C1620">
        <v>15</v>
      </c>
      <c r="D1620">
        <v>119</v>
      </c>
      <c r="E1620">
        <v>7.3</v>
      </c>
      <c r="F1620">
        <v>5.66</v>
      </c>
      <c r="G1620" s="1">
        <v>48389</v>
      </c>
    </row>
    <row r="1621" spans="1:7" x14ac:dyDescent="0.25">
      <c r="A1621" t="s">
        <v>1558</v>
      </c>
      <c r="B1621">
        <v>2016</v>
      </c>
      <c r="C1621">
        <v>15</v>
      </c>
      <c r="D1621">
        <v>91</v>
      </c>
      <c r="E1621">
        <v>5.7</v>
      </c>
      <c r="F1621">
        <v>30.35</v>
      </c>
      <c r="G1621" s="1">
        <v>79710</v>
      </c>
    </row>
    <row r="1622" spans="1:7" x14ac:dyDescent="0.25">
      <c r="A1622" t="s">
        <v>1559</v>
      </c>
      <c r="B1622">
        <v>2016</v>
      </c>
      <c r="C1622">
        <v>12</v>
      </c>
      <c r="D1622">
        <v>129</v>
      </c>
      <c r="E1622">
        <v>6.4</v>
      </c>
      <c r="F1622">
        <v>10.38</v>
      </c>
      <c r="G1622" s="1">
        <v>59182</v>
      </c>
    </row>
    <row r="1623" spans="1:7" x14ac:dyDescent="0.25">
      <c r="A1623" t="s">
        <v>1560</v>
      </c>
      <c r="B1623">
        <v>2016</v>
      </c>
      <c r="C1623">
        <v>15</v>
      </c>
      <c r="D1623">
        <v>107</v>
      </c>
      <c r="E1623">
        <v>6.8</v>
      </c>
      <c r="F1623">
        <v>0.94</v>
      </c>
      <c r="G1623" s="1">
        <v>10913</v>
      </c>
    </row>
    <row r="1624" spans="1:7" x14ac:dyDescent="0.25">
      <c r="A1624" t="s">
        <v>1561</v>
      </c>
      <c r="B1624">
        <v>2016</v>
      </c>
      <c r="C1624">
        <v>15</v>
      </c>
      <c r="D1624">
        <v>87</v>
      </c>
      <c r="E1624">
        <v>5.3</v>
      </c>
      <c r="F1624">
        <v>19.64</v>
      </c>
      <c r="G1624" s="1">
        <v>23931</v>
      </c>
    </row>
    <row r="1625" spans="1:7" x14ac:dyDescent="0.25">
      <c r="A1625" t="s">
        <v>1562</v>
      </c>
      <c r="B1625">
        <v>2016</v>
      </c>
      <c r="C1625">
        <v>15</v>
      </c>
      <c r="D1625">
        <v>139</v>
      </c>
      <c r="E1625">
        <v>7.2</v>
      </c>
      <c r="F1625">
        <v>57.68</v>
      </c>
      <c r="G1625" s="1">
        <v>115118</v>
      </c>
    </row>
    <row r="1626" spans="1:7" x14ac:dyDescent="0.25">
      <c r="A1626" t="s">
        <v>1563</v>
      </c>
      <c r="B1626">
        <v>2016</v>
      </c>
      <c r="C1626">
        <v>15</v>
      </c>
      <c r="D1626">
        <v>99</v>
      </c>
      <c r="E1626">
        <v>7.1</v>
      </c>
      <c r="F1626">
        <v>1.49</v>
      </c>
      <c r="G1626" s="1">
        <v>33452</v>
      </c>
    </row>
    <row r="1627" spans="1:7" x14ac:dyDescent="0.25">
      <c r="A1627" t="s">
        <v>1564</v>
      </c>
      <c r="B1627">
        <v>2016</v>
      </c>
      <c r="C1627">
        <v>12</v>
      </c>
      <c r="D1627">
        <v>122</v>
      </c>
      <c r="E1627">
        <v>7</v>
      </c>
      <c r="F1627">
        <v>158.85</v>
      </c>
      <c r="G1627" s="1">
        <v>255207</v>
      </c>
    </row>
    <row r="1628" spans="1:7" x14ac:dyDescent="0.25">
      <c r="A1628" t="s">
        <v>1565</v>
      </c>
      <c r="B1628">
        <v>2016</v>
      </c>
      <c r="C1628">
        <v>18</v>
      </c>
      <c r="D1628">
        <v>133</v>
      </c>
      <c r="E1628">
        <v>7.8</v>
      </c>
      <c r="F1628">
        <v>532.17999999999995</v>
      </c>
      <c r="G1628" s="1">
        <v>672386</v>
      </c>
    </row>
    <row r="1629" spans="1:7" x14ac:dyDescent="0.25">
      <c r="A1629" t="s">
        <v>1566</v>
      </c>
      <c r="B1629">
        <v>2016</v>
      </c>
      <c r="C1629">
        <v>18</v>
      </c>
      <c r="D1629">
        <v>87</v>
      </c>
      <c r="E1629">
        <v>5.3</v>
      </c>
      <c r="F1629">
        <v>4.79</v>
      </c>
      <c r="G1629" s="1">
        <v>13978</v>
      </c>
    </row>
    <row r="1630" spans="1:7" x14ac:dyDescent="0.25">
      <c r="A1630" t="s">
        <v>1567</v>
      </c>
      <c r="B1630">
        <v>2016</v>
      </c>
      <c r="C1630">
        <v>15</v>
      </c>
      <c r="D1630">
        <v>100</v>
      </c>
      <c r="E1630">
        <v>7.8</v>
      </c>
      <c r="F1630">
        <v>0.26</v>
      </c>
      <c r="G1630" s="1">
        <v>63438</v>
      </c>
    </row>
    <row r="1631" spans="1:7" x14ac:dyDescent="0.25">
      <c r="A1631" t="s">
        <v>1568</v>
      </c>
      <c r="B1631">
        <v>2016</v>
      </c>
      <c r="C1631">
        <v>15</v>
      </c>
      <c r="D1631">
        <v>120</v>
      </c>
      <c r="E1631">
        <v>6.7</v>
      </c>
      <c r="F1631">
        <v>7.23</v>
      </c>
      <c r="G1631" s="1">
        <v>67930</v>
      </c>
    </row>
    <row r="1632" spans="1:7" x14ac:dyDescent="0.25">
      <c r="A1632" t="s">
        <v>1569</v>
      </c>
      <c r="B1632">
        <v>2016</v>
      </c>
      <c r="C1632">
        <v>15</v>
      </c>
      <c r="D1632">
        <v>102</v>
      </c>
      <c r="E1632">
        <v>7.6</v>
      </c>
      <c r="F1632">
        <v>27.01</v>
      </c>
      <c r="G1632" s="1">
        <v>245508</v>
      </c>
    </row>
    <row r="1633" spans="1:7" x14ac:dyDescent="0.25">
      <c r="A1633" t="s">
        <v>1570</v>
      </c>
      <c r="B1633">
        <v>2016</v>
      </c>
      <c r="C1633">
        <v>15</v>
      </c>
      <c r="D1633">
        <v>100</v>
      </c>
      <c r="E1633">
        <v>8.1999999999999993</v>
      </c>
      <c r="F1633">
        <v>2.46</v>
      </c>
      <c r="G1633" s="1">
        <v>37112</v>
      </c>
    </row>
    <row r="1634" spans="1:7" x14ac:dyDescent="0.25">
      <c r="A1634" t="s">
        <v>1571</v>
      </c>
      <c r="B1634">
        <v>2016</v>
      </c>
      <c r="C1634">
        <v>15</v>
      </c>
      <c r="D1634">
        <v>93</v>
      </c>
      <c r="E1634">
        <v>5.8</v>
      </c>
      <c r="F1634">
        <v>2.46</v>
      </c>
      <c r="G1634" s="1">
        <v>4411</v>
      </c>
    </row>
    <row r="1635" spans="1:7" x14ac:dyDescent="0.25">
      <c r="A1635" t="s">
        <v>1572</v>
      </c>
      <c r="B1635">
        <v>2016</v>
      </c>
      <c r="C1635">
        <v>15</v>
      </c>
      <c r="D1635">
        <v>96</v>
      </c>
      <c r="E1635">
        <v>5.8</v>
      </c>
      <c r="F1635">
        <v>2.46</v>
      </c>
      <c r="G1635" s="1">
        <v>4651</v>
      </c>
    </row>
    <row r="1636" spans="1:7" x14ac:dyDescent="0.25">
      <c r="A1636" t="s">
        <v>1573</v>
      </c>
      <c r="B1636">
        <v>2016</v>
      </c>
      <c r="C1636">
        <v>15</v>
      </c>
      <c r="D1636">
        <v>108</v>
      </c>
      <c r="E1636">
        <v>6.1</v>
      </c>
      <c r="F1636">
        <v>0.54</v>
      </c>
      <c r="G1636" s="1">
        <v>17804</v>
      </c>
    </row>
    <row r="1637" spans="1:7" x14ac:dyDescent="0.25">
      <c r="A1637" t="s">
        <v>1574</v>
      </c>
      <c r="B1637">
        <v>2016</v>
      </c>
      <c r="C1637">
        <v>15</v>
      </c>
      <c r="D1637">
        <v>103</v>
      </c>
      <c r="E1637">
        <v>7.3</v>
      </c>
      <c r="F1637">
        <v>0.04</v>
      </c>
      <c r="G1637" s="1">
        <v>32998</v>
      </c>
    </row>
    <row r="1638" spans="1:7" x14ac:dyDescent="0.25">
      <c r="A1638" t="s">
        <v>1577</v>
      </c>
      <c r="B1638">
        <v>2016</v>
      </c>
      <c r="C1638">
        <v>15</v>
      </c>
      <c r="D1638">
        <v>123</v>
      </c>
      <c r="E1638">
        <v>7</v>
      </c>
      <c r="F1638">
        <v>7.7</v>
      </c>
      <c r="G1638" s="1">
        <v>36002</v>
      </c>
    </row>
    <row r="1639" spans="1:7" x14ac:dyDescent="0.25">
      <c r="A1639" t="s">
        <v>1578</v>
      </c>
      <c r="B1639">
        <v>2016</v>
      </c>
      <c r="C1639">
        <v>18</v>
      </c>
      <c r="D1639">
        <v>113</v>
      </c>
      <c r="E1639">
        <v>6.5</v>
      </c>
      <c r="F1639">
        <v>0.15</v>
      </c>
      <c r="G1639" s="1">
        <v>10201</v>
      </c>
    </row>
    <row r="1640" spans="1:7" x14ac:dyDescent="0.25">
      <c r="A1640" t="s">
        <v>1579</v>
      </c>
      <c r="B1640">
        <v>2016</v>
      </c>
      <c r="C1640">
        <v>15</v>
      </c>
      <c r="D1640">
        <v>111</v>
      </c>
      <c r="E1640">
        <v>7.4</v>
      </c>
      <c r="F1640">
        <v>27.85</v>
      </c>
      <c r="G1640" s="1">
        <v>324773</v>
      </c>
    </row>
    <row r="1641" spans="1:7" x14ac:dyDescent="0.25">
      <c r="A1641" t="s">
        <v>1580</v>
      </c>
      <c r="B1641">
        <v>2016</v>
      </c>
      <c r="C1641">
        <v>15</v>
      </c>
      <c r="D1641">
        <v>110</v>
      </c>
      <c r="E1641">
        <v>6</v>
      </c>
      <c r="F1641">
        <v>2.46</v>
      </c>
      <c r="G1641" s="1">
        <v>4433</v>
      </c>
    </row>
    <row r="1642" spans="1:7" x14ac:dyDescent="0.25">
      <c r="A1642" t="s">
        <v>1581</v>
      </c>
      <c r="B1642">
        <v>2016</v>
      </c>
      <c r="C1642">
        <v>15</v>
      </c>
      <c r="D1642">
        <v>128</v>
      </c>
      <c r="E1642">
        <v>8</v>
      </c>
      <c r="F1642">
        <v>151.1</v>
      </c>
      <c r="G1642" s="1">
        <v>640972</v>
      </c>
    </row>
    <row r="1643" spans="1:7" x14ac:dyDescent="0.25">
      <c r="A1643" t="s">
        <v>1582</v>
      </c>
      <c r="B1643">
        <v>2016</v>
      </c>
      <c r="C1643">
        <v>15</v>
      </c>
      <c r="D1643">
        <v>97</v>
      </c>
      <c r="E1643">
        <v>6.8</v>
      </c>
      <c r="F1643">
        <v>2.46</v>
      </c>
      <c r="G1643" s="1">
        <v>24823</v>
      </c>
    </row>
    <row r="1644" spans="1:7" x14ac:dyDescent="0.25">
      <c r="A1644" t="s">
        <v>1583</v>
      </c>
      <c r="B1644">
        <v>2016</v>
      </c>
      <c r="C1644">
        <v>15</v>
      </c>
      <c r="D1644">
        <v>118</v>
      </c>
      <c r="E1644">
        <v>7.3</v>
      </c>
      <c r="F1644">
        <v>2.14</v>
      </c>
      <c r="G1644" s="1">
        <v>87026</v>
      </c>
    </row>
    <row r="1645" spans="1:7" x14ac:dyDescent="0.25">
      <c r="A1645" t="s">
        <v>1584</v>
      </c>
      <c r="B1645">
        <v>2016</v>
      </c>
      <c r="C1645">
        <v>15</v>
      </c>
      <c r="D1645">
        <v>133</v>
      </c>
      <c r="E1645">
        <v>7.2</v>
      </c>
      <c r="F1645">
        <v>12.55</v>
      </c>
      <c r="G1645" s="1">
        <v>59330</v>
      </c>
    </row>
    <row r="1646" spans="1:7" x14ac:dyDescent="0.25">
      <c r="A1646" t="s">
        <v>1585</v>
      </c>
      <c r="B1646">
        <v>2016</v>
      </c>
      <c r="C1646">
        <v>15</v>
      </c>
      <c r="D1646">
        <v>127</v>
      </c>
      <c r="E1646">
        <v>5.7</v>
      </c>
      <c r="F1646">
        <v>3.65</v>
      </c>
      <c r="G1646" s="1">
        <v>11531</v>
      </c>
    </row>
    <row r="1647" spans="1:7" x14ac:dyDescent="0.25">
      <c r="A1647" t="s">
        <v>1586</v>
      </c>
      <c r="B1647">
        <v>2016</v>
      </c>
      <c r="C1647">
        <v>15</v>
      </c>
      <c r="D1647">
        <v>105</v>
      </c>
      <c r="E1647">
        <v>6.6</v>
      </c>
      <c r="F1647">
        <v>0.03</v>
      </c>
      <c r="G1647" s="1">
        <v>1442</v>
      </c>
    </row>
    <row r="1648" spans="1:7" x14ac:dyDescent="0.25">
      <c r="A1648" t="s">
        <v>1587</v>
      </c>
      <c r="B1648">
        <v>2016</v>
      </c>
      <c r="C1648">
        <v>18</v>
      </c>
      <c r="D1648">
        <v>105</v>
      </c>
      <c r="E1648">
        <v>5.8</v>
      </c>
      <c r="F1648">
        <v>2.46</v>
      </c>
      <c r="G1648" s="1">
        <v>1381</v>
      </c>
    </row>
    <row r="1649" spans="1:7" x14ac:dyDescent="0.25">
      <c r="A1649" t="s">
        <v>1588</v>
      </c>
      <c r="B1649">
        <v>2016</v>
      </c>
      <c r="C1649">
        <v>15</v>
      </c>
      <c r="D1649">
        <v>95</v>
      </c>
      <c r="E1649">
        <v>7.9</v>
      </c>
      <c r="F1649">
        <v>2.46</v>
      </c>
      <c r="G1649" s="1">
        <v>3551</v>
      </c>
    </row>
    <row r="1650" spans="1:7" x14ac:dyDescent="0.25">
      <c r="A1650" t="s">
        <v>1589</v>
      </c>
      <c r="B1650">
        <v>2016</v>
      </c>
      <c r="C1650">
        <v>15</v>
      </c>
      <c r="D1650">
        <v>109</v>
      </c>
      <c r="E1650">
        <v>5.7</v>
      </c>
      <c r="F1650">
        <v>2.46</v>
      </c>
      <c r="G1650" s="1">
        <v>1337</v>
      </c>
    </row>
    <row r="1651" spans="1:7" x14ac:dyDescent="0.25">
      <c r="A1651" t="s">
        <v>1592</v>
      </c>
      <c r="B1651">
        <v>2016</v>
      </c>
      <c r="C1651">
        <v>15</v>
      </c>
      <c r="D1651">
        <v>100</v>
      </c>
      <c r="E1651">
        <v>6.5</v>
      </c>
      <c r="F1651">
        <v>0.01</v>
      </c>
      <c r="G1651" s="1">
        <v>2396</v>
      </c>
    </row>
    <row r="1652" spans="1:7" x14ac:dyDescent="0.25">
      <c r="A1652" t="s">
        <v>1594</v>
      </c>
      <c r="B1652">
        <v>2016</v>
      </c>
      <c r="C1652">
        <v>15</v>
      </c>
      <c r="D1652">
        <v>107</v>
      </c>
      <c r="E1652">
        <v>5.5</v>
      </c>
      <c r="F1652">
        <v>26.83</v>
      </c>
      <c r="G1652" s="1">
        <v>99163</v>
      </c>
    </row>
    <row r="1653" spans="1:7" x14ac:dyDescent="0.25">
      <c r="A1653" t="s">
        <v>1595</v>
      </c>
      <c r="B1653">
        <v>2016</v>
      </c>
      <c r="C1653">
        <v>18</v>
      </c>
      <c r="D1653">
        <v>92</v>
      </c>
      <c r="E1653">
        <v>5.4</v>
      </c>
      <c r="F1653">
        <v>2.46</v>
      </c>
      <c r="G1653" s="1">
        <v>8473</v>
      </c>
    </row>
    <row r="1654" spans="1:7" x14ac:dyDescent="0.25">
      <c r="A1654" t="s">
        <v>1597</v>
      </c>
      <c r="B1654">
        <v>2016</v>
      </c>
      <c r="C1654">
        <v>12</v>
      </c>
      <c r="D1654">
        <v>111</v>
      </c>
      <c r="E1654">
        <v>6.9</v>
      </c>
      <c r="F1654">
        <v>3.9</v>
      </c>
      <c r="G1654" s="1">
        <v>16816</v>
      </c>
    </row>
    <row r="1655" spans="1:7" x14ac:dyDescent="0.25">
      <c r="A1655" t="s">
        <v>1598</v>
      </c>
      <c r="B1655">
        <v>2016</v>
      </c>
      <c r="C1655">
        <v>15</v>
      </c>
      <c r="D1655">
        <v>148</v>
      </c>
      <c r="E1655">
        <v>7</v>
      </c>
      <c r="F1655">
        <v>2.46</v>
      </c>
      <c r="G1655" s="1">
        <v>44180</v>
      </c>
    </row>
    <row r="1656" spans="1:7" x14ac:dyDescent="0.25">
      <c r="A1656" t="s">
        <v>1599</v>
      </c>
      <c r="B1656">
        <v>2016</v>
      </c>
      <c r="C1656">
        <v>15</v>
      </c>
      <c r="D1656">
        <v>95</v>
      </c>
      <c r="E1656">
        <v>4.7</v>
      </c>
      <c r="F1656">
        <v>2.46</v>
      </c>
      <c r="G1656" s="1">
        <v>9114</v>
      </c>
    </row>
    <row r="1657" spans="1:7" x14ac:dyDescent="0.25">
      <c r="A1657" t="s">
        <v>1600</v>
      </c>
      <c r="B1657">
        <v>2016</v>
      </c>
      <c r="C1657">
        <v>15</v>
      </c>
      <c r="D1657">
        <v>106</v>
      </c>
      <c r="E1657">
        <v>5.8</v>
      </c>
      <c r="F1657">
        <v>2.46</v>
      </c>
      <c r="G1657" s="1">
        <v>20772</v>
      </c>
    </row>
    <row r="1658" spans="1:7" x14ac:dyDescent="0.25">
      <c r="A1658" t="s">
        <v>1603</v>
      </c>
      <c r="B1658">
        <v>2016</v>
      </c>
      <c r="C1658">
        <v>15</v>
      </c>
      <c r="D1658">
        <v>90</v>
      </c>
      <c r="E1658">
        <v>6.2</v>
      </c>
      <c r="F1658">
        <v>2.46</v>
      </c>
      <c r="G1658" s="1">
        <v>3937</v>
      </c>
    </row>
    <row r="1659" spans="1:7" x14ac:dyDescent="0.25">
      <c r="A1659" t="s">
        <v>1605</v>
      </c>
      <c r="B1659">
        <v>2016</v>
      </c>
      <c r="C1659">
        <v>12</v>
      </c>
      <c r="D1659">
        <v>124</v>
      </c>
      <c r="E1659">
        <v>7.1</v>
      </c>
      <c r="F1659">
        <v>40.1</v>
      </c>
      <c r="G1659" s="1">
        <v>165409</v>
      </c>
    </row>
    <row r="1660" spans="1:7" x14ac:dyDescent="0.25">
      <c r="A1660" t="s">
        <v>1607</v>
      </c>
      <c r="B1660">
        <v>2016</v>
      </c>
      <c r="C1660">
        <v>15</v>
      </c>
      <c r="D1660">
        <v>90</v>
      </c>
      <c r="E1660">
        <v>6.6</v>
      </c>
      <c r="F1660">
        <v>0</v>
      </c>
      <c r="G1660" s="1">
        <v>1799</v>
      </c>
    </row>
    <row r="1661" spans="1:7" x14ac:dyDescent="0.25">
      <c r="A1661" t="s">
        <v>1609</v>
      </c>
      <c r="B1661">
        <v>2016</v>
      </c>
      <c r="C1661">
        <v>18</v>
      </c>
      <c r="D1661">
        <v>86</v>
      </c>
      <c r="E1661">
        <v>5.4</v>
      </c>
      <c r="F1661">
        <v>2.46</v>
      </c>
      <c r="G1661" s="1">
        <v>1179</v>
      </c>
    </row>
    <row r="1662" spans="1:7" x14ac:dyDescent="0.25">
      <c r="A1662" t="s">
        <v>1613</v>
      </c>
      <c r="B1662">
        <v>2016</v>
      </c>
      <c r="C1662">
        <v>15</v>
      </c>
      <c r="D1662">
        <v>123</v>
      </c>
      <c r="E1662">
        <v>6.5</v>
      </c>
      <c r="F1662">
        <v>24.25</v>
      </c>
      <c r="G1662" s="1">
        <v>80395</v>
      </c>
    </row>
    <row r="1663" spans="1:7" x14ac:dyDescent="0.25">
      <c r="A1663" t="s">
        <v>1615</v>
      </c>
      <c r="B1663">
        <v>2016</v>
      </c>
      <c r="C1663">
        <v>18</v>
      </c>
      <c r="D1663">
        <v>111</v>
      </c>
      <c r="E1663">
        <v>6.2</v>
      </c>
      <c r="F1663">
        <v>60.32</v>
      </c>
      <c r="G1663" s="1">
        <v>121071</v>
      </c>
    </row>
    <row r="1664" spans="1:7" x14ac:dyDescent="0.25">
      <c r="A1664" t="s">
        <v>1616</v>
      </c>
      <c r="B1664">
        <v>2016</v>
      </c>
      <c r="C1664">
        <v>15</v>
      </c>
      <c r="D1664">
        <v>94</v>
      </c>
      <c r="E1664">
        <v>5.5</v>
      </c>
      <c r="F1664">
        <v>2.46</v>
      </c>
      <c r="G1664" s="1">
        <v>13855</v>
      </c>
    </row>
    <row r="1665" spans="1:7" x14ac:dyDescent="0.25">
      <c r="A1665" t="s">
        <v>1617</v>
      </c>
      <c r="B1665">
        <v>2016</v>
      </c>
      <c r="C1665">
        <v>15</v>
      </c>
      <c r="D1665">
        <v>103</v>
      </c>
      <c r="E1665">
        <v>5.9</v>
      </c>
      <c r="F1665">
        <v>45.54</v>
      </c>
      <c r="G1665" s="1">
        <v>143539</v>
      </c>
    </row>
    <row r="1666" spans="1:7" x14ac:dyDescent="0.25">
      <c r="A1666" t="s">
        <v>1618</v>
      </c>
      <c r="B1666">
        <v>2016</v>
      </c>
      <c r="C1666">
        <v>15</v>
      </c>
      <c r="D1666">
        <v>84</v>
      </c>
      <c r="E1666">
        <v>6.3</v>
      </c>
      <c r="F1666">
        <v>0.01</v>
      </c>
      <c r="G1666" s="1">
        <v>5298</v>
      </c>
    </row>
    <row r="1667" spans="1:7" x14ac:dyDescent="0.25">
      <c r="A1667" t="s">
        <v>1622</v>
      </c>
      <c r="B1667">
        <v>2016</v>
      </c>
      <c r="C1667">
        <v>15</v>
      </c>
      <c r="D1667">
        <v>80</v>
      </c>
      <c r="E1667">
        <v>7.3</v>
      </c>
      <c r="F1667">
        <v>0.01</v>
      </c>
      <c r="G1667" s="1">
        <v>19880</v>
      </c>
    </row>
    <row r="1668" spans="1:7" x14ac:dyDescent="0.25">
      <c r="A1668" t="s">
        <v>1623</v>
      </c>
      <c r="B1668">
        <v>2016</v>
      </c>
      <c r="C1668">
        <v>15</v>
      </c>
      <c r="D1668">
        <v>77</v>
      </c>
      <c r="E1668">
        <v>6.9</v>
      </c>
      <c r="F1668">
        <v>0.01</v>
      </c>
      <c r="G1668" s="1">
        <v>2090</v>
      </c>
    </row>
    <row r="1669" spans="1:7" x14ac:dyDescent="0.25">
      <c r="A1669" t="s">
        <v>1627</v>
      </c>
      <c r="B1669">
        <v>2016</v>
      </c>
      <c r="C1669">
        <v>15</v>
      </c>
      <c r="D1669">
        <v>133</v>
      </c>
      <c r="E1669">
        <v>7.3</v>
      </c>
      <c r="F1669">
        <v>31.89</v>
      </c>
      <c r="G1669" s="1">
        <v>110160</v>
      </c>
    </row>
    <row r="1670" spans="1:7" x14ac:dyDescent="0.25">
      <c r="A1670" t="s">
        <v>1629</v>
      </c>
      <c r="B1670">
        <v>2016</v>
      </c>
      <c r="C1670">
        <v>15</v>
      </c>
      <c r="D1670">
        <v>87</v>
      </c>
      <c r="E1670">
        <v>6.4</v>
      </c>
      <c r="F1670">
        <v>2.46</v>
      </c>
      <c r="G1670" s="1">
        <v>1912</v>
      </c>
    </row>
    <row r="1671" spans="1:7" x14ac:dyDescent="0.25">
      <c r="A1671" t="s">
        <v>1630</v>
      </c>
      <c r="B1671">
        <v>2016</v>
      </c>
      <c r="C1671">
        <v>15</v>
      </c>
      <c r="D1671">
        <v>105</v>
      </c>
      <c r="E1671">
        <v>6.1</v>
      </c>
      <c r="F1671">
        <v>1.31</v>
      </c>
      <c r="G1671" s="1">
        <v>42391</v>
      </c>
    </row>
    <row r="1672" spans="1:7" x14ac:dyDescent="0.25">
      <c r="A1672" s="3">
        <v>7.9166666666666663E-2</v>
      </c>
      <c r="B1672">
        <v>2016</v>
      </c>
      <c r="C1672">
        <v>15</v>
      </c>
      <c r="D1672">
        <v>106</v>
      </c>
      <c r="E1672">
        <v>6.5</v>
      </c>
      <c r="F1672">
        <v>2.46</v>
      </c>
      <c r="G1672" s="1">
        <v>1681</v>
      </c>
    </row>
    <row r="1673" spans="1:7" x14ac:dyDescent="0.25">
      <c r="A1673" t="s">
        <v>1631</v>
      </c>
      <c r="B1673">
        <v>2016</v>
      </c>
      <c r="C1673">
        <v>15</v>
      </c>
      <c r="D1673">
        <v>123</v>
      </c>
      <c r="E1673">
        <v>7.4</v>
      </c>
      <c r="F1673">
        <v>2.46</v>
      </c>
      <c r="G1673" s="1">
        <v>4737</v>
      </c>
    </row>
    <row r="1674" spans="1:7" x14ac:dyDescent="0.25">
      <c r="A1674" t="s">
        <v>1634</v>
      </c>
      <c r="B1674">
        <v>2016</v>
      </c>
      <c r="C1674">
        <v>12</v>
      </c>
      <c r="D1674">
        <v>88</v>
      </c>
      <c r="E1674">
        <v>6.5</v>
      </c>
      <c r="F1674">
        <v>2.46</v>
      </c>
      <c r="G1674" s="1">
        <v>4217</v>
      </c>
    </row>
    <row r="1675" spans="1:7" x14ac:dyDescent="0.25">
      <c r="A1675" t="s">
        <v>1636</v>
      </c>
      <c r="B1675">
        <v>2016</v>
      </c>
      <c r="C1675">
        <v>15</v>
      </c>
      <c r="D1675">
        <v>105</v>
      </c>
      <c r="E1675">
        <v>6.6</v>
      </c>
      <c r="F1675">
        <v>2.46</v>
      </c>
      <c r="G1675" s="1">
        <v>2672</v>
      </c>
    </row>
    <row r="1676" spans="1:7" x14ac:dyDescent="0.25">
      <c r="A1676" t="s">
        <v>1637</v>
      </c>
      <c r="B1676">
        <v>2016</v>
      </c>
      <c r="C1676">
        <v>15</v>
      </c>
      <c r="D1676">
        <v>99</v>
      </c>
      <c r="E1676">
        <v>7.2</v>
      </c>
      <c r="F1676">
        <v>2.46</v>
      </c>
      <c r="G1676" s="1">
        <v>5554</v>
      </c>
    </row>
    <row r="1677" spans="1:7" x14ac:dyDescent="0.25">
      <c r="A1677" t="s">
        <v>1639</v>
      </c>
      <c r="B1677">
        <v>2016</v>
      </c>
      <c r="C1677">
        <v>15</v>
      </c>
      <c r="D1677">
        <v>173</v>
      </c>
      <c r="E1677">
        <v>7.3</v>
      </c>
      <c r="F1677">
        <v>2.46</v>
      </c>
      <c r="G1677" s="1">
        <v>5604</v>
      </c>
    </row>
    <row r="1678" spans="1:7" x14ac:dyDescent="0.25">
      <c r="A1678" t="s">
        <v>1640</v>
      </c>
      <c r="B1678">
        <v>2016</v>
      </c>
      <c r="C1678">
        <v>12</v>
      </c>
      <c r="D1678">
        <v>130</v>
      </c>
      <c r="E1678">
        <v>6.4</v>
      </c>
      <c r="F1678">
        <v>0.03</v>
      </c>
      <c r="G1678" s="1">
        <v>5225</v>
      </c>
    </row>
    <row r="1679" spans="1:7" x14ac:dyDescent="0.25">
      <c r="A1679" t="s">
        <v>1641</v>
      </c>
      <c r="B1679">
        <v>2016</v>
      </c>
      <c r="C1679">
        <v>15</v>
      </c>
      <c r="D1679">
        <v>120</v>
      </c>
      <c r="E1679">
        <v>6.2</v>
      </c>
      <c r="F1679">
        <v>0.23</v>
      </c>
      <c r="G1679" s="1">
        <v>19042</v>
      </c>
    </row>
    <row r="1680" spans="1:7" x14ac:dyDescent="0.25">
      <c r="A1680" t="s">
        <v>1643</v>
      </c>
      <c r="B1680">
        <v>2016</v>
      </c>
      <c r="C1680">
        <v>15</v>
      </c>
      <c r="D1680">
        <v>93</v>
      </c>
      <c r="E1680">
        <v>7.9</v>
      </c>
      <c r="F1680">
        <v>7.12</v>
      </c>
      <c r="G1680" s="1">
        <v>23109</v>
      </c>
    </row>
    <row r="1681" spans="1:7" x14ac:dyDescent="0.25">
      <c r="A1681" t="s">
        <v>1644</v>
      </c>
      <c r="B1681">
        <v>2016</v>
      </c>
      <c r="C1681">
        <v>15</v>
      </c>
      <c r="D1681">
        <v>117</v>
      </c>
      <c r="E1681">
        <v>6.3</v>
      </c>
      <c r="F1681">
        <v>0.05</v>
      </c>
      <c r="G1681" s="1">
        <v>3690</v>
      </c>
    </row>
    <row r="1682" spans="1:7" x14ac:dyDescent="0.25">
      <c r="A1682" t="s">
        <v>1646</v>
      </c>
      <c r="B1682">
        <v>2016</v>
      </c>
      <c r="C1682">
        <v>15</v>
      </c>
      <c r="D1682">
        <v>107</v>
      </c>
      <c r="E1682">
        <v>6.8</v>
      </c>
      <c r="F1682">
        <v>0.61</v>
      </c>
      <c r="G1682" s="1">
        <v>14897</v>
      </c>
    </row>
    <row r="1683" spans="1:7" x14ac:dyDescent="0.25">
      <c r="A1683" t="s">
        <v>1647</v>
      </c>
      <c r="B1683">
        <v>2016</v>
      </c>
      <c r="C1683">
        <v>15</v>
      </c>
      <c r="D1683">
        <v>92</v>
      </c>
      <c r="E1683">
        <v>4.5999999999999996</v>
      </c>
      <c r="F1683">
        <v>3.82</v>
      </c>
      <c r="G1683" s="1">
        <v>20366</v>
      </c>
    </row>
    <row r="1684" spans="1:7" x14ac:dyDescent="0.25">
      <c r="A1684" t="s">
        <v>1648</v>
      </c>
      <c r="B1684">
        <v>2016</v>
      </c>
      <c r="C1684">
        <v>15</v>
      </c>
      <c r="D1684">
        <v>90</v>
      </c>
      <c r="E1684">
        <v>7.3</v>
      </c>
      <c r="F1684">
        <v>2.46</v>
      </c>
      <c r="G1684">
        <v>419</v>
      </c>
    </row>
    <row r="1685" spans="1:7" x14ac:dyDescent="0.25">
      <c r="A1685" t="s">
        <v>1649</v>
      </c>
      <c r="B1685">
        <v>2016</v>
      </c>
      <c r="C1685">
        <v>15</v>
      </c>
      <c r="D1685">
        <v>83</v>
      </c>
      <c r="E1685">
        <v>6.4</v>
      </c>
      <c r="F1685">
        <v>0</v>
      </c>
      <c r="G1685" s="1">
        <v>2768</v>
      </c>
    </row>
    <row r="1686" spans="1:7" x14ac:dyDescent="0.25">
      <c r="A1686" t="s">
        <v>1660</v>
      </c>
      <c r="B1686">
        <v>2016</v>
      </c>
      <c r="C1686">
        <v>15</v>
      </c>
      <c r="D1686">
        <v>137</v>
      </c>
      <c r="E1686">
        <v>5.8</v>
      </c>
      <c r="F1686">
        <v>0.01</v>
      </c>
      <c r="G1686">
        <v>590</v>
      </c>
    </row>
    <row r="1687" spans="1:7" x14ac:dyDescent="0.25">
      <c r="A1687" t="s">
        <v>1661</v>
      </c>
      <c r="B1687">
        <v>2016</v>
      </c>
      <c r="C1687">
        <v>15</v>
      </c>
      <c r="D1687">
        <v>88</v>
      </c>
      <c r="E1687">
        <v>5.9</v>
      </c>
      <c r="F1687">
        <v>2.46</v>
      </c>
      <c r="G1687" s="1">
        <v>6435</v>
      </c>
    </row>
    <row r="1688" spans="1:7" x14ac:dyDescent="0.25">
      <c r="A1688" t="s">
        <v>1663</v>
      </c>
      <c r="B1688">
        <v>2016</v>
      </c>
      <c r="C1688">
        <v>15</v>
      </c>
      <c r="D1688">
        <v>113</v>
      </c>
      <c r="E1688">
        <v>7.5</v>
      </c>
      <c r="F1688">
        <v>0.88</v>
      </c>
      <c r="G1688" s="1">
        <v>16951</v>
      </c>
    </row>
    <row r="1689" spans="1:7" x14ac:dyDescent="0.25">
      <c r="A1689" t="s">
        <v>1667</v>
      </c>
      <c r="B1689">
        <v>2016</v>
      </c>
      <c r="C1689">
        <v>15</v>
      </c>
      <c r="D1689">
        <v>90</v>
      </c>
      <c r="E1689">
        <v>5.9</v>
      </c>
      <c r="F1689">
        <v>0.15</v>
      </c>
      <c r="G1689" s="1">
        <v>40385</v>
      </c>
    </row>
    <row r="1690" spans="1:7" x14ac:dyDescent="0.25">
      <c r="A1690" t="s">
        <v>1669</v>
      </c>
      <c r="B1690">
        <v>2016</v>
      </c>
      <c r="C1690">
        <v>15</v>
      </c>
      <c r="D1690">
        <v>146</v>
      </c>
      <c r="E1690">
        <v>6.4</v>
      </c>
      <c r="F1690">
        <v>8.11</v>
      </c>
      <c r="G1690" s="1">
        <v>106960</v>
      </c>
    </row>
    <row r="1691" spans="1:7" x14ac:dyDescent="0.25">
      <c r="A1691" t="s">
        <v>1678</v>
      </c>
      <c r="B1691">
        <v>2016</v>
      </c>
      <c r="C1691">
        <v>12</v>
      </c>
      <c r="D1691">
        <v>106</v>
      </c>
      <c r="E1691">
        <v>6.7</v>
      </c>
      <c r="F1691">
        <v>0.08</v>
      </c>
      <c r="G1691" s="1">
        <v>2582</v>
      </c>
    </row>
    <row r="1692" spans="1:7" x14ac:dyDescent="0.25">
      <c r="A1692" t="s">
        <v>1680</v>
      </c>
      <c r="B1692">
        <v>2016</v>
      </c>
      <c r="C1692">
        <v>15</v>
      </c>
      <c r="D1692">
        <v>108</v>
      </c>
      <c r="E1692">
        <v>6.5</v>
      </c>
      <c r="F1692">
        <v>2.46</v>
      </c>
      <c r="G1692" s="1">
        <v>2708</v>
      </c>
    </row>
    <row r="1693" spans="1:7" x14ac:dyDescent="0.25">
      <c r="A1693" t="s">
        <v>1684</v>
      </c>
      <c r="B1693">
        <v>2016</v>
      </c>
      <c r="C1693">
        <v>15</v>
      </c>
      <c r="D1693">
        <v>133</v>
      </c>
      <c r="E1693">
        <v>6.1</v>
      </c>
      <c r="F1693">
        <v>2.46</v>
      </c>
      <c r="G1693" s="1">
        <v>177780</v>
      </c>
    </row>
    <row r="1694" spans="1:7" x14ac:dyDescent="0.25">
      <c r="A1694" t="s">
        <v>1685</v>
      </c>
      <c r="B1694">
        <v>2016</v>
      </c>
      <c r="C1694">
        <v>15</v>
      </c>
      <c r="D1694">
        <v>141</v>
      </c>
      <c r="E1694">
        <v>6.6</v>
      </c>
      <c r="F1694">
        <v>8.58</v>
      </c>
      <c r="G1694" s="1">
        <v>97281</v>
      </c>
    </row>
    <row r="1695" spans="1:7" x14ac:dyDescent="0.25">
      <c r="A1695" t="s">
        <v>1686</v>
      </c>
      <c r="B1695">
        <v>2016</v>
      </c>
      <c r="C1695">
        <v>15</v>
      </c>
      <c r="D1695">
        <v>100</v>
      </c>
      <c r="E1695">
        <v>5.6</v>
      </c>
      <c r="F1695">
        <v>2.46</v>
      </c>
      <c r="G1695">
        <v>881</v>
      </c>
    </row>
    <row r="1696" spans="1:7" x14ac:dyDescent="0.25">
      <c r="A1696" t="s">
        <v>1688</v>
      </c>
      <c r="B1696">
        <v>2016</v>
      </c>
      <c r="C1696">
        <v>15</v>
      </c>
      <c r="D1696">
        <v>89</v>
      </c>
      <c r="E1696">
        <v>6.3</v>
      </c>
      <c r="F1696">
        <v>2.46</v>
      </c>
      <c r="G1696" s="1">
        <v>13606</v>
      </c>
    </row>
    <row r="1697" spans="1:7" x14ac:dyDescent="0.25">
      <c r="A1697" t="s">
        <v>1689</v>
      </c>
      <c r="B1697">
        <v>2016</v>
      </c>
      <c r="C1697">
        <v>15</v>
      </c>
      <c r="D1697">
        <v>108</v>
      </c>
      <c r="E1697">
        <v>6.3</v>
      </c>
      <c r="F1697">
        <v>2.46</v>
      </c>
      <c r="G1697" s="1">
        <v>4776</v>
      </c>
    </row>
    <row r="1698" spans="1:7" x14ac:dyDescent="0.25">
      <c r="A1698" t="s">
        <v>1695</v>
      </c>
      <c r="B1698">
        <v>2016</v>
      </c>
      <c r="C1698">
        <v>15</v>
      </c>
      <c r="D1698">
        <v>98</v>
      </c>
      <c r="E1698">
        <v>5.6</v>
      </c>
      <c r="F1698">
        <v>2.46</v>
      </c>
      <c r="G1698" s="1">
        <v>7780</v>
      </c>
    </row>
    <row r="1699" spans="1:7" x14ac:dyDescent="0.25">
      <c r="A1699" t="s">
        <v>881</v>
      </c>
      <c r="B1699">
        <v>2016</v>
      </c>
      <c r="C1699">
        <v>15</v>
      </c>
      <c r="D1699">
        <v>98</v>
      </c>
      <c r="E1699">
        <v>5.8</v>
      </c>
      <c r="F1699">
        <v>2.46</v>
      </c>
      <c r="G1699" s="1">
        <v>4456</v>
      </c>
    </row>
    <row r="1700" spans="1:7" x14ac:dyDescent="0.25">
      <c r="A1700" t="s">
        <v>1699</v>
      </c>
      <c r="B1700">
        <v>2016</v>
      </c>
      <c r="C1700">
        <v>15</v>
      </c>
      <c r="D1700">
        <v>120</v>
      </c>
      <c r="E1700">
        <v>5.8</v>
      </c>
      <c r="F1700">
        <v>1.66</v>
      </c>
      <c r="G1700" s="1">
        <v>7908</v>
      </c>
    </row>
    <row r="1701" spans="1:7" x14ac:dyDescent="0.25">
      <c r="A1701" t="s">
        <v>1700</v>
      </c>
      <c r="B1701">
        <v>2016</v>
      </c>
      <c r="C1701">
        <v>18</v>
      </c>
      <c r="D1701">
        <v>93</v>
      </c>
      <c r="E1701">
        <v>5.6</v>
      </c>
      <c r="F1701">
        <v>0.01</v>
      </c>
      <c r="G1701" s="1">
        <v>8540</v>
      </c>
    </row>
    <row r="1702" spans="1:7" x14ac:dyDescent="0.25">
      <c r="A1702" t="s">
        <v>1701</v>
      </c>
      <c r="B1702">
        <v>2016</v>
      </c>
      <c r="C1702">
        <v>15</v>
      </c>
      <c r="D1702">
        <v>98</v>
      </c>
      <c r="E1702">
        <v>6.3</v>
      </c>
      <c r="F1702">
        <v>2.46</v>
      </c>
      <c r="G1702" s="1">
        <v>8944</v>
      </c>
    </row>
    <row r="1703" spans="1:7" x14ac:dyDescent="0.25">
      <c r="A1703" t="s">
        <v>1703</v>
      </c>
      <c r="B1703">
        <v>2016</v>
      </c>
      <c r="C1703">
        <v>18</v>
      </c>
      <c r="D1703">
        <v>106</v>
      </c>
      <c r="E1703">
        <v>6</v>
      </c>
      <c r="F1703">
        <v>2.46</v>
      </c>
      <c r="G1703" s="1">
        <v>4661</v>
      </c>
    </row>
    <row r="1704" spans="1:7" x14ac:dyDescent="0.25">
      <c r="A1704" t="s">
        <v>1704</v>
      </c>
      <c r="B1704">
        <v>2016</v>
      </c>
      <c r="C1704">
        <v>15</v>
      </c>
      <c r="D1704">
        <v>117</v>
      </c>
      <c r="E1704">
        <v>7.3</v>
      </c>
      <c r="F1704">
        <v>138.29</v>
      </c>
      <c r="G1704" s="1">
        <v>534442</v>
      </c>
    </row>
    <row r="1705" spans="1:7" x14ac:dyDescent="0.25">
      <c r="A1705" t="s">
        <v>1711</v>
      </c>
      <c r="B1705">
        <v>2016</v>
      </c>
      <c r="C1705">
        <v>15</v>
      </c>
      <c r="D1705">
        <v>91</v>
      </c>
      <c r="E1705">
        <v>4.8</v>
      </c>
      <c r="F1705">
        <v>6.88</v>
      </c>
      <c r="G1705" s="1">
        <v>14554</v>
      </c>
    </row>
    <row r="1706" spans="1:7" x14ac:dyDescent="0.25">
      <c r="A1706" t="s">
        <v>1714</v>
      </c>
      <c r="B1706">
        <v>2016</v>
      </c>
      <c r="C1706">
        <v>15</v>
      </c>
      <c r="D1706">
        <v>99</v>
      </c>
      <c r="E1706">
        <v>5.4</v>
      </c>
      <c r="F1706">
        <v>63.29</v>
      </c>
      <c r="G1706" s="1">
        <v>48159</v>
      </c>
    </row>
    <row r="1707" spans="1:7" x14ac:dyDescent="0.25">
      <c r="A1707" t="s">
        <v>1716</v>
      </c>
      <c r="B1707">
        <v>2016</v>
      </c>
      <c r="C1707">
        <v>15</v>
      </c>
      <c r="D1707">
        <v>94</v>
      </c>
      <c r="E1707">
        <v>5.7</v>
      </c>
      <c r="F1707">
        <v>0.01</v>
      </c>
      <c r="G1707" s="1">
        <v>18512</v>
      </c>
    </row>
    <row r="1708" spans="1:7" x14ac:dyDescent="0.25">
      <c r="A1708" t="s">
        <v>1719</v>
      </c>
      <c r="B1708">
        <v>2016</v>
      </c>
      <c r="C1708">
        <v>15</v>
      </c>
      <c r="D1708">
        <v>95</v>
      </c>
      <c r="E1708">
        <v>7</v>
      </c>
      <c r="F1708">
        <v>2.46</v>
      </c>
      <c r="G1708" s="1">
        <v>16441</v>
      </c>
    </row>
    <row r="1709" spans="1:7" x14ac:dyDescent="0.25">
      <c r="A1709" t="s">
        <v>1722</v>
      </c>
      <c r="B1709">
        <v>2016</v>
      </c>
      <c r="C1709">
        <v>15</v>
      </c>
      <c r="D1709">
        <v>99</v>
      </c>
      <c r="E1709">
        <v>5.7</v>
      </c>
      <c r="F1709">
        <v>2.2799999999999998</v>
      </c>
      <c r="G1709" s="1">
        <v>17133</v>
      </c>
    </row>
    <row r="1710" spans="1:7" x14ac:dyDescent="0.25">
      <c r="A1710" t="s">
        <v>1723</v>
      </c>
      <c r="B1710">
        <v>2016</v>
      </c>
      <c r="C1710">
        <v>15</v>
      </c>
      <c r="D1710">
        <v>129</v>
      </c>
      <c r="E1710">
        <v>7.4</v>
      </c>
      <c r="F1710">
        <v>2.46</v>
      </c>
      <c r="G1710" s="1">
        <v>6023</v>
      </c>
    </row>
    <row r="1711" spans="1:7" x14ac:dyDescent="0.25">
      <c r="A1711" t="s">
        <v>1728</v>
      </c>
      <c r="B1711">
        <v>2016</v>
      </c>
      <c r="C1711">
        <v>15</v>
      </c>
      <c r="D1711">
        <v>108</v>
      </c>
      <c r="E1711">
        <v>7.2</v>
      </c>
      <c r="F1711">
        <v>0.44</v>
      </c>
      <c r="G1711" s="1">
        <v>6359</v>
      </c>
    </row>
    <row r="1712" spans="1:7" x14ac:dyDescent="0.25">
      <c r="A1712" t="s">
        <v>1729</v>
      </c>
      <c r="B1712">
        <v>2016</v>
      </c>
      <c r="C1712">
        <v>18</v>
      </c>
      <c r="D1712">
        <v>125</v>
      </c>
      <c r="E1712">
        <v>6.5</v>
      </c>
      <c r="F1712">
        <v>1.86</v>
      </c>
      <c r="G1712" s="1">
        <v>6179</v>
      </c>
    </row>
    <row r="1713" spans="1:7" x14ac:dyDescent="0.25">
      <c r="A1713" t="s">
        <v>1731</v>
      </c>
      <c r="B1713">
        <v>2016</v>
      </c>
      <c r="C1713">
        <v>18</v>
      </c>
      <c r="D1713">
        <v>91</v>
      </c>
      <c r="E1713">
        <v>5.2</v>
      </c>
      <c r="F1713">
        <v>2.46</v>
      </c>
      <c r="G1713" s="1">
        <v>15675</v>
      </c>
    </row>
    <row r="1714" spans="1:7" x14ac:dyDescent="0.25">
      <c r="A1714" t="s">
        <v>1732</v>
      </c>
      <c r="B1714">
        <v>2016</v>
      </c>
      <c r="C1714">
        <v>12</v>
      </c>
      <c r="D1714">
        <v>89</v>
      </c>
      <c r="E1714">
        <v>6.2</v>
      </c>
      <c r="F1714">
        <v>0.13</v>
      </c>
      <c r="G1714" s="1">
        <v>1196</v>
      </c>
    </row>
    <row r="1715" spans="1:7" x14ac:dyDescent="0.25">
      <c r="A1715" t="s">
        <v>1733</v>
      </c>
      <c r="B1715">
        <v>2016</v>
      </c>
      <c r="C1715">
        <v>15</v>
      </c>
      <c r="D1715">
        <v>120</v>
      </c>
      <c r="E1715">
        <v>6.6</v>
      </c>
      <c r="F1715">
        <v>0.04</v>
      </c>
      <c r="G1715" s="1">
        <v>6577</v>
      </c>
    </row>
    <row r="1716" spans="1:7" x14ac:dyDescent="0.25">
      <c r="A1716" t="s">
        <v>1735</v>
      </c>
      <c r="B1716">
        <v>2016</v>
      </c>
      <c r="C1716">
        <v>15</v>
      </c>
      <c r="D1716">
        <v>128</v>
      </c>
      <c r="E1716">
        <v>7.3</v>
      </c>
      <c r="F1716">
        <v>0.18</v>
      </c>
      <c r="G1716" s="1">
        <v>14502</v>
      </c>
    </row>
    <row r="1717" spans="1:7" x14ac:dyDescent="0.25">
      <c r="A1717" t="s">
        <v>1736</v>
      </c>
      <c r="B1717">
        <v>2016</v>
      </c>
      <c r="C1717">
        <v>15</v>
      </c>
      <c r="D1717">
        <v>106</v>
      </c>
      <c r="E1717">
        <v>6.3</v>
      </c>
      <c r="F1717">
        <v>0.26</v>
      </c>
      <c r="G1717" s="1">
        <v>17726</v>
      </c>
    </row>
    <row r="1718" spans="1:7" x14ac:dyDescent="0.25">
      <c r="A1718" t="s">
        <v>1739</v>
      </c>
      <c r="B1718">
        <v>2016</v>
      </c>
      <c r="C1718">
        <v>15</v>
      </c>
      <c r="D1718">
        <v>96</v>
      </c>
      <c r="E1718">
        <v>6</v>
      </c>
      <c r="F1718">
        <v>2.46</v>
      </c>
      <c r="G1718" s="1">
        <v>2121</v>
      </c>
    </row>
    <row r="1719" spans="1:7" x14ac:dyDescent="0.25">
      <c r="A1719" t="s">
        <v>1744</v>
      </c>
      <c r="B1719">
        <v>2016</v>
      </c>
      <c r="C1719">
        <v>15</v>
      </c>
      <c r="D1719">
        <v>108</v>
      </c>
      <c r="E1719">
        <v>7.5</v>
      </c>
      <c r="F1719">
        <v>2.46</v>
      </c>
      <c r="G1719" s="1">
        <v>1541</v>
      </c>
    </row>
    <row r="1720" spans="1:7" x14ac:dyDescent="0.25">
      <c r="A1720" t="s">
        <v>1752</v>
      </c>
      <c r="B1720">
        <v>2016</v>
      </c>
      <c r="C1720">
        <v>15</v>
      </c>
      <c r="D1720">
        <v>98</v>
      </c>
      <c r="E1720">
        <v>6.5</v>
      </c>
      <c r="F1720">
        <v>0.32</v>
      </c>
      <c r="G1720" s="1">
        <v>6833</v>
      </c>
    </row>
    <row r="1721" spans="1:7" x14ac:dyDescent="0.25">
      <c r="A1721" t="s">
        <v>1759</v>
      </c>
      <c r="B1721">
        <v>2016</v>
      </c>
      <c r="C1721">
        <v>15</v>
      </c>
      <c r="D1721">
        <v>99</v>
      </c>
      <c r="E1721">
        <v>5.5</v>
      </c>
      <c r="F1721">
        <v>2.46</v>
      </c>
      <c r="G1721" s="1">
        <v>9059</v>
      </c>
    </row>
    <row r="1722" spans="1:7" x14ac:dyDescent="0.25">
      <c r="A1722" t="s">
        <v>1760</v>
      </c>
      <c r="B1722">
        <v>2016</v>
      </c>
      <c r="C1722">
        <v>15</v>
      </c>
      <c r="D1722">
        <v>104</v>
      </c>
      <c r="E1722">
        <v>5.8</v>
      </c>
      <c r="F1722">
        <v>2.46</v>
      </c>
      <c r="G1722">
        <v>863</v>
      </c>
    </row>
    <row r="1723" spans="1:7" x14ac:dyDescent="0.25">
      <c r="A1723" t="s">
        <v>1766</v>
      </c>
      <c r="B1723">
        <v>2016</v>
      </c>
      <c r="C1723">
        <v>15</v>
      </c>
      <c r="D1723">
        <v>118</v>
      </c>
      <c r="E1723">
        <v>6.1</v>
      </c>
      <c r="F1723">
        <v>3.81</v>
      </c>
      <c r="G1723" s="1">
        <v>6440</v>
      </c>
    </row>
    <row r="1724" spans="1:7" x14ac:dyDescent="0.25">
      <c r="A1724" t="s">
        <v>1768</v>
      </c>
      <c r="B1724">
        <v>2016</v>
      </c>
      <c r="C1724">
        <v>18</v>
      </c>
      <c r="D1724">
        <v>83</v>
      </c>
      <c r="E1724">
        <v>7.2</v>
      </c>
      <c r="F1724">
        <v>2.46</v>
      </c>
      <c r="G1724" s="1">
        <v>1796</v>
      </c>
    </row>
    <row r="1725" spans="1:7" x14ac:dyDescent="0.25">
      <c r="A1725" t="s">
        <v>1771</v>
      </c>
      <c r="B1725">
        <v>2016</v>
      </c>
      <c r="C1725">
        <v>15</v>
      </c>
      <c r="D1725">
        <v>110</v>
      </c>
      <c r="E1725">
        <v>7.3</v>
      </c>
      <c r="F1725">
        <v>2.46</v>
      </c>
      <c r="G1725" s="1">
        <v>8137</v>
      </c>
    </row>
    <row r="1726" spans="1:7" x14ac:dyDescent="0.25">
      <c r="A1726" t="s">
        <v>1774</v>
      </c>
      <c r="B1726">
        <v>2016</v>
      </c>
      <c r="C1726">
        <v>15</v>
      </c>
      <c r="D1726">
        <v>128</v>
      </c>
      <c r="E1726">
        <v>7.5</v>
      </c>
      <c r="F1726">
        <v>0.03</v>
      </c>
      <c r="G1726" s="1">
        <v>6476</v>
      </c>
    </row>
    <row r="1727" spans="1:7" x14ac:dyDescent="0.25">
      <c r="A1727" t="s">
        <v>1776</v>
      </c>
      <c r="B1727">
        <v>2016</v>
      </c>
      <c r="C1727">
        <v>15</v>
      </c>
      <c r="D1727">
        <v>108</v>
      </c>
      <c r="E1727">
        <v>6.5</v>
      </c>
      <c r="F1727">
        <v>2.46</v>
      </c>
      <c r="G1727" s="1">
        <v>13180</v>
      </c>
    </row>
    <row r="1728" spans="1:7" x14ac:dyDescent="0.25">
      <c r="A1728" t="s">
        <v>1778</v>
      </c>
      <c r="B1728">
        <v>2016</v>
      </c>
      <c r="C1728">
        <v>15</v>
      </c>
      <c r="D1728">
        <v>92</v>
      </c>
      <c r="E1728">
        <v>5.8</v>
      </c>
      <c r="F1728">
        <v>5.62</v>
      </c>
      <c r="G1728" s="1">
        <v>9542</v>
      </c>
    </row>
    <row r="1729" spans="1:7" x14ac:dyDescent="0.25">
      <c r="A1729" t="s">
        <v>1779</v>
      </c>
      <c r="B1729">
        <v>2016</v>
      </c>
      <c r="C1729">
        <v>15</v>
      </c>
      <c r="D1729">
        <v>98</v>
      </c>
      <c r="E1729">
        <v>5.9</v>
      </c>
      <c r="F1729">
        <v>0.01</v>
      </c>
      <c r="G1729" s="1">
        <v>2469</v>
      </c>
    </row>
    <row r="1730" spans="1:7" x14ac:dyDescent="0.25">
      <c r="A1730" t="s">
        <v>1780</v>
      </c>
      <c r="B1730">
        <v>2016</v>
      </c>
      <c r="C1730">
        <v>15</v>
      </c>
      <c r="D1730">
        <v>88</v>
      </c>
      <c r="E1730">
        <v>7.1</v>
      </c>
      <c r="F1730">
        <v>0.1</v>
      </c>
      <c r="G1730" s="1">
        <v>2916</v>
      </c>
    </row>
    <row r="1731" spans="1:7" x14ac:dyDescent="0.25">
      <c r="A1731" t="s">
        <v>1784</v>
      </c>
      <c r="B1731">
        <v>2016</v>
      </c>
      <c r="C1731">
        <v>15</v>
      </c>
      <c r="D1731">
        <v>100</v>
      </c>
      <c r="E1731">
        <v>6.9</v>
      </c>
      <c r="F1731">
        <v>2.46</v>
      </c>
      <c r="G1731" s="1">
        <v>1374</v>
      </c>
    </row>
    <row r="1732" spans="1:7" x14ac:dyDescent="0.25">
      <c r="A1732" t="s">
        <v>1785</v>
      </c>
      <c r="B1732">
        <v>2016</v>
      </c>
      <c r="C1732">
        <v>15</v>
      </c>
      <c r="D1732">
        <v>115</v>
      </c>
      <c r="E1732">
        <v>7.6</v>
      </c>
      <c r="F1732">
        <v>6.17</v>
      </c>
      <c r="G1732" s="1">
        <v>20278</v>
      </c>
    </row>
    <row r="1733" spans="1:7" x14ac:dyDescent="0.25">
      <c r="A1733" t="s">
        <v>1787</v>
      </c>
      <c r="B1733">
        <v>2016</v>
      </c>
      <c r="C1733">
        <v>15</v>
      </c>
      <c r="D1733">
        <v>110</v>
      </c>
      <c r="E1733">
        <v>6.5</v>
      </c>
      <c r="F1733">
        <v>2.46</v>
      </c>
      <c r="G1733" s="1">
        <v>2711</v>
      </c>
    </row>
    <row r="1734" spans="1:7" x14ac:dyDescent="0.25">
      <c r="A1734" t="s">
        <v>1791</v>
      </c>
      <c r="B1734">
        <v>2016</v>
      </c>
      <c r="C1734">
        <v>15</v>
      </c>
      <c r="D1734">
        <v>112</v>
      </c>
      <c r="E1734">
        <v>5.9</v>
      </c>
      <c r="F1734">
        <v>2.46</v>
      </c>
      <c r="G1734" s="1">
        <v>5500</v>
      </c>
    </row>
    <row r="1735" spans="1:7" x14ac:dyDescent="0.25">
      <c r="A1735" t="s">
        <v>1792</v>
      </c>
      <c r="B1735">
        <v>2016</v>
      </c>
      <c r="C1735">
        <v>15</v>
      </c>
      <c r="D1735">
        <v>94</v>
      </c>
      <c r="E1735">
        <v>6.2</v>
      </c>
      <c r="F1735">
        <v>2.46</v>
      </c>
      <c r="G1735" s="1">
        <v>11322</v>
      </c>
    </row>
    <row r="1736" spans="1:7" x14ac:dyDescent="0.25">
      <c r="A1736" t="s">
        <v>1818</v>
      </c>
      <c r="B1736">
        <v>2016</v>
      </c>
      <c r="C1736">
        <v>15</v>
      </c>
      <c r="D1736">
        <v>110</v>
      </c>
      <c r="E1736">
        <v>6.5</v>
      </c>
      <c r="F1736">
        <v>1.4</v>
      </c>
      <c r="G1736" s="1">
        <v>1497</v>
      </c>
    </row>
    <row r="1737" spans="1:7" x14ac:dyDescent="0.25">
      <c r="A1737" t="s">
        <v>1820</v>
      </c>
      <c r="B1737">
        <v>2016</v>
      </c>
      <c r="C1737">
        <v>15</v>
      </c>
      <c r="D1737">
        <v>66</v>
      </c>
      <c r="E1737">
        <v>7.8</v>
      </c>
      <c r="F1737">
        <v>0.28999999999999998</v>
      </c>
      <c r="G1737" s="1">
        <v>28188</v>
      </c>
    </row>
    <row r="1738" spans="1:7" x14ac:dyDescent="0.25">
      <c r="A1738" t="s">
        <v>1823</v>
      </c>
      <c r="B1738">
        <v>2016</v>
      </c>
      <c r="C1738">
        <v>15</v>
      </c>
      <c r="D1738">
        <v>93</v>
      </c>
      <c r="E1738">
        <v>6.1</v>
      </c>
      <c r="F1738">
        <v>2.46</v>
      </c>
      <c r="G1738">
        <v>446</v>
      </c>
    </row>
    <row r="1739" spans="1:7" x14ac:dyDescent="0.25">
      <c r="A1739" t="s">
        <v>1824</v>
      </c>
      <c r="B1739">
        <v>2016</v>
      </c>
      <c r="C1739">
        <v>15</v>
      </c>
      <c r="D1739">
        <v>118</v>
      </c>
      <c r="E1739">
        <v>6.9</v>
      </c>
      <c r="F1739">
        <v>0</v>
      </c>
      <c r="G1739" s="1">
        <v>5980</v>
      </c>
    </row>
    <row r="1740" spans="1:7" x14ac:dyDescent="0.25">
      <c r="A1740" t="s">
        <v>1838</v>
      </c>
      <c r="B1740">
        <v>2016</v>
      </c>
      <c r="C1740">
        <v>15</v>
      </c>
      <c r="D1740">
        <v>100</v>
      </c>
      <c r="E1740">
        <v>6.8</v>
      </c>
      <c r="F1740">
        <v>2.46</v>
      </c>
      <c r="G1740" s="1">
        <v>5474</v>
      </c>
    </row>
    <row r="1741" spans="1:7" x14ac:dyDescent="0.25">
      <c r="A1741" t="s">
        <v>1849</v>
      </c>
      <c r="B1741">
        <v>2016</v>
      </c>
      <c r="C1741">
        <v>15</v>
      </c>
      <c r="D1741">
        <v>80</v>
      </c>
      <c r="E1741">
        <v>5.9</v>
      </c>
      <c r="F1741">
        <v>2.46</v>
      </c>
      <c r="G1741" s="1">
        <v>1797</v>
      </c>
    </row>
    <row r="1742" spans="1:7" x14ac:dyDescent="0.25">
      <c r="A1742" t="s">
        <v>1853</v>
      </c>
      <c r="B1742">
        <v>2016</v>
      </c>
      <c r="C1742">
        <v>15</v>
      </c>
      <c r="D1742">
        <v>102</v>
      </c>
      <c r="E1742">
        <v>7.4</v>
      </c>
      <c r="F1742">
        <v>0.1</v>
      </c>
      <c r="G1742" s="1">
        <v>3118</v>
      </c>
    </row>
    <row r="1743" spans="1:7" x14ac:dyDescent="0.25">
      <c r="A1743" t="s">
        <v>1865</v>
      </c>
      <c r="B1743">
        <v>2016</v>
      </c>
      <c r="C1743">
        <v>15</v>
      </c>
      <c r="D1743">
        <v>98</v>
      </c>
      <c r="E1743">
        <v>6.1</v>
      </c>
      <c r="F1743">
        <v>0.03</v>
      </c>
      <c r="G1743" s="1">
        <v>6413</v>
      </c>
    </row>
    <row r="1744" spans="1:7" x14ac:dyDescent="0.25">
      <c r="A1744" t="s">
        <v>1867</v>
      </c>
      <c r="B1744">
        <v>2016</v>
      </c>
      <c r="C1744">
        <v>15</v>
      </c>
      <c r="D1744">
        <v>93</v>
      </c>
      <c r="E1744">
        <v>5.6</v>
      </c>
      <c r="F1744">
        <v>2.46</v>
      </c>
      <c r="G1744">
        <v>703</v>
      </c>
    </row>
    <row r="1745" spans="1:7" x14ac:dyDescent="0.25">
      <c r="A1745" t="s">
        <v>1876</v>
      </c>
      <c r="B1745">
        <v>2016</v>
      </c>
      <c r="C1745">
        <v>15</v>
      </c>
      <c r="D1745">
        <v>89</v>
      </c>
      <c r="E1745">
        <v>6.5</v>
      </c>
      <c r="F1745">
        <v>0.02</v>
      </c>
      <c r="G1745" s="1">
        <v>43267</v>
      </c>
    </row>
    <row r="1746" spans="1:7" x14ac:dyDescent="0.25">
      <c r="A1746" t="s">
        <v>1885</v>
      </c>
      <c r="B1746">
        <v>2016</v>
      </c>
      <c r="C1746">
        <v>15</v>
      </c>
      <c r="D1746">
        <v>93</v>
      </c>
      <c r="E1746">
        <v>7.5</v>
      </c>
      <c r="F1746">
        <v>0.1</v>
      </c>
      <c r="G1746" s="1">
        <v>4806</v>
      </c>
    </row>
    <row r="1747" spans="1:7" x14ac:dyDescent="0.25">
      <c r="A1747" t="s">
        <v>1887</v>
      </c>
      <c r="B1747">
        <v>2016</v>
      </c>
      <c r="C1747">
        <v>15</v>
      </c>
      <c r="D1747">
        <v>89</v>
      </c>
      <c r="E1747">
        <v>6.7</v>
      </c>
      <c r="F1747">
        <v>24.7</v>
      </c>
      <c r="G1747" s="1">
        <v>23865</v>
      </c>
    </row>
    <row r="1748" spans="1:7" x14ac:dyDescent="0.25">
      <c r="A1748" t="s">
        <v>1901</v>
      </c>
      <c r="B1748">
        <v>2016</v>
      </c>
      <c r="C1748">
        <v>15</v>
      </c>
      <c r="D1748">
        <v>98</v>
      </c>
      <c r="E1748">
        <v>6.5</v>
      </c>
      <c r="F1748">
        <v>2.4700000000000002</v>
      </c>
      <c r="G1748" s="1">
        <v>7502</v>
      </c>
    </row>
    <row r="1749" spans="1:7" x14ac:dyDescent="0.25">
      <c r="A1749" t="s">
        <v>1902</v>
      </c>
      <c r="B1749">
        <v>2016</v>
      </c>
      <c r="C1749">
        <v>15</v>
      </c>
      <c r="D1749">
        <v>85</v>
      </c>
      <c r="E1749">
        <v>7.8</v>
      </c>
      <c r="F1749">
        <v>0.04</v>
      </c>
      <c r="G1749" s="1">
        <v>3142</v>
      </c>
    </row>
    <row r="1750" spans="1:7" x14ac:dyDescent="0.25">
      <c r="A1750" t="s">
        <v>1906</v>
      </c>
      <c r="B1750">
        <v>2016</v>
      </c>
      <c r="C1750">
        <v>15</v>
      </c>
      <c r="D1750">
        <v>97</v>
      </c>
      <c r="E1750">
        <v>6.1</v>
      </c>
      <c r="F1750">
        <v>2.46</v>
      </c>
      <c r="G1750" s="1">
        <v>4143</v>
      </c>
    </row>
    <row r="1751" spans="1:7" x14ac:dyDescent="0.25">
      <c r="A1751" t="s">
        <v>1932</v>
      </c>
      <c r="B1751">
        <v>2016</v>
      </c>
      <c r="C1751">
        <v>15</v>
      </c>
      <c r="D1751">
        <v>201</v>
      </c>
      <c r="E1751">
        <v>7.7</v>
      </c>
      <c r="F1751">
        <v>0.04</v>
      </c>
      <c r="G1751">
        <v>963</v>
      </c>
    </row>
    <row r="1752" spans="1:7" x14ac:dyDescent="0.25">
      <c r="A1752" t="s">
        <v>1938</v>
      </c>
      <c r="B1752">
        <v>2016</v>
      </c>
      <c r="C1752">
        <v>15</v>
      </c>
      <c r="D1752">
        <v>109</v>
      </c>
      <c r="E1752">
        <v>6.2</v>
      </c>
      <c r="F1752">
        <v>3.02</v>
      </c>
      <c r="G1752" s="1">
        <v>68018</v>
      </c>
    </row>
    <row r="1753" spans="1:7" x14ac:dyDescent="0.25">
      <c r="A1753" t="s">
        <v>1943</v>
      </c>
      <c r="B1753">
        <v>2016</v>
      </c>
      <c r="C1753">
        <v>15</v>
      </c>
      <c r="D1753">
        <v>89</v>
      </c>
      <c r="E1753">
        <v>6.8</v>
      </c>
      <c r="F1753">
        <v>1.1299999999999999</v>
      </c>
      <c r="G1753" s="1">
        <v>26033</v>
      </c>
    </row>
    <row r="1754" spans="1:7" x14ac:dyDescent="0.25">
      <c r="A1754" t="s">
        <v>1475</v>
      </c>
      <c r="B1754">
        <v>2017</v>
      </c>
      <c r="C1754">
        <v>12</v>
      </c>
      <c r="D1754">
        <v>84</v>
      </c>
      <c r="E1754">
        <v>4.2</v>
      </c>
      <c r="F1754">
        <v>2.46</v>
      </c>
      <c r="G1754" s="1">
        <v>1710</v>
      </c>
    </row>
    <row r="1755" spans="1:7" x14ac:dyDescent="0.25">
      <c r="A1755" t="s">
        <v>1552</v>
      </c>
      <c r="B1755">
        <v>2017</v>
      </c>
      <c r="C1755">
        <v>15</v>
      </c>
      <c r="D1755">
        <v>100</v>
      </c>
      <c r="E1755">
        <v>5.9</v>
      </c>
      <c r="F1755">
        <v>2.46</v>
      </c>
      <c r="G1755">
        <v>507</v>
      </c>
    </row>
    <row r="1756" spans="1:7" x14ac:dyDescent="0.25">
      <c r="A1756" t="s">
        <v>579</v>
      </c>
      <c r="B1756">
        <v>2017</v>
      </c>
      <c r="C1756">
        <v>15</v>
      </c>
      <c r="D1756">
        <v>129</v>
      </c>
      <c r="E1756">
        <v>7.1</v>
      </c>
      <c r="F1756">
        <v>504.01</v>
      </c>
      <c r="G1756" s="1">
        <v>327439</v>
      </c>
    </row>
    <row r="1757" spans="1:7" x14ac:dyDescent="0.25">
      <c r="A1757" t="s">
        <v>1590</v>
      </c>
      <c r="B1757">
        <v>2017</v>
      </c>
      <c r="C1757">
        <v>12</v>
      </c>
      <c r="D1757">
        <v>90</v>
      </c>
      <c r="E1757">
        <v>5.9</v>
      </c>
      <c r="F1757">
        <v>2.46</v>
      </c>
      <c r="G1757" s="1">
        <v>24040</v>
      </c>
    </row>
    <row r="1758" spans="1:7" x14ac:dyDescent="0.25">
      <c r="A1758" t="s">
        <v>1591</v>
      </c>
      <c r="B1758">
        <v>2017</v>
      </c>
      <c r="C1758">
        <v>15</v>
      </c>
      <c r="D1758">
        <v>80</v>
      </c>
      <c r="E1758">
        <v>4.5999999999999996</v>
      </c>
      <c r="F1758">
        <v>0.03</v>
      </c>
      <c r="G1758" s="1">
        <v>12275</v>
      </c>
    </row>
    <row r="1759" spans="1:7" x14ac:dyDescent="0.25">
      <c r="A1759" t="s">
        <v>1593</v>
      </c>
      <c r="B1759">
        <v>2017</v>
      </c>
      <c r="C1759">
        <v>12</v>
      </c>
      <c r="D1759">
        <v>93</v>
      </c>
      <c r="E1759">
        <v>6.9</v>
      </c>
      <c r="F1759">
        <v>2.46</v>
      </c>
      <c r="G1759" s="1">
        <v>62697</v>
      </c>
    </row>
    <row r="1760" spans="1:7" x14ac:dyDescent="0.25">
      <c r="A1760" t="s">
        <v>1596</v>
      </c>
      <c r="B1760">
        <v>2017</v>
      </c>
      <c r="C1760">
        <v>12</v>
      </c>
      <c r="D1760">
        <v>94</v>
      </c>
      <c r="E1760">
        <v>5.7</v>
      </c>
      <c r="F1760">
        <v>2.46</v>
      </c>
      <c r="G1760" s="1">
        <v>26379</v>
      </c>
    </row>
    <row r="1761" spans="1:7" x14ac:dyDescent="0.25">
      <c r="A1761" t="s">
        <v>1606</v>
      </c>
      <c r="B1761">
        <v>2017</v>
      </c>
      <c r="C1761">
        <v>15</v>
      </c>
      <c r="D1761">
        <v>137</v>
      </c>
      <c r="E1761">
        <v>8.1</v>
      </c>
      <c r="F1761">
        <v>226.28</v>
      </c>
      <c r="G1761" s="1">
        <v>809547</v>
      </c>
    </row>
    <row r="1762" spans="1:7" x14ac:dyDescent="0.25">
      <c r="A1762" t="s">
        <v>1608</v>
      </c>
      <c r="B1762">
        <v>2017</v>
      </c>
      <c r="C1762">
        <v>15</v>
      </c>
      <c r="D1762">
        <v>100</v>
      </c>
      <c r="E1762">
        <v>7.2</v>
      </c>
      <c r="F1762">
        <v>64.510000000000005</v>
      </c>
      <c r="G1762" s="1">
        <v>77180</v>
      </c>
    </row>
    <row r="1763" spans="1:7" x14ac:dyDescent="0.25">
      <c r="A1763" t="s">
        <v>1610</v>
      </c>
      <c r="B1763">
        <v>2017</v>
      </c>
      <c r="C1763">
        <v>15</v>
      </c>
      <c r="D1763">
        <v>91</v>
      </c>
      <c r="E1763">
        <v>6.1</v>
      </c>
      <c r="F1763">
        <v>2.46</v>
      </c>
      <c r="G1763" s="1">
        <v>7193</v>
      </c>
    </row>
    <row r="1764" spans="1:7" x14ac:dyDescent="0.25">
      <c r="A1764" t="s">
        <v>1619</v>
      </c>
      <c r="B1764">
        <v>2017</v>
      </c>
      <c r="C1764">
        <v>15</v>
      </c>
      <c r="D1764">
        <v>86</v>
      </c>
      <c r="E1764">
        <v>5.8</v>
      </c>
      <c r="F1764">
        <v>2.46</v>
      </c>
      <c r="G1764" s="1">
        <v>7777</v>
      </c>
    </row>
    <row r="1765" spans="1:7" x14ac:dyDescent="0.25">
      <c r="A1765" t="s">
        <v>1621</v>
      </c>
      <c r="B1765">
        <v>2017</v>
      </c>
      <c r="C1765">
        <v>15</v>
      </c>
      <c r="D1765">
        <v>97</v>
      </c>
      <c r="E1765">
        <v>5.0999999999999996</v>
      </c>
      <c r="F1765">
        <v>2.46</v>
      </c>
      <c r="G1765" s="1">
        <v>1018</v>
      </c>
    </row>
    <row r="1766" spans="1:7" x14ac:dyDescent="0.25">
      <c r="A1766" t="s">
        <v>1626</v>
      </c>
      <c r="B1766">
        <v>2017</v>
      </c>
      <c r="C1766">
        <v>15</v>
      </c>
      <c r="D1766">
        <v>102</v>
      </c>
      <c r="E1766">
        <v>6.2</v>
      </c>
      <c r="F1766">
        <v>2.46</v>
      </c>
      <c r="G1766" s="1">
        <v>36702</v>
      </c>
    </row>
    <row r="1767" spans="1:7" x14ac:dyDescent="0.25">
      <c r="A1767" t="s">
        <v>1632</v>
      </c>
      <c r="B1767">
        <v>2017</v>
      </c>
      <c r="C1767">
        <v>15</v>
      </c>
      <c r="D1767">
        <v>120</v>
      </c>
      <c r="E1767">
        <v>6.4</v>
      </c>
      <c r="F1767">
        <v>7.89</v>
      </c>
      <c r="G1767" s="1">
        <v>55508</v>
      </c>
    </row>
    <row r="1768" spans="1:7" x14ac:dyDescent="0.25">
      <c r="A1768" t="s">
        <v>1635</v>
      </c>
      <c r="B1768">
        <v>2017</v>
      </c>
      <c r="C1768">
        <v>15</v>
      </c>
      <c r="D1768">
        <v>91</v>
      </c>
      <c r="E1768">
        <v>6.5</v>
      </c>
      <c r="F1768">
        <v>2.46</v>
      </c>
      <c r="G1768">
        <v>327</v>
      </c>
    </row>
    <row r="1769" spans="1:7" x14ac:dyDescent="0.25">
      <c r="A1769" t="s">
        <v>434</v>
      </c>
      <c r="B1769">
        <v>2017</v>
      </c>
      <c r="C1769">
        <v>12</v>
      </c>
      <c r="D1769">
        <v>107</v>
      </c>
      <c r="E1769">
        <v>6.3</v>
      </c>
      <c r="F1769">
        <v>40.56</v>
      </c>
      <c r="G1769" s="1">
        <v>224420</v>
      </c>
    </row>
    <row r="1770" spans="1:7" x14ac:dyDescent="0.25">
      <c r="A1770" t="s">
        <v>1638</v>
      </c>
      <c r="B1770">
        <v>2017</v>
      </c>
      <c r="C1770">
        <v>15</v>
      </c>
      <c r="D1770">
        <v>92</v>
      </c>
      <c r="E1770">
        <v>5</v>
      </c>
      <c r="F1770">
        <v>2.46</v>
      </c>
      <c r="G1770" s="1">
        <v>7764</v>
      </c>
    </row>
    <row r="1771" spans="1:7" x14ac:dyDescent="0.25">
      <c r="A1771" t="s">
        <v>1642</v>
      </c>
      <c r="B1771">
        <v>2017</v>
      </c>
      <c r="C1771">
        <v>15</v>
      </c>
      <c r="D1771">
        <v>94</v>
      </c>
      <c r="E1771">
        <v>4.8</v>
      </c>
      <c r="F1771">
        <v>2.46</v>
      </c>
      <c r="G1771" s="1">
        <v>5521</v>
      </c>
    </row>
    <row r="1772" spans="1:7" x14ac:dyDescent="0.25">
      <c r="A1772" t="s">
        <v>1645</v>
      </c>
      <c r="B1772">
        <v>2017</v>
      </c>
      <c r="C1772">
        <v>15</v>
      </c>
      <c r="D1772">
        <v>90</v>
      </c>
      <c r="E1772">
        <v>7.3</v>
      </c>
      <c r="F1772">
        <v>2.46</v>
      </c>
      <c r="G1772" s="1">
        <v>6812</v>
      </c>
    </row>
    <row r="1773" spans="1:7" x14ac:dyDescent="0.25">
      <c r="A1773" t="s">
        <v>1109</v>
      </c>
      <c r="B1773">
        <v>2017</v>
      </c>
      <c r="C1773">
        <v>15</v>
      </c>
      <c r="D1773">
        <v>104</v>
      </c>
      <c r="E1773">
        <v>6.6</v>
      </c>
      <c r="F1773">
        <v>30.23</v>
      </c>
      <c r="G1773" s="1">
        <v>246308</v>
      </c>
    </row>
    <row r="1774" spans="1:7" x14ac:dyDescent="0.25">
      <c r="A1774" t="s">
        <v>1651</v>
      </c>
      <c r="B1774">
        <v>2017</v>
      </c>
      <c r="C1774">
        <v>15</v>
      </c>
      <c r="D1774">
        <v>94</v>
      </c>
      <c r="E1774">
        <v>5.3</v>
      </c>
      <c r="F1774">
        <v>2.46</v>
      </c>
      <c r="G1774" s="1">
        <v>20585</v>
      </c>
    </row>
    <row r="1775" spans="1:7" x14ac:dyDescent="0.25">
      <c r="A1775" t="s">
        <v>1652</v>
      </c>
      <c r="B1775">
        <v>2017</v>
      </c>
      <c r="C1775">
        <v>15</v>
      </c>
      <c r="D1775">
        <v>124</v>
      </c>
      <c r="E1775">
        <v>5.9</v>
      </c>
      <c r="F1775">
        <v>85.36</v>
      </c>
      <c r="G1775" s="1">
        <v>112570</v>
      </c>
    </row>
    <row r="1776" spans="1:7" x14ac:dyDescent="0.25">
      <c r="A1776" t="s">
        <v>1653</v>
      </c>
      <c r="B1776">
        <v>2017</v>
      </c>
      <c r="C1776">
        <v>15</v>
      </c>
      <c r="D1776">
        <v>91</v>
      </c>
      <c r="E1776">
        <v>5.5</v>
      </c>
      <c r="F1776">
        <v>2.46</v>
      </c>
      <c r="G1776" s="1">
        <v>10217</v>
      </c>
    </row>
    <row r="1777" spans="1:7" x14ac:dyDescent="0.25">
      <c r="A1777" t="s">
        <v>1654</v>
      </c>
      <c r="B1777">
        <v>2017</v>
      </c>
      <c r="C1777">
        <v>15</v>
      </c>
      <c r="D1777">
        <v>104</v>
      </c>
      <c r="E1777">
        <v>7.8</v>
      </c>
      <c r="F1777">
        <v>176.04</v>
      </c>
      <c r="G1777" s="1">
        <v>669678</v>
      </c>
    </row>
    <row r="1778" spans="1:7" x14ac:dyDescent="0.25">
      <c r="A1778" t="s">
        <v>1655</v>
      </c>
      <c r="B1778">
        <v>2017</v>
      </c>
      <c r="C1778">
        <v>15</v>
      </c>
      <c r="D1778">
        <v>130</v>
      </c>
      <c r="E1778">
        <v>5.2</v>
      </c>
      <c r="F1778">
        <v>2.46</v>
      </c>
      <c r="G1778" s="1">
        <v>18458</v>
      </c>
    </row>
    <row r="1779" spans="1:7" x14ac:dyDescent="0.25">
      <c r="A1779" t="s">
        <v>1656</v>
      </c>
      <c r="B1779">
        <v>2017</v>
      </c>
      <c r="C1779">
        <v>15</v>
      </c>
      <c r="D1779">
        <v>113</v>
      </c>
      <c r="E1779">
        <v>6.3</v>
      </c>
      <c r="F1779">
        <v>2.46</v>
      </c>
      <c r="G1779" s="1">
        <v>26293</v>
      </c>
    </row>
    <row r="1780" spans="1:7" x14ac:dyDescent="0.25">
      <c r="A1780" t="s">
        <v>1657</v>
      </c>
      <c r="B1780">
        <v>2017</v>
      </c>
      <c r="C1780">
        <v>15</v>
      </c>
      <c r="D1780">
        <v>91</v>
      </c>
      <c r="E1780">
        <v>4.7</v>
      </c>
      <c r="F1780">
        <v>2.46</v>
      </c>
      <c r="G1780" s="1">
        <v>8436</v>
      </c>
    </row>
    <row r="1781" spans="1:7" x14ac:dyDescent="0.25">
      <c r="A1781" t="s">
        <v>1658</v>
      </c>
      <c r="B1781">
        <v>2017</v>
      </c>
      <c r="C1781">
        <v>15</v>
      </c>
      <c r="D1781">
        <v>129</v>
      </c>
      <c r="E1781">
        <v>5.6</v>
      </c>
      <c r="F1781">
        <v>0.44</v>
      </c>
      <c r="G1781" s="1">
        <v>22093</v>
      </c>
    </row>
    <row r="1782" spans="1:7" x14ac:dyDescent="0.25">
      <c r="A1782" t="s">
        <v>1659</v>
      </c>
      <c r="B1782">
        <v>2017</v>
      </c>
      <c r="C1782">
        <v>15</v>
      </c>
      <c r="D1782">
        <v>91</v>
      </c>
      <c r="E1782">
        <v>5.4</v>
      </c>
      <c r="F1782">
        <v>2.46</v>
      </c>
      <c r="G1782" s="1">
        <v>6693</v>
      </c>
    </row>
    <row r="1783" spans="1:7" x14ac:dyDescent="0.25">
      <c r="A1783" t="s">
        <v>1662</v>
      </c>
      <c r="B1783">
        <v>2017</v>
      </c>
      <c r="C1783">
        <v>15</v>
      </c>
      <c r="D1783">
        <v>127</v>
      </c>
      <c r="E1783">
        <v>7</v>
      </c>
      <c r="F1783">
        <v>17.45</v>
      </c>
      <c r="G1783" s="1">
        <v>45650</v>
      </c>
    </row>
    <row r="1784" spans="1:7" x14ac:dyDescent="0.25">
      <c r="A1784" t="s">
        <v>1666</v>
      </c>
      <c r="B1784">
        <v>2017</v>
      </c>
      <c r="C1784">
        <v>12</v>
      </c>
      <c r="D1784">
        <v>95</v>
      </c>
      <c r="E1784">
        <v>5.6</v>
      </c>
      <c r="F1784">
        <v>20.78</v>
      </c>
      <c r="G1784" s="1">
        <v>33819</v>
      </c>
    </row>
    <row r="1785" spans="1:7" x14ac:dyDescent="0.25">
      <c r="A1785" t="s">
        <v>1668</v>
      </c>
      <c r="B1785">
        <v>2017</v>
      </c>
      <c r="C1785">
        <v>15</v>
      </c>
      <c r="D1785">
        <v>94</v>
      </c>
      <c r="E1785">
        <v>5.2</v>
      </c>
      <c r="F1785">
        <v>2.46</v>
      </c>
      <c r="G1785" s="1">
        <v>11996</v>
      </c>
    </row>
    <row r="1786" spans="1:7" x14ac:dyDescent="0.25">
      <c r="A1786" t="s">
        <v>1670</v>
      </c>
      <c r="B1786">
        <v>2017</v>
      </c>
      <c r="C1786">
        <v>18</v>
      </c>
      <c r="D1786">
        <v>98</v>
      </c>
      <c r="E1786">
        <v>6.4</v>
      </c>
      <c r="F1786">
        <v>12.24</v>
      </c>
      <c r="G1786" s="1">
        <v>55654</v>
      </c>
    </row>
    <row r="1787" spans="1:7" x14ac:dyDescent="0.25">
      <c r="A1787" t="s">
        <v>1671</v>
      </c>
      <c r="B1787">
        <v>2017</v>
      </c>
      <c r="C1787">
        <v>18</v>
      </c>
      <c r="D1787">
        <v>93</v>
      </c>
      <c r="E1787">
        <v>6.1</v>
      </c>
      <c r="F1787">
        <v>2.46</v>
      </c>
      <c r="G1787" s="1">
        <v>14708</v>
      </c>
    </row>
    <row r="1788" spans="1:7" x14ac:dyDescent="0.25">
      <c r="A1788" t="s">
        <v>1672</v>
      </c>
      <c r="B1788">
        <v>2017</v>
      </c>
      <c r="C1788">
        <v>15</v>
      </c>
      <c r="D1788">
        <v>101</v>
      </c>
      <c r="E1788">
        <v>7.6</v>
      </c>
      <c r="F1788">
        <v>24.8</v>
      </c>
      <c r="G1788" s="1">
        <v>126826</v>
      </c>
    </row>
    <row r="1789" spans="1:7" x14ac:dyDescent="0.25">
      <c r="A1789" t="s">
        <v>1674</v>
      </c>
      <c r="B1789">
        <v>2017</v>
      </c>
      <c r="C1789">
        <v>12</v>
      </c>
      <c r="D1789">
        <v>122</v>
      </c>
      <c r="E1789">
        <v>6.4</v>
      </c>
      <c r="F1789">
        <v>74.260000000000005</v>
      </c>
      <c r="G1789" s="1">
        <v>296089</v>
      </c>
    </row>
    <row r="1790" spans="1:7" x14ac:dyDescent="0.25">
      <c r="A1790" t="s">
        <v>1677</v>
      </c>
      <c r="B1790">
        <v>2017</v>
      </c>
      <c r="C1790">
        <v>15</v>
      </c>
      <c r="D1790">
        <v>95</v>
      </c>
      <c r="E1790">
        <v>7.5</v>
      </c>
      <c r="F1790">
        <v>2.46</v>
      </c>
      <c r="G1790" s="1">
        <v>3141</v>
      </c>
    </row>
    <row r="1791" spans="1:7" x14ac:dyDescent="0.25">
      <c r="A1791" t="s">
        <v>1682</v>
      </c>
      <c r="B1791">
        <v>2017</v>
      </c>
      <c r="C1791">
        <v>12</v>
      </c>
      <c r="D1791">
        <v>141</v>
      </c>
      <c r="E1791">
        <v>7.4</v>
      </c>
      <c r="F1791">
        <v>412.56</v>
      </c>
      <c r="G1791" s="1">
        <v>687756</v>
      </c>
    </row>
    <row r="1792" spans="1:7" x14ac:dyDescent="0.25">
      <c r="A1792" t="s">
        <v>1683</v>
      </c>
      <c r="B1792">
        <v>2017</v>
      </c>
      <c r="C1792">
        <v>15</v>
      </c>
      <c r="D1792">
        <v>91</v>
      </c>
      <c r="E1792">
        <v>6.8</v>
      </c>
      <c r="F1792">
        <v>2.46</v>
      </c>
      <c r="G1792" s="1">
        <v>1641</v>
      </c>
    </row>
    <row r="1793" spans="1:7" x14ac:dyDescent="0.25">
      <c r="A1793" t="s">
        <v>857</v>
      </c>
      <c r="B1793">
        <v>2017</v>
      </c>
      <c r="C1793">
        <v>15</v>
      </c>
      <c r="D1793">
        <v>110</v>
      </c>
      <c r="E1793">
        <v>5.3</v>
      </c>
      <c r="F1793">
        <v>20.5</v>
      </c>
      <c r="G1793" s="1">
        <v>98074</v>
      </c>
    </row>
    <row r="1794" spans="1:7" x14ac:dyDescent="0.25">
      <c r="A1794" t="s">
        <v>1687</v>
      </c>
      <c r="B1794">
        <v>2017</v>
      </c>
      <c r="C1794">
        <v>15</v>
      </c>
      <c r="D1794">
        <v>100</v>
      </c>
      <c r="E1794">
        <v>6</v>
      </c>
      <c r="F1794">
        <v>18.600000000000001</v>
      </c>
      <c r="G1794" s="1">
        <v>50140</v>
      </c>
    </row>
    <row r="1795" spans="1:7" x14ac:dyDescent="0.25">
      <c r="A1795" t="s">
        <v>1690</v>
      </c>
      <c r="B1795">
        <v>2017</v>
      </c>
      <c r="C1795">
        <v>15</v>
      </c>
      <c r="D1795">
        <v>132</v>
      </c>
      <c r="E1795">
        <v>6.3</v>
      </c>
      <c r="F1795">
        <v>57.39</v>
      </c>
      <c r="G1795" s="1">
        <v>38389</v>
      </c>
    </row>
    <row r="1796" spans="1:7" x14ac:dyDescent="0.25">
      <c r="A1796" t="s">
        <v>1691</v>
      </c>
      <c r="B1796">
        <v>2017</v>
      </c>
      <c r="C1796">
        <v>15</v>
      </c>
      <c r="D1796">
        <v>108</v>
      </c>
      <c r="E1796">
        <v>6.6</v>
      </c>
      <c r="F1796">
        <v>1.78</v>
      </c>
      <c r="G1796" s="1">
        <v>8728</v>
      </c>
    </row>
    <row r="1797" spans="1:7" x14ac:dyDescent="0.25">
      <c r="A1797" t="s">
        <v>1692</v>
      </c>
      <c r="B1797">
        <v>2017</v>
      </c>
      <c r="C1797">
        <v>15</v>
      </c>
      <c r="D1797">
        <v>95</v>
      </c>
      <c r="E1797">
        <v>5.8</v>
      </c>
      <c r="F1797">
        <v>2.46</v>
      </c>
      <c r="G1797" s="1">
        <v>8738</v>
      </c>
    </row>
    <row r="1798" spans="1:7" x14ac:dyDescent="0.25">
      <c r="A1798" t="s">
        <v>1693</v>
      </c>
      <c r="B1798">
        <v>2017</v>
      </c>
      <c r="C1798">
        <v>15</v>
      </c>
      <c r="D1798">
        <v>108</v>
      </c>
      <c r="E1798">
        <v>6.4</v>
      </c>
      <c r="F1798">
        <v>1.24</v>
      </c>
      <c r="G1798" s="1">
        <v>7132</v>
      </c>
    </row>
    <row r="1799" spans="1:7" x14ac:dyDescent="0.25">
      <c r="A1799" t="s">
        <v>1696</v>
      </c>
      <c r="B1799">
        <v>2017</v>
      </c>
      <c r="C1799">
        <v>15</v>
      </c>
      <c r="D1799">
        <v>111</v>
      </c>
      <c r="E1799">
        <v>5.4</v>
      </c>
      <c r="F1799">
        <v>80.099999999999994</v>
      </c>
      <c r="G1799" s="1">
        <v>201627</v>
      </c>
    </row>
    <row r="1800" spans="1:7" x14ac:dyDescent="0.25">
      <c r="A1800" t="s">
        <v>1698</v>
      </c>
      <c r="B1800">
        <v>2017</v>
      </c>
      <c r="C1800">
        <v>15</v>
      </c>
      <c r="D1800">
        <v>122</v>
      </c>
      <c r="E1800">
        <v>7.4</v>
      </c>
      <c r="F1800">
        <v>92.03</v>
      </c>
      <c r="G1800" s="1">
        <v>495833</v>
      </c>
    </row>
    <row r="1801" spans="1:7" x14ac:dyDescent="0.25">
      <c r="A1801" t="s">
        <v>1702</v>
      </c>
      <c r="B1801">
        <v>2017</v>
      </c>
      <c r="C1801">
        <v>15</v>
      </c>
      <c r="D1801">
        <v>87</v>
      </c>
      <c r="E1801">
        <v>5.8</v>
      </c>
      <c r="F1801">
        <v>3.61</v>
      </c>
      <c r="G1801" s="1">
        <v>30471</v>
      </c>
    </row>
    <row r="1802" spans="1:7" x14ac:dyDescent="0.25">
      <c r="A1802" t="s">
        <v>1705</v>
      </c>
      <c r="B1802">
        <v>2017</v>
      </c>
      <c r="C1802">
        <v>15</v>
      </c>
      <c r="D1802">
        <v>136</v>
      </c>
      <c r="E1802">
        <v>6.6</v>
      </c>
      <c r="F1802">
        <v>226.01</v>
      </c>
      <c r="G1802" s="1">
        <v>248406</v>
      </c>
    </row>
    <row r="1803" spans="1:7" x14ac:dyDescent="0.25">
      <c r="A1803" t="s">
        <v>1706</v>
      </c>
      <c r="B1803">
        <v>2017</v>
      </c>
      <c r="C1803">
        <v>15</v>
      </c>
      <c r="D1803">
        <v>94</v>
      </c>
      <c r="E1803">
        <v>5.8</v>
      </c>
      <c r="F1803">
        <v>0.65</v>
      </c>
      <c r="G1803" s="1">
        <v>10948</v>
      </c>
    </row>
    <row r="1804" spans="1:7" x14ac:dyDescent="0.25">
      <c r="A1804" t="s">
        <v>1707</v>
      </c>
      <c r="B1804">
        <v>2017</v>
      </c>
      <c r="C1804">
        <v>15</v>
      </c>
      <c r="D1804">
        <v>122</v>
      </c>
      <c r="E1804">
        <v>6</v>
      </c>
      <c r="F1804">
        <v>2.46</v>
      </c>
      <c r="G1804" s="1">
        <v>49350</v>
      </c>
    </row>
    <row r="1805" spans="1:7" x14ac:dyDescent="0.25">
      <c r="A1805" t="s">
        <v>1708</v>
      </c>
      <c r="B1805">
        <v>2017</v>
      </c>
      <c r="C1805">
        <v>15</v>
      </c>
      <c r="D1805">
        <v>118</v>
      </c>
      <c r="E1805">
        <v>6.7</v>
      </c>
      <c r="F1805">
        <v>168.05</v>
      </c>
      <c r="G1805" s="1">
        <v>337553</v>
      </c>
    </row>
    <row r="1806" spans="1:7" x14ac:dyDescent="0.25">
      <c r="A1806" t="s">
        <v>1710</v>
      </c>
      <c r="B1806">
        <v>2017</v>
      </c>
      <c r="C1806">
        <v>15</v>
      </c>
      <c r="D1806">
        <v>107</v>
      </c>
      <c r="E1806">
        <v>5.2</v>
      </c>
      <c r="F1806">
        <v>44.9</v>
      </c>
      <c r="G1806" s="1">
        <v>96026</v>
      </c>
    </row>
    <row r="1807" spans="1:7" x14ac:dyDescent="0.25">
      <c r="A1807" t="s">
        <v>1712</v>
      </c>
      <c r="B1807">
        <v>2017</v>
      </c>
      <c r="C1807">
        <v>15</v>
      </c>
      <c r="D1807">
        <v>126</v>
      </c>
      <c r="E1807">
        <v>6.7</v>
      </c>
      <c r="F1807">
        <v>39.18</v>
      </c>
      <c r="G1807" s="1">
        <v>227912</v>
      </c>
    </row>
    <row r="1808" spans="1:7" x14ac:dyDescent="0.25">
      <c r="A1808" t="s">
        <v>1713</v>
      </c>
      <c r="B1808">
        <v>2017</v>
      </c>
      <c r="C1808">
        <v>15</v>
      </c>
      <c r="D1808">
        <v>95</v>
      </c>
      <c r="E1808">
        <v>5.9</v>
      </c>
      <c r="F1808">
        <v>30.72</v>
      </c>
      <c r="G1808" s="1">
        <v>38587</v>
      </c>
    </row>
    <row r="1809" spans="1:7" x14ac:dyDescent="0.25">
      <c r="A1809" t="s">
        <v>1715</v>
      </c>
      <c r="B1809">
        <v>2017</v>
      </c>
      <c r="C1809">
        <v>12</v>
      </c>
      <c r="D1809">
        <v>97</v>
      </c>
      <c r="E1809">
        <v>6.3</v>
      </c>
      <c r="F1809">
        <v>175</v>
      </c>
      <c r="G1809" s="1">
        <v>137366</v>
      </c>
    </row>
    <row r="1810" spans="1:7" x14ac:dyDescent="0.25">
      <c r="A1810" t="s">
        <v>1718</v>
      </c>
      <c r="B1810">
        <v>2017</v>
      </c>
      <c r="C1810">
        <v>15</v>
      </c>
      <c r="D1810">
        <v>120</v>
      </c>
      <c r="E1810">
        <v>4.5</v>
      </c>
      <c r="F1810">
        <v>1.32</v>
      </c>
      <c r="G1810" s="1">
        <v>9274</v>
      </c>
    </row>
    <row r="1811" spans="1:7" x14ac:dyDescent="0.25">
      <c r="A1811" t="s">
        <v>1720</v>
      </c>
      <c r="B1811">
        <v>2017</v>
      </c>
      <c r="C1811">
        <v>18</v>
      </c>
      <c r="D1811">
        <v>97</v>
      </c>
      <c r="E1811">
        <v>5</v>
      </c>
      <c r="F1811">
        <v>2.46</v>
      </c>
      <c r="G1811" s="1">
        <v>12265</v>
      </c>
    </row>
    <row r="1812" spans="1:7" x14ac:dyDescent="0.25">
      <c r="A1812" t="s">
        <v>1724</v>
      </c>
      <c r="B1812">
        <v>2017</v>
      </c>
      <c r="C1812">
        <v>12</v>
      </c>
      <c r="D1812">
        <v>106</v>
      </c>
      <c r="E1812">
        <v>6.4</v>
      </c>
      <c r="F1812">
        <v>2.46</v>
      </c>
      <c r="G1812" s="1">
        <v>26504</v>
      </c>
    </row>
    <row r="1813" spans="1:7" x14ac:dyDescent="0.25">
      <c r="A1813" t="s">
        <v>1726</v>
      </c>
      <c r="B1813">
        <v>2017</v>
      </c>
      <c r="C1813">
        <v>12</v>
      </c>
      <c r="D1813">
        <v>106</v>
      </c>
      <c r="E1813">
        <v>6.7</v>
      </c>
      <c r="F1813">
        <v>1.1100000000000001</v>
      </c>
      <c r="G1813" s="1">
        <v>8459</v>
      </c>
    </row>
    <row r="1814" spans="1:7" x14ac:dyDescent="0.25">
      <c r="A1814" t="s">
        <v>1727</v>
      </c>
      <c r="B1814">
        <v>2017</v>
      </c>
      <c r="C1814">
        <v>15</v>
      </c>
      <c r="D1814">
        <v>84</v>
      </c>
      <c r="E1814">
        <v>7.9</v>
      </c>
      <c r="F1814">
        <v>2.46</v>
      </c>
      <c r="G1814" s="1">
        <v>1001</v>
      </c>
    </row>
    <row r="1815" spans="1:7" x14ac:dyDescent="0.25">
      <c r="A1815" t="s">
        <v>1730</v>
      </c>
      <c r="B1815">
        <v>2017</v>
      </c>
      <c r="C1815">
        <v>15</v>
      </c>
      <c r="D1815">
        <v>80</v>
      </c>
      <c r="E1815">
        <v>6.8</v>
      </c>
      <c r="F1815">
        <v>0.05</v>
      </c>
      <c r="G1815" s="1">
        <v>1095</v>
      </c>
    </row>
    <row r="1816" spans="1:7" x14ac:dyDescent="0.25">
      <c r="A1816" t="s">
        <v>1734</v>
      </c>
      <c r="B1816">
        <v>2017</v>
      </c>
      <c r="C1816">
        <v>12</v>
      </c>
      <c r="D1816">
        <v>92</v>
      </c>
      <c r="E1816">
        <v>6</v>
      </c>
      <c r="F1816">
        <v>2.46</v>
      </c>
      <c r="G1816" s="1">
        <v>2057</v>
      </c>
    </row>
    <row r="1817" spans="1:7" x14ac:dyDescent="0.25">
      <c r="A1817" t="s">
        <v>1738</v>
      </c>
      <c r="B1817">
        <v>2017</v>
      </c>
      <c r="C1817">
        <v>15</v>
      </c>
      <c r="D1817">
        <v>117</v>
      </c>
      <c r="E1817">
        <v>7.2</v>
      </c>
      <c r="F1817">
        <v>2.4</v>
      </c>
      <c r="G1817" s="1">
        <v>130721</v>
      </c>
    </row>
    <row r="1818" spans="1:7" x14ac:dyDescent="0.25">
      <c r="A1818" t="s">
        <v>1742</v>
      </c>
      <c r="B1818">
        <v>2017</v>
      </c>
      <c r="C1818">
        <v>15</v>
      </c>
      <c r="D1818">
        <v>84</v>
      </c>
      <c r="E1818">
        <v>5.7</v>
      </c>
      <c r="F1818">
        <v>0.05</v>
      </c>
      <c r="G1818" s="1">
        <v>1770</v>
      </c>
    </row>
    <row r="1819" spans="1:7" x14ac:dyDescent="0.25">
      <c r="A1819" t="s">
        <v>1743</v>
      </c>
      <c r="B1819">
        <v>2017</v>
      </c>
      <c r="C1819">
        <v>15</v>
      </c>
      <c r="D1819">
        <v>82</v>
      </c>
      <c r="E1819">
        <v>6</v>
      </c>
      <c r="F1819">
        <v>7.12</v>
      </c>
      <c r="G1819" s="1">
        <v>10683</v>
      </c>
    </row>
    <row r="1820" spans="1:7" x14ac:dyDescent="0.25">
      <c r="A1820" t="s">
        <v>1746</v>
      </c>
      <c r="B1820">
        <v>2017</v>
      </c>
      <c r="C1820">
        <v>15</v>
      </c>
      <c r="D1820">
        <v>121</v>
      </c>
      <c r="E1820">
        <v>7.3</v>
      </c>
      <c r="F1820">
        <v>2.46</v>
      </c>
      <c r="G1820" s="1">
        <v>93776</v>
      </c>
    </row>
    <row r="1821" spans="1:7" x14ac:dyDescent="0.25">
      <c r="A1821" t="s">
        <v>1747</v>
      </c>
      <c r="B1821">
        <v>2017</v>
      </c>
      <c r="C1821">
        <v>15</v>
      </c>
      <c r="D1821">
        <v>106</v>
      </c>
      <c r="E1821">
        <v>6</v>
      </c>
      <c r="F1821">
        <v>2.68</v>
      </c>
      <c r="G1821" s="1">
        <v>20542</v>
      </c>
    </row>
    <row r="1822" spans="1:7" x14ac:dyDescent="0.25">
      <c r="A1822" t="s">
        <v>1748</v>
      </c>
      <c r="B1822">
        <v>2017</v>
      </c>
      <c r="C1822">
        <v>15</v>
      </c>
      <c r="D1822">
        <v>139</v>
      </c>
      <c r="E1822">
        <v>5.9</v>
      </c>
      <c r="F1822">
        <v>44.92</v>
      </c>
      <c r="G1822" s="1">
        <v>24401</v>
      </c>
    </row>
    <row r="1823" spans="1:7" x14ac:dyDescent="0.25">
      <c r="A1823" t="s">
        <v>1750</v>
      </c>
      <c r="B1823">
        <v>2017</v>
      </c>
      <c r="C1823">
        <v>15</v>
      </c>
      <c r="D1823">
        <v>117</v>
      </c>
      <c r="E1823">
        <v>6.8</v>
      </c>
      <c r="F1823">
        <v>0.38</v>
      </c>
      <c r="G1823" s="1">
        <v>6317</v>
      </c>
    </row>
    <row r="1824" spans="1:7" x14ac:dyDescent="0.25">
      <c r="A1824" t="s">
        <v>1751</v>
      </c>
      <c r="B1824">
        <v>2017</v>
      </c>
      <c r="C1824">
        <v>15</v>
      </c>
      <c r="D1824">
        <v>94</v>
      </c>
      <c r="E1824">
        <v>6.2</v>
      </c>
      <c r="F1824">
        <v>2.46</v>
      </c>
      <c r="G1824" s="1">
        <v>24006</v>
      </c>
    </row>
    <row r="1825" spans="1:7" x14ac:dyDescent="0.25">
      <c r="A1825" t="s">
        <v>1754</v>
      </c>
      <c r="B1825">
        <v>2017</v>
      </c>
      <c r="C1825">
        <v>15</v>
      </c>
      <c r="D1825">
        <v>100</v>
      </c>
      <c r="E1825">
        <v>7</v>
      </c>
      <c r="F1825">
        <v>2.46</v>
      </c>
      <c r="G1825" s="1">
        <v>13535</v>
      </c>
    </row>
    <row r="1826" spans="1:7" x14ac:dyDescent="0.25">
      <c r="A1826" t="s">
        <v>1755</v>
      </c>
      <c r="B1826">
        <v>2017</v>
      </c>
      <c r="C1826">
        <v>15</v>
      </c>
      <c r="D1826">
        <v>92</v>
      </c>
      <c r="E1826">
        <v>4.8</v>
      </c>
      <c r="F1826">
        <v>2.46</v>
      </c>
      <c r="G1826" s="1">
        <v>15024</v>
      </c>
    </row>
    <row r="1827" spans="1:7" x14ac:dyDescent="0.25">
      <c r="A1827" t="s">
        <v>1756</v>
      </c>
      <c r="B1827">
        <v>2017</v>
      </c>
      <c r="C1827">
        <v>15</v>
      </c>
      <c r="D1827">
        <v>90</v>
      </c>
      <c r="E1827">
        <v>5.8</v>
      </c>
      <c r="F1827">
        <v>1.65</v>
      </c>
      <c r="G1827" s="1">
        <v>24869</v>
      </c>
    </row>
    <row r="1828" spans="1:7" x14ac:dyDescent="0.25">
      <c r="A1828" t="s">
        <v>1757</v>
      </c>
      <c r="B1828">
        <v>2017</v>
      </c>
      <c r="C1828">
        <v>15</v>
      </c>
      <c r="D1828">
        <v>101</v>
      </c>
      <c r="E1828">
        <v>4.5999999999999996</v>
      </c>
      <c r="F1828">
        <v>2.46</v>
      </c>
      <c r="G1828" s="1">
        <v>89194</v>
      </c>
    </row>
    <row r="1829" spans="1:7" x14ac:dyDescent="0.25">
      <c r="A1829" t="s">
        <v>1758</v>
      </c>
      <c r="B1829">
        <v>2017</v>
      </c>
      <c r="C1829">
        <v>15</v>
      </c>
      <c r="D1829">
        <v>100</v>
      </c>
      <c r="E1829">
        <v>5.0999999999999996</v>
      </c>
      <c r="F1829">
        <v>11.27</v>
      </c>
      <c r="G1829" s="1">
        <v>16565</v>
      </c>
    </row>
    <row r="1830" spans="1:7" x14ac:dyDescent="0.25">
      <c r="A1830" t="s">
        <v>1762</v>
      </c>
      <c r="B1830">
        <v>2017</v>
      </c>
      <c r="C1830">
        <v>15</v>
      </c>
      <c r="D1830">
        <v>136</v>
      </c>
      <c r="E1830">
        <v>7.6</v>
      </c>
      <c r="F1830">
        <v>389.81</v>
      </c>
      <c r="G1830" s="1">
        <v>740875</v>
      </c>
    </row>
    <row r="1831" spans="1:7" x14ac:dyDescent="0.25">
      <c r="A1831" t="s">
        <v>1763</v>
      </c>
      <c r="B1831">
        <v>2017</v>
      </c>
      <c r="C1831">
        <v>15</v>
      </c>
      <c r="D1831">
        <v>105</v>
      </c>
      <c r="E1831">
        <v>5.9</v>
      </c>
      <c r="F1831">
        <v>2.46</v>
      </c>
      <c r="G1831" s="1">
        <v>1450</v>
      </c>
    </row>
    <row r="1832" spans="1:7" x14ac:dyDescent="0.25">
      <c r="A1832" t="s">
        <v>1764</v>
      </c>
      <c r="B1832">
        <v>2017</v>
      </c>
      <c r="C1832">
        <v>15</v>
      </c>
      <c r="D1832">
        <v>116</v>
      </c>
      <c r="E1832">
        <v>5.5</v>
      </c>
      <c r="F1832">
        <v>58.06</v>
      </c>
      <c r="G1832" s="1">
        <v>197900</v>
      </c>
    </row>
    <row r="1833" spans="1:7" x14ac:dyDescent="0.25">
      <c r="A1833" t="s">
        <v>1765</v>
      </c>
      <c r="B1833">
        <v>2017</v>
      </c>
      <c r="C1833">
        <v>15</v>
      </c>
      <c r="D1833">
        <v>120</v>
      </c>
      <c r="E1833">
        <v>7.3</v>
      </c>
      <c r="F1833">
        <v>2.46</v>
      </c>
      <c r="G1833" s="1">
        <v>129484</v>
      </c>
    </row>
    <row r="1834" spans="1:7" x14ac:dyDescent="0.25">
      <c r="A1834" t="s">
        <v>1767</v>
      </c>
      <c r="B1834">
        <v>2017</v>
      </c>
      <c r="C1834">
        <v>12</v>
      </c>
      <c r="D1834">
        <v>105</v>
      </c>
      <c r="E1834">
        <v>6</v>
      </c>
      <c r="F1834">
        <v>1.28</v>
      </c>
      <c r="G1834" s="1">
        <v>15620</v>
      </c>
    </row>
    <row r="1835" spans="1:7" x14ac:dyDescent="0.25">
      <c r="A1835" t="s">
        <v>1769</v>
      </c>
      <c r="B1835">
        <v>2017</v>
      </c>
      <c r="C1835">
        <v>15</v>
      </c>
      <c r="D1835">
        <v>118</v>
      </c>
      <c r="E1835">
        <v>6.9</v>
      </c>
      <c r="F1835">
        <v>75.47</v>
      </c>
      <c r="G1835" s="1">
        <v>242481</v>
      </c>
    </row>
    <row r="1836" spans="1:7" x14ac:dyDescent="0.25">
      <c r="A1836" t="s">
        <v>1770</v>
      </c>
      <c r="B1836">
        <v>2017</v>
      </c>
      <c r="C1836">
        <v>15</v>
      </c>
      <c r="D1836">
        <v>95</v>
      </c>
      <c r="E1836">
        <v>5.6</v>
      </c>
      <c r="F1836">
        <v>50.7</v>
      </c>
      <c r="G1836" s="1">
        <v>143982</v>
      </c>
    </row>
    <row r="1837" spans="1:7" x14ac:dyDescent="0.25">
      <c r="A1837" t="s">
        <v>1772</v>
      </c>
      <c r="B1837">
        <v>2017</v>
      </c>
      <c r="C1837">
        <v>15</v>
      </c>
      <c r="D1837">
        <v>115</v>
      </c>
      <c r="E1837">
        <v>6.7</v>
      </c>
      <c r="F1837">
        <v>51.69</v>
      </c>
      <c r="G1837" s="1">
        <v>203206</v>
      </c>
    </row>
    <row r="1838" spans="1:7" x14ac:dyDescent="0.25">
      <c r="A1838" t="s">
        <v>1773</v>
      </c>
      <c r="B1838">
        <v>2017</v>
      </c>
      <c r="C1838">
        <v>15</v>
      </c>
      <c r="D1838">
        <v>105</v>
      </c>
      <c r="E1838">
        <v>7.2</v>
      </c>
      <c r="F1838">
        <v>2.46</v>
      </c>
      <c r="G1838" s="1">
        <v>3142</v>
      </c>
    </row>
    <row r="1839" spans="1:7" x14ac:dyDescent="0.25">
      <c r="A1839" t="s">
        <v>1775</v>
      </c>
      <c r="B1839">
        <v>2017</v>
      </c>
      <c r="C1839">
        <v>15</v>
      </c>
      <c r="D1839">
        <v>123</v>
      </c>
      <c r="E1839">
        <v>6.8</v>
      </c>
      <c r="F1839">
        <v>2.46</v>
      </c>
      <c r="G1839" s="1">
        <v>131249</v>
      </c>
    </row>
    <row r="1840" spans="1:7" x14ac:dyDescent="0.25">
      <c r="A1840" t="s">
        <v>1777</v>
      </c>
      <c r="B1840">
        <v>2017</v>
      </c>
      <c r="C1840">
        <v>15</v>
      </c>
      <c r="D1840">
        <v>116</v>
      </c>
      <c r="E1840">
        <v>7.1</v>
      </c>
      <c r="F1840">
        <v>13.41</v>
      </c>
      <c r="G1840" s="1">
        <v>25668</v>
      </c>
    </row>
    <row r="1841" spans="1:7" x14ac:dyDescent="0.25">
      <c r="A1841" t="s">
        <v>1781</v>
      </c>
      <c r="B1841">
        <v>2017</v>
      </c>
      <c r="C1841">
        <v>15</v>
      </c>
      <c r="D1841">
        <v>107</v>
      </c>
      <c r="E1841">
        <v>7.7</v>
      </c>
      <c r="F1841">
        <v>33.799999999999997</v>
      </c>
      <c r="G1841" s="1">
        <v>271626</v>
      </c>
    </row>
    <row r="1842" spans="1:7" x14ac:dyDescent="0.25">
      <c r="A1842" t="s">
        <v>1782</v>
      </c>
      <c r="B1842">
        <v>2017</v>
      </c>
      <c r="C1842">
        <v>15</v>
      </c>
      <c r="D1842">
        <v>96</v>
      </c>
      <c r="E1842">
        <v>6.5</v>
      </c>
      <c r="F1842">
        <v>4.08</v>
      </c>
      <c r="G1842" s="1">
        <v>10286</v>
      </c>
    </row>
    <row r="1843" spans="1:7" x14ac:dyDescent="0.25">
      <c r="A1843" t="s">
        <v>1788</v>
      </c>
      <c r="B1843">
        <v>2017</v>
      </c>
      <c r="C1843">
        <v>15</v>
      </c>
      <c r="D1843">
        <v>97</v>
      </c>
      <c r="E1843">
        <v>6.4</v>
      </c>
      <c r="F1843">
        <v>0.94</v>
      </c>
      <c r="G1843" s="1">
        <v>4840</v>
      </c>
    </row>
    <row r="1844" spans="1:7" x14ac:dyDescent="0.25">
      <c r="A1844" t="s">
        <v>1790</v>
      </c>
      <c r="B1844">
        <v>2017</v>
      </c>
      <c r="C1844">
        <v>15</v>
      </c>
      <c r="D1844">
        <v>89</v>
      </c>
      <c r="E1844">
        <v>6.3</v>
      </c>
      <c r="F1844">
        <v>0.62</v>
      </c>
      <c r="G1844" s="1">
        <v>16618</v>
      </c>
    </row>
    <row r="1845" spans="1:7" x14ac:dyDescent="0.25">
      <c r="A1845" t="s">
        <v>1793</v>
      </c>
      <c r="B1845">
        <v>2017</v>
      </c>
      <c r="C1845">
        <v>15</v>
      </c>
      <c r="D1845">
        <v>110</v>
      </c>
      <c r="E1845">
        <v>4.2</v>
      </c>
      <c r="F1845">
        <v>2.46</v>
      </c>
      <c r="G1845" s="1">
        <v>1012</v>
      </c>
    </row>
    <row r="1846" spans="1:7" x14ac:dyDescent="0.25">
      <c r="A1846" t="s">
        <v>1794</v>
      </c>
      <c r="B1846">
        <v>2017</v>
      </c>
      <c r="C1846">
        <v>15</v>
      </c>
      <c r="D1846">
        <v>92</v>
      </c>
      <c r="E1846">
        <v>6.8</v>
      </c>
      <c r="F1846">
        <v>1.6</v>
      </c>
      <c r="G1846" s="1">
        <v>77551</v>
      </c>
    </row>
    <row r="1847" spans="1:7" x14ac:dyDescent="0.25">
      <c r="A1847" t="s">
        <v>1795</v>
      </c>
      <c r="B1847">
        <v>2017</v>
      </c>
      <c r="C1847">
        <v>15</v>
      </c>
      <c r="D1847">
        <v>93</v>
      </c>
      <c r="E1847">
        <v>6.3</v>
      </c>
      <c r="F1847">
        <v>10.58</v>
      </c>
      <c r="G1847" s="1">
        <v>60619</v>
      </c>
    </row>
    <row r="1848" spans="1:7" x14ac:dyDescent="0.25">
      <c r="A1848" t="s">
        <v>1796</v>
      </c>
      <c r="B1848">
        <v>2017</v>
      </c>
      <c r="C1848">
        <v>15</v>
      </c>
      <c r="D1848">
        <v>109</v>
      </c>
      <c r="E1848">
        <v>5.4</v>
      </c>
      <c r="F1848">
        <v>2.46</v>
      </c>
      <c r="G1848" s="1">
        <v>1665</v>
      </c>
    </row>
    <row r="1849" spans="1:7" x14ac:dyDescent="0.25">
      <c r="A1849" t="s">
        <v>1797</v>
      </c>
      <c r="B1849">
        <v>2017</v>
      </c>
      <c r="C1849">
        <v>15</v>
      </c>
      <c r="D1849">
        <v>113</v>
      </c>
      <c r="E1849">
        <v>7.6</v>
      </c>
      <c r="F1849">
        <v>107.83</v>
      </c>
      <c r="G1849" s="1">
        <v>587601</v>
      </c>
    </row>
    <row r="1850" spans="1:7" x14ac:dyDescent="0.25">
      <c r="A1850" t="s">
        <v>1798</v>
      </c>
      <c r="B1850">
        <v>2017</v>
      </c>
      <c r="C1850">
        <v>15</v>
      </c>
      <c r="D1850">
        <v>136</v>
      </c>
      <c r="E1850">
        <v>6.4</v>
      </c>
      <c r="F1850">
        <v>41.19</v>
      </c>
      <c r="G1850" s="1">
        <v>193110</v>
      </c>
    </row>
    <row r="1851" spans="1:7" x14ac:dyDescent="0.25">
      <c r="A1851" t="s">
        <v>1799</v>
      </c>
      <c r="B1851">
        <v>2017</v>
      </c>
      <c r="C1851">
        <v>15</v>
      </c>
      <c r="D1851">
        <v>98</v>
      </c>
      <c r="E1851">
        <v>6.6</v>
      </c>
      <c r="F1851">
        <v>3.02</v>
      </c>
      <c r="G1851" s="1">
        <v>47085</v>
      </c>
    </row>
    <row r="1852" spans="1:7" x14ac:dyDescent="0.25">
      <c r="A1852" t="s">
        <v>1800</v>
      </c>
      <c r="B1852">
        <v>2017</v>
      </c>
      <c r="C1852">
        <v>15</v>
      </c>
      <c r="D1852">
        <v>104</v>
      </c>
      <c r="E1852">
        <v>7.6</v>
      </c>
      <c r="F1852">
        <v>0.34</v>
      </c>
      <c r="G1852" s="1">
        <v>34403</v>
      </c>
    </row>
    <row r="1853" spans="1:7" x14ac:dyDescent="0.25">
      <c r="A1853" t="s">
        <v>1801</v>
      </c>
      <c r="B1853">
        <v>2017</v>
      </c>
      <c r="C1853">
        <v>15</v>
      </c>
      <c r="D1853">
        <v>92</v>
      </c>
      <c r="E1853">
        <v>4.0999999999999996</v>
      </c>
      <c r="F1853">
        <v>2.46</v>
      </c>
      <c r="G1853" s="1">
        <v>3289</v>
      </c>
    </row>
    <row r="1854" spans="1:7" x14ac:dyDescent="0.25">
      <c r="A1854" t="s">
        <v>1802</v>
      </c>
      <c r="B1854">
        <v>2017</v>
      </c>
      <c r="C1854">
        <v>15</v>
      </c>
      <c r="D1854">
        <v>127</v>
      </c>
      <c r="E1854">
        <v>7.1</v>
      </c>
      <c r="F1854">
        <v>17.27</v>
      </c>
      <c r="G1854" s="1">
        <v>37530</v>
      </c>
    </row>
    <row r="1855" spans="1:7" x14ac:dyDescent="0.25">
      <c r="A1855" t="s">
        <v>1804</v>
      </c>
      <c r="B1855">
        <v>2017</v>
      </c>
      <c r="C1855">
        <v>15</v>
      </c>
      <c r="D1855">
        <v>87</v>
      </c>
      <c r="E1855">
        <v>5.7</v>
      </c>
      <c r="F1855">
        <v>2.46</v>
      </c>
      <c r="G1855" s="1">
        <v>13347</v>
      </c>
    </row>
    <row r="1856" spans="1:7" x14ac:dyDescent="0.25">
      <c r="A1856" t="s">
        <v>1805</v>
      </c>
      <c r="B1856">
        <v>2017</v>
      </c>
      <c r="C1856">
        <v>15</v>
      </c>
      <c r="D1856">
        <v>115</v>
      </c>
      <c r="E1856">
        <v>7.1</v>
      </c>
      <c r="F1856">
        <v>51.34</v>
      </c>
      <c r="G1856" s="1">
        <v>201802</v>
      </c>
    </row>
    <row r="1857" spans="1:7" x14ac:dyDescent="0.25">
      <c r="A1857" t="s">
        <v>1806</v>
      </c>
      <c r="B1857">
        <v>2017</v>
      </c>
      <c r="C1857">
        <v>15</v>
      </c>
      <c r="D1857">
        <v>107</v>
      </c>
      <c r="E1857">
        <v>6.2</v>
      </c>
      <c r="F1857">
        <v>0.17</v>
      </c>
      <c r="G1857" s="1">
        <v>13346</v>
      </c>
    </row>
    <row r="1858" spans="1:7" x14ac:dyDescent="0.25">
      <c r="A1858" t="s">
        <v>1807</v>
      </c>
      <c r="B1858">
        <v>2017</v>
      </c>
      <c r="C1858">
        <v>15</v>
      </c>
      <c r="D1858">
        <v>95</v>
      </c>
      <c r="E1858">
        <v>5.8</v>
      </c>
      <c r="F1858">
        <v>0.1</v>
      </c>
      <c r="G1858" s="1">
        <v>6613</v>
      </c>
    </row>
    <row r="1859" spans="1:7" x14ac:dyDescent="0.25">
      <c r="A1859" t="s">
        <v>1808</v>
      </c>
      <c r="B1859">
        <v>2017</v>
      </c>
      <c r="C1859">
        <v>15</v>
      </c>
      <c r="D1859">
        <v>105</v>
      </c>
      <c r="E1859">
        <v>6.2</v>
      </c>
      <c r="F1859">
        <v>2.4300000000000002</v>
      </c>
      <c r="G1859" s="1">
        <v>22509</v>
      </c>
    </row>
    <row r="1860" spans="1:7" x14ac:dyDescent="0.25">
      <c r="A1860" t="s">
        <v>1809</v>
      </c>
      <c r="B1860">
        <v>2017</v>
      </c>
      <c r="C1860">
        <v>15</v>
      </c>
      <c r="D1860">
        <v>107</v>
      </c>
      <c r="E1860">
        <v>6.8</v>
      </c>
      <c r="F1860">
        <v>2.46</v>
      </c>
      <c r="G1860" s="1">
        <v>53584</v>
      </c>
    </row>
    <row r="1861" spans="1:7" x14ac:dyDescent="0.25">
      <c r="A1861" t="s">
        <v>1810</v>
      </c>
      <c r="B1861">
        <v>2017</v>
      </c>
      <c r="C1861">
        <v>15</v>
      </c>
      <c r="D1861">
        <v>118</v>
      </c>
      <c r="E1861">
        <v>6.6</v>
      </c>
      <c r="F1861">
        <v>0.13</v>
      </c>
      <c r="G1861" s="1">
        <v>7111</v>
      </c>
    </row>
    <row r="1862" spans="1:7" x14ac:dyDescent="0.25">
      <c r="A1862" t="s">
        <v>1811</v>
      </c>
      <c r="B1862">
        <v>2017</v>
      </c>
      <c r="C1862">
        <v>15</v>
      </c>
      <c r="D1862">
        <v>105</v>
      </c>
      <c r="E1862">
        <v>6.8</v>
      </c>
      <c r="F1862">
        <v>2.46</v>
      </c>
      <c r="G1862" s="1">
        <v>5100</v>
      </c>
    </row>
    <row r="1863" spans="1:7" x14ac:dyDescent="0.25">
      <c r="A1863" t="s">
        <v>1812</v>
      </c>
      <c r="B1863">
        <v>2017</v>
      </c>
      <c r="C1863">
        <v>15</v>
      </c>
      <c r="D1863">
        <v>95</v>
      </c>
      <c r="E1863">
        <v>7</v>
      </c>
      <c r="F1863">
        <v>2.46</v>
      </c>
      <c r="G1863" s="1">
        <v>7044</v>
      </c>
    </row>
    <row r="1864" spans="1:7" x14ac:dyDescent="0.25">
      <c r="A1864" t="s">
        <v>1813</v>
      </c>
      <c r="B1864">
        <v>2017</v>
      </c>
      <c r="C1864">
        <v>15</v>
      </c>
      <c r="D1864">
        <v>140</v>
      </c>
      <c r="E1864">
        <v>7.4</v>
      </c>
      <c r="F1864">
        <v>146.88</v>
      </c>
      <c r="G1864" s="1">
        <v>273503</v>
      </c>
    </row>
    <row r="1865" spans="1:7" x14ac:dyDescent="0.25">
      <c r="A1865" t="s">
        <v>1814</v>
      </c>
      <c r="B1865">
        <v>2017</v>
      </c>
      <c r="C1865">
        <v>15</v>
      </c>
      <c r="D1865">
        <v>98</v>
      </c>
      <c r="E1865">
        <v>7.5</v>
      </c>
      <c r="F1865">
        <v>0.04</v>
      </c>
      <c r="G1865" s="1">
        <v>3164</v>
      </c>
    </row>
    <row r="1866" spans="1:7" x14ac:dyDescent="0.25">
      <c r="A1866" t="s">
        <v>1816</v>
      </c>
      <c r="B1866">
        <v>2017</v>
      </c>
      <c r="C1866">
        <v>15</v>
      </c>
      <c r="D1866">
        <v>134</v>
      </c>
      <c r="E1866">
        <v>7.4</v>
      </c>
      <c r="F1866">
        <v>2.46</v>
      </c>
      <c r="G1866" s="1">
        <v>52994</v>
      </c>
    </row>
    <row r="1867" spans="1:7" x14ac:dyDescent="0.25">
      <c r="A1867" t="s">
        <v>1817</v>
      </c>
      <c r="B1867">
        <v>2017</v>
      </c>
      <c r="C1867">
        <v>15</v>
      </c>
      <c r="D1867">
        <v>143</v>
      </c>
      <c r="E1867">
        <v>7.4</v>
      </c>
      <c r="F1867">
        <v>0.13</v>
      </c>
      <c r="G1867" s="1">
        <v>16453</v>
      </c>
    </row>
    <row r="1868" spans="1:7" x14ac:dyDescent="0.25">
      <c r="A1868" t="s">
        <v>1819</v>
      </c>
      <c r="B1868">
        <v>2017</v>
      </c>
      <c r="C1868">
        <v>15</v>
      </c>
      <c r="D1868">
        <v>111</v>
      </c>
      <c r="E1868">
        <v>6.8</v>
      </c>
      <c r="F1868">
        <v>22.25</v>
      </c>
      <c r="G1868" s="1">
        <v>37633</v>
      </c>
    </row>
    <row r="1869" spans="1:7" x14ac:dyDescent="0.25">
      <c r="A1869" t="s">
        <v>1821</v>
      </c>
      <c r="B1869">
        <v>2017</v>
      </c>
      <c r="C1869">
        <v>15</v>
      </c>
      <c r="D1869">
        <v>93</v>
      </c>
      <c r="E1869">
        <v>5.8</v>
      </c>
      <c r="F1869">
        <v>2.46</v>
      </c>
      <c r="G1869" s="1">
        <v>15622</v>
      </c>
    </row>
    <row r="1870" spans="1:7" x14ac:dyDescent="0.25">
      <c r="A1870" t="s">
        <v>1822</v>
      </c>
      <c r="B1870">
        <v>2017</v>
      </c>
      <c r="C1870">
        <v>15</v>
      </c>
      <c r="D1870">
        <v>104</v>
      </c>
      <c r="E1870">
        <v>5.2</v>
      </c>
      <c r="F1870">
        <v>2.46</v>
      </c>
      <c r="G1870">
        <v>448</v>
      </c>
    </row>
    <row r="1871" spans="1:7" x14ac:dyDescent="0.25">
      <c r="A1871" t="s">
        <v>1827</v>
      </c>
      <c r="B1871">
        <v>2017</v>
      </c>
      <c r="C1871">
        <v>15</v>
      </c>
      <c r="D1871">
        <v>92</v>
      </c>
      <c r="E1871">
        <v>5.4</v>
      </c>
      <c r="F1871">
        <v>0</v>
      </c>
      <c r="G1871" s="1">
        <v>1729</v>
      </c>
    </row>
    <row r="1872" spans="1:7" x14ac:dyDescent="0.25">
      <c r="A1872" t="s">
        <v>1828</v>
      </c>
      <c r="B1872">
        <v>2017</v>
      </c>
      <c r="C1872">
        <v>15</v>
      </c>
      <c r="D1872">
        <v>141</v>
      </c>
      <c r="E1872">
        <v>6.7</v>
      </c>
      <c r="F1872">
        <v>100.23</v>
      </c>
      <c r="G1872" s="1">
        <v>353008</v>
      </c>
    </row>
    <row r="1873" spans="1:7" x14ac:dyDescent="0.25">
      <c r="A1873" t="s">
        <v>1829</v>
      </c>
      <c r="B1873">
        <v>2017</v>
      </c>
      <c r="C1873">
        <v>15</v>
      </c>
      <c r="D1873">
        <v>106</v>
      </c>
      <c r="E1873">
        <v>7.8</v>
      </c>
      <c r="F1873">
        <v>188.37</v>
      </c>
      <c r="G1873" s="1">
        <v>717288</v>
      </c>
    </row>
    <row r="1874" spans="1:7" x14ac:dyDescent="0.25">
      <c r="A1874" t="s">
        <v>1830</v>
      </c>
      <c r="B1874">
        <v>2017</v>
      </c>
      <c r="C1874">
        <v>15</v>
      </c>
      <c r="D1874">
        <v>98</v>
      </c>
      <c r="E1874">
        <v>6.4</v>
      </c>
      <c r="F1874">
        <v>0.47</v>
      </c>
      <c r="G1874" s="1">
        <v>16052</v>
      </c>
    </row>
    <row r="1875" spans="1:7" x14ac:dyDescent="0.25">
      <c r="A1875" t="s">
        <v>1831</v>
      </c>
      <c r="B1875">
        <v>2017</v>
      </c>
      <c r="C1875">
        <v>15</v>
      </c>
      <c r="D1875">
        <v>109</v>
      </c>
      <c r="E1875">
        <v>5.3</v>
      </c>
      <c r="F1875">
        <v>33.700000000000003</v>
      </c>
      <c r="G1875" s="1">
        <v>115394</v>
      </c>
    </row>
    <row r="1876" spans="1:7" x14ac:dyDescent="0.25">
      <c r="A1876" t="s">
        <v>1832</v>
      </c>
      <c r="B1876">
        <v>2017</v>
      </c>
      <c r="C1876">
        <v>15</v>
      </c>
      <c r="D1876">
        <v>119</v>
      </c>
      <c r="E1876">
        <v>5</v>
      </c>
      <c r="F1876">
        <v>0.04</v>
      </c>
      <c r="G1876" s="1">
        <v>1405</v>
      </c>
    </row>
    <row r="1877" spans="1:7" x14ac:dyDescent="0.25">
      <c r="A1877" t="s">
        <v>1833</v>
      </c>
      <c r="B1877">
        <v>2017</v>
      </c>
      <c r="C1877">
        <v>15</v>
      </c>
      <c r="D1877">
        <v>112</v>
      </c>
      <c r="E1877">
        <v>6.4</v>
      </c>
      <c r="F1877">
        <v>30.35</v>
      </c>
      <c r="G1877" s="1">
        <v>79508</v>
      </c>
    </row>
    <row r="1878" spans="1:7" x14ac:dyDescent="0.25">
      <c r="A1878" t="s">
        <v>1834</v>
      </c>
      <c r="B1878">
        <v>2017</v>
      </c>
      <c r="C1878">
        <v>15</v>
      </c>
      <c r="D1878">
        <v>121</v>
      </c>
      <c r="E1878">
        <v>7</v>
      </c>
      <c r="F1878">
        <v>2.29</v>
      </c>
      <c r="G1878" s="1">
        <v>171881</v>
      </c>
    </row>
    <row r="1879" spans="1:7" x14ac:dyDescent="0.25">
      <c r="A1879" t="s">
        <v>1835</v>
      </c>
      <c r="B1879">
        <v>2017</v>
      </c>
      <c r="C1879">
        <v>15</v>
      </c>
      <c r="D1879">
        <v>104</v>
      </c>
      <c r="E1879">
        <v>5.8</v>
      </c>
      <c r="F1879">
        <v>0</v>
      </c>
      <c r="G1879" s="1">
        <v>2816</v>
      </c>
    </row>
    <row r="1880" spans="1:7" x14ac:dyDescent="0.25">
      <c r="A1880" t="s">
        <v>1836</v>
      </c>
      <c r="B1880">
        <v>2017</v>
      </c>
      <c r="C1880">
        <v>15</v>
      </c>
      <c r="D1880">
        <v>132</v>
      </c>
      <c r="E1880">
        <v>7.1</v>
      </c>
      <c r="F1880">
        <v>2.46</v>
      </c>
      <c r="G1880" s="1">
        <v>72588</v>
      </c>
    </row>
    <row r="1881" spans="1:7" x14ac:dyDescent="0.25">
      <c r="A1881" t="s">
        <v>1837</v>
      </c>
      <c r="B1881">
        <v>2017</v>
      </c>
      <c r="C1881">
        <v>15</v>
      </c>
      <c r="D1881">
        <v>152</v>
      </c>
      <c r="E1881">
        <v>6.9</v>
      </c>
      <c r="F1881">
        <v>620.17999999999995</v>
      </c>
      <c r="G1881" s="1">
        <v>659896</v>
      </c>
    </row>
    <row r="1882" spans="1:7" x14ac:dyDescent="0.25">
      <c r="A1882" t="s">
        <v>1839</v>
      </c>
      <c r="B1882">
        <v>2017</v>
      </c>
      <c r="C1882">
        <v>15</v>
      </c>
      <c r="D1882">
        <v>121</v>
      </c>
      <c r="E1882">
        <v>6.7</v>
      </c>
      <c r="F1882">
        <v>12.64</v>
      </c>
      <c r="G1882" s="1">
        <v>58746</v>
      </c>
    </row>
    <row r="1883" spans="1:7" x14ac:dyDescent="0.25">
      <c r="A1883" t="s">
        <v>1840</v>
      </c>
      <c r="B1883">
        <v>2017</v>
      </c>
      <c r="C1883">
        <v>15</v>
      </c>
      <c r="D1883">
        <v>98</v>
      </c>
      <c r="E1883">
        <v>6.3</v>
      </c>
      <c r="F1883">
        <v>2.46</v>
      </c>
      <c r="G1883" s="1">
        <v>37833</v>
      </c>
    </row>
    <row r="1884" spans="1:7" x14ac:dyDescent="0.25">
      <c r="A1884" t="s">
        <v>1841</v>
      </c>
      <c r="B1884">
        <v>2017</v>
      </c>
      <c r="C1884">
        <v>15</v>
      </c>
      <c r="D1884">
        <v>82</v>
      </c>
      <c r="E1884">
        <v>6.4</v>
      </c>
      <c r="F1884">
        <v>2.46</v>
      </c>
      <c r="G1884" s="1">
        <v>21924</v>
      </c>
    </row>
    <row r="1885" spans="1:7" x14ac:dyDescent="0.25">
      <c r="A1885" t="s">
        <v>1842</v>
      </c>
      <c r="B1885">
        <v>2017</v>
      </c>
      <c r="C1885">
        <v>15</v>
      </c>
      <c r="D1885">
        <v>103</v>
      </c>
      <c r="E1885">
        <v>6.4</v>
      </c>
      <c r="F1885">
        <v>0.77</v>
      </c>
      <c r="G1885" s="1">
        <v>14415</v>
      </c>
    </row>
    <row r="1886" spans="1:7" x14ac:dyDescent="0.25">
      <c r="A1886" t="s">
        <v>1843</v>
      </c>
      <c r="B1886">
        <v>2017</v>
      </c>
      <c r="C1886">
        <v>15</v>
      </c>
      <c r="D1886">
        <v>116</v>
      </c>
      <c r="E1886">
        <v>7</v>
      </c>
      <c r="F1886">
        <v>0.15</v>
      </c>
      <c r="G1886" s="1">
        <v>35741</v>
      </c>
    </row>
    <row r="1887" spans="1:7" x14ac:dyDescent="0.25">
      <c r="A1887" t="s">
        <v>822</v>
      </c>
      <c r="B1887">
        <v>2017</v>
      </c>
      <c r="C1887">
        <v>15</v>
      </c>
      <c r="D1887">
        <v>118</v>
      </c>
      <c r="E1887">
        <v>7.1</v>
      </c>
      <c r="F1887">
        <v>0.49</v>
      </c>
      <c r="G1887" s="1">
        <v>24232</v>
      </c>
    </row>
    <row r="1888" spans="1:7" x14ac:dyDescent="0.25">
      <c r="A1888" t="s">
        <v>1844</v>
      </c>
      <c r="B1888">
        <v>2017</v>
      </c>
      <c r="C1888">
        <v>15</v>
      </c>
      <c r="D1888">
        <v>120</v>
      </c>
      <c r="E1888">
        <v>6.1</v>
      </c>
      <c r="F1888">
        <v>229.02</v>
      </c>
      <c r="G1888" s="1">
        <v>471553</v>
      </c>
    </row>
    <row r="1889" spans="1:7" x14ac:dyDescent="0.25">
      <c r="A1889" t="s">
        <v>1845</v>
      </c>
      <c r="B1889">
        <v>2017</v>
      </c>
      <c r="C1889">
        <v>15</v>
      </c>
      <c r="D1889">
        <v>121</v>
      </c>
      <c r="E1889">
        <v>6.6</v>
      </c>
      <c r="F1889">
        <v>17.8</v>
      </c>
      <c r="G1889" s="1">
        <v>243355</v>
      </c>
    </row>
    <row r="1890" spans="1:7" x14ac:dyDescent="0.25">
      <c r="A1890" t="s">
        <v>1846</v>
      </c>
      <c r="B1890">
        <v>2017</v>
      </c>
      <c r="C1890">
        <v>15</v>
      </c>
      <c r="D1890">
        <v>96</v>
      </c>
      <c r="E1890">
        <v>6.7</v>
      </c>
      <c r="F1890">
        <v>2.46</v>
      </c>
      <c r="G1890" s="1">
        <v>4316</v>
      </c>
    </row>
    <row r="1891" spans="1:7" x14ac:dyDescent="0.25">
      <c r="A1891" t="s">
        <v>1847</v>
      </c>
      <c r="B1891">
        <v>2017</v>
      </c>
      <c r="C1891">
        <v>15</v>
      </c>
      <c r="D1891">
        <v>164</v>
      </c>
      <c r="E1891">
        <v>8</v>
      </c>
      <c r="F1891">
        <v>92.05</v>
      </c>
      <c r="G1891" s="1">
        <v>631601</v>
      </c>
    </row>
    <row r="1892" spans="1:7" x14ac:dyDescent="0.25">
      <c r="A1892" t="s">
        <v>1848</v>
      </c>
      <c r="B1892">
        <v>2017</v>
      </c>
      <c r="C1892">
        <v>15</v>
      </c>
      <c r="D1892">
        <v>132</v>
      </c>
      <c r="E1892">
        <v>7.8</v>
      </c>
      <c r="F1892">
        <v>18.100000000000001</v>
      </c>
      <c r="G1892" s="1">
        <v>300485</v>
      </c>
    </row>
    <row r="1893" spans="1:7" x14ac:dyDescent="0.25">
      <c r="A1893" t="s">
        <v>1850</v>
      </c>
      <c r="B1893">
        <v>2017</v>
      </c>
      <c r="C1893">
        <v>15</v>
      </c>
      <c r="D1893">
        <v>140</v>
      </c>
      <c r="E1893">
        <v>5.6</v>
      </c>
      <c r="F1893">
        <v>0.22</v>
      </c>
      <c r="G1893" s="1">
        <v>3282</v>
      </c>
    </row>
    <row r="1894" spans="1:7" x14ac:dyDescent="0.25">
      <c r="A1894" t="s">
        <v>1851</v>
      </c>
      <c r="B1894">
        <v>2017</v>
      </c>
      <c r="C1894">
        <v>15</v>
      </c>
      <c r="D1894">
        <v>111</v>
      </c>
      <c r="E1894">
        <v>6.1</v>
      </c>
      <c r="F1894">
        <v>2.46</v>
      </c>
      <c r="G1894" s="1">
        <v>17494</v>
      </c>
    </row>
    <row r="1895" spans="1:7" x14ac:dyDescent="0.25">
      <c r="A1895" t="s">
        <v>1852</v>
      </c>
      <c r="B1895">
        <v>2017</v>
      </c>
      <c r="C1895">
        <v>15</v>
      </c>
      <c r="D1895">
        <v>99</v>
      </c>
      <c r="E1895">
        <v>6.3</v>
      </c>
      <c r="F1895">
        <v>0.18</v>
      </c>
      <c r="G1895" s="1">
        <v>6787</v>
      </c>
    </row>
    <row r="1896" spans="1:7" x14ac:dyDescent="0.25">
      <c r="A1896" t="s">
        <v>1855</v>
      </c>
      <c r="B1896">
        <v>2017</v>
      </c>
      <c r="C1896">
        <v>15</v>
      </c>
      <c r="D1896">
        <v>135</v>
      </c>
      <c r="E1896">
        <v>7.3</v>
      </c>
      <c r="F1896">
        <v>327.48</v>
      </c>
      <c r="G1896" s="1">
        <v>589755</v>
      </c>
    </row>
    <row r="1897" spans="1:7" x14ac:dyDescent="0.25">
      <c r="A1897" t="s">
        <v>1857</v>
      </c>
      <c r="B1897">
        <v>2017</v>
      </c>
      <c r="C1897">
        <v>15</v>
      </c>
      <c r="D1897">
        <v>89</v>
      </c>
      <c r="E1897">
        <v>6.2</v>
      </c>
      <c r="F1897">
        <v>264.62</v>
      </c>
      <c r="G1897" s="1">
        <v>147878</v>
      </c>
    </row>
    <row r="1898" spans="1:7" x14ac:dyDescent="0.25">
      <c r="A1898" t="s">
        <v>1858</v>
      </c>
      <c r="B1898">
        <v>2017</v>
      </c>
      <c r="C1898">
        <v>15</v>
      </c>
      <c r="D1898">
        <v>119</v>
      </c>
      <c r="E1898">
        <v>7.5</v>
      </c>
      <c r="F1898">
        <v>30.01</v>
      </c>
      <c r="G1898" s="1">
        <v>235784</v>
      </c>
    </row>
    <row r="1899" spans="1:7" x14ac:dyDescent="0.25">
      <c r="A1899" t="s">
        <v>1859</v>
      </c>
      <c r="B1899">
        <v>2017</v>
      </c>
      <c r="C1899">
        <v>15</v>
      </c>
      <c r="D1899">
        <v>118</v>
      </c>
      <c r="E1899">
        <v>7.3</v>
      </c>
      <c r="F1899">
        <v>10.050000000000001</v>
      </c>
      <c r="G1899" s="1">
        <v>26078</v>
      </c>
    </row>
    <row r="1900" spans="1:7" x14ac:dyDescent="0.25">
      <c r="A1900" t="s">
        <v>1860</v>
      </c>
      <c r="B1900">
        <v>2017</v>
      </c>
      <c r="C1900">
        <v>15</v>
      </c>
      <c r="D1900">
        <v>117</v>
      </c>
      <c r="E1900">
        <v>6.3</v>
      </c>
      <c r="F1900">
        <v>2.46</v>
      </c>
      <c r="G1900" s="1">
        <v>198607</v>
      </c>
    </row>
    <row r="1901" spans="1:7" x14ac:dyDescent="0.25">
      <c r="A1901" t="s">
        <v>1861</v>
      </c>
      <c r="B1901">
        <v>2017</v>
      </c>
      <c r="C1901">
        <v>15</v>
      </c>
      <c r="D1901">
        <v>115</v>
      </c>
      <c r="E1901">
        <v>6.3</v>
      </c>
      <c r="F1901">
        <v>2.46</v>
      </c>
      <c r="G1901" s="1">
        <v>26587</v>
      </c>
    </row>
    <row r="1902" spans="1:7" x14ac:dyDescent="0.25">
      <c r="A1902" t="s">
        <v>1862</v>
      </c>
      <c r="B1902">
        <v>2017</v>
      </c>
      <c r="C1902">
        <v>15</v>
      </c>
      <c r="D1902">
        <v>106</v>
      </c>
      <c r="E1902">
        <v>5.3</v>
      </c>
      <c r="F1902">
        <v>2.46</v>
      </c>
      <c r="G1902" s="1">
        <v>23053</v>
      </c>
    </row>
    <row r="1903" spans="1:7" x14ac:dyDescent="0.25">
      <c r="A1903" t="s">
        <v>1863</v>
      </c>
      <c r="B1903">
        <v>2017</v>
      </c>
      <c r="C1903">
        <v>15</v>
      </c>
      <c r="D1903">
        <v>115</v>
      </c>
      <c r="E1903">
        <v>8.1</v>
      </c>
      <c r="F1903">
        <v>54.51</v>
      </c>
      <c r="G1903" s="1">
        <v>540260</v>
      </c>
    </row>
    <row r="1904" spans="1:7" x14ac:dyDescent="0.25">
      <c r="A1904" t="s">
        <v>1864</v>
      </c>
      <c r="B1904">
        <v>2017</v>
      </c>
      <c r="C1904">
        <v>15</v>
      </c>
      <c r="D1904">
        <v>94</v>
      </c>
      <c r="E1904">
        <v>7.4</v>
      </c>
      <c r="F1904">
        <v>48.96</v>
      </c>
      <c r="G1904" s="1">
        <v>316455</v>
      </c>
    </row>
    <row r="1905" spans="1:7" x14ac:dyDescent="0.25">
      <c r="A1905" t="s">
        <v>1866</v>
      </c>
      <c r="B1905">
        <v>2017</v>
      </c>
      <c r="C1905">
        <v>15</v>
      </c>
      <c r="D1905">
        <v>105</v>
      </c>
      <c r="E1905">
        <v>8.4</v>
      </c>
      <c r="F1905">
        <v>209.73</v>
      </c>
      <c r="G1905" s="1">
        <v>563893</v>
      </c>
    </row>
    <row r="1906" spans="1:7" x14ac:dyDescent="0.25">
      <c r="A1906" t="s">
        <v>1868</v>
      </c>
      <c r="B1906">
        <v>2017</v>
      </c>
      <c r="C1906">
        <v>15</v>
      </c>
      <c r="D1906">
        <v>107</v>
      </c>
      <c r="E1906">
        <v>6.9</v>
      </c>
      <c r="F1906">
        <v>14.11</v>
      </c>
      <c r="G1906" s="1">
        <v>33887</v>
      </c>
    </row>
    <row r="1907" spans="1:7" x14ac:dyDescent="0.25">
      <c r="A1907" t="s">
        <v>1870</v>
      </c>
      <c r="B1907">
        <v>2017</v>
      </c>
      <c r="C1907">
        <v>15</v>
      </c>
      <c r="D1907">
        <v>98</v>
      </c>
      <c r="E1907">
        <v>5.2</v>
      </c>
      <c r="F1907">
        <v>2.46</v>
      </c>
      <c r="G1907" s="1">
        <v>18532</v>
      </c>
    </row>
    <row r="1908" spans="1:7" x14ac:dyDescent="0.25">
      <c r="A1908" t="s">
        <v>1871</v>
      </c>
      <c r="B1908">
        <v>2017</v>
      </c>
      <c r="C1908">
        <v>15</v>
      </c>
      <c r="D1908">
        <v>125</v>
      </c>
      <c r="E1908">
        <v>6.9</v>
      </c>
      <c r="F1908">
        <v>0.97</v>
      </c>
      <c r="G1908" s="1">
        <v>27308</v>
      </c>
    </row>
    <row r="1909" spans="1:7" x14ac:dyDescent="0.25">
      <c r="A1909" t="s">
        <v>1872</v>
      </c>
      <c r="B1909">
        <v>2017</v>
      </c>
      <c r="C1909">
        <v>15</v>
      </c>
      <c r="D1909">
        <v>111</v>
      </c>
      <c r="E1909">
        <v>7.6</v>
      </c>
      <c r="F1909">
        <v>5.9</v>
      </c>
      <c r="G1909" s="1">
        <v>123734</v>
      </c>
    </row>
    <row r="1910" spans="1:7" x14ac:dyDescent="0.25">
      <c r="A1910" t="s">
        <v>1873</v>
      </c>
      <c r="B1910">
        <v>2017</v>
      </c>
      <c r="C1910">
        <v>15</v>
      </c>
      <c r="D1910">
        <v>119</v>
      </c>
      <c r="E1910">
        <v>6.9</v>
      </c>
      <c r="F1910">
        <v>4.21</v>
      </c>
      <c r="G1910" s="1">
        <v>48520</v>
      </c>
    </row>
    <row r="1911" spans="1:7" x14ac:dyDescent="0.25">
      <c r="A1911" t="s">
        <v>1874</v>
      </c>
      <c r="B1911">
        <v>2017</v>
      </c>
      <c r="C1911">
        <v>15</v>
      </c>
      <c r="D1911">
        <v>106</v>
      </c>
      <c r="E1911">
        <v>6.7</v>
      </c>
      <c r="F1911">
        <v>0.38</v>
      </c>
      <c r="G1911" s="1">
        <v>10551</v>
      </c>
    </row>
    <row r="1912" spans="1:7" x14ac:dyDescent="0.25">
      <c r="A1912" t="s">
        <v>1875</v>
      </c>
      <c r="B1912">
        <v>2017</v>
      </c>
      <c r="C1912">
        <v>15</v>
      </c>
      <c r="D1912">
        <v>116</v>
      </c>
      <c r="E1912">
        <v>6.2</v>
      </c>
      <c r="F1912">
        <v>1.03</v>
      </c>
      <c r="G1912" s="1">
        <v>10875</v>
      </c>
    </row>
    <row r="1913" spans="1:7" x14ac:dyDescent="0.25">
      <c r="A1913" t="s">
        <v>1877</v>
      </c>
      <c r="B1913">
        <v>2017</v>
      </c>
      <c r="C1913">
        <v>15</v>
      </c>
      <c r="D1913">
        <v>119</v>
      </c>
      <c r="E1913">
        <v>5.0999999999999996</v>
      </c>
      <c r="F1913">
        <v>6.67</v>
      </c>
      <c r="G1913" s="1">
        <v>70065</v>
      </c>
    </row>
    <row r="1914" spans="1:7" x14ac:dyDescent="0.25">
      <c r="A1914" t="s">
        <v>1878</v>
      </c>
      <c r="B1914">
        <v>2017</v>
      </c>
      <c r="C1914">
        <v>15</v>
      </c>
      <c r="D1914">
        <v>108</v>
      </c>
      <c r="E1914">
        <v>7</v>
      </c>
      <c r="F1914">
        <v>1.59</v>
      </c>
      <c r="G1914" s="1">
        <v>28055</v>
      </c>
    </row>
    <row r="1915" spans="1:7" x14ac:dyDescent="0.25">
      <c r="A1915" t="s">
        <v>1879</v>
      </c>
      <c r="B1915">
        <v>2017</v>
      </c>
      <c r="C1915">
        <v>15</v>
      </c>
      <c r="D1915">
        <v>111</v>
      </c>
      <c r="E1915">
        <v>6.2</v>
      </c>
      <c r="F1915">
        <v>36.25</v>
      </c>
      <c r="G1915" s="1">
        <v>87311</v>
      </c>
    </row>
    <row r="1916" spans="1:7" x14ac:dyDescent="0.25">
      <c r="A1916" t="s">
        <v>1880</v>
      </c>
      <c r="B1916">
        <v>2017</v>
      </c>
      <c r="C1916">
        <v>15</v>
      </c>
      <c r="D1916">
        <v>107</v>
      </c>
      <c r="E1916">
        <v>7.1</v>
      </c>
      <c r="F1916">
        <v>1.74</v>
      </c>
      <c r="G1916" s="1">
        <v>29252</v>
      </c>
    </row>
    <row r="1917" spans="1:7" x14ac:dyDescent="0.25">
      <c r="A1917" t="s">
        <v>1881</v>
      </c>
      <c r="B1917">
        <v>2017</v>
      </c>
      <c r="C1917">
        <v>15</v>
      </c>
      <c r="D1917">
        <v>123</v>
      </c>
      <c r="E1917">
        <v>7.3</v>
      </c>
      <c r="F1917">
        <v>63.86</v>
      </c>
      <c r="G1917" s="1">
        <v>439549</v>
      </c>
    </row>
    <row r="1918" spans="1:7" x14ac:dyDescent="0.25">
      <c r="A1918" t="s">
        <v>1883</v>
      </c>
      <c r="B1918">
        <v>2017</v>
      </c>
      <c r="C1918">
        <v>15</v>
      </c>
      <c r="D1918">
        <v>97</v>
      </c>
      <c r="E1918">
        <v>7.3</v>
      </c>
      <c r="F1918">
        <v>0.53</v>
      </c>
      <c r="G1918" s="1">
        <v>17546</v>
      </c>
    </row>
    <row r="1919" spans="1:7" x14ac:dyDescent="0.25">
      <c r="A1919" t="s">
        <v>1884</v>
      </c>
      <c r="B1919">
        <v>2017</v>
      </c>
      <c r="C1919">
        <v>15</v>
      </c>
      <c r="D1919">
        <v>93</v>
      </c>
      <c r="E1919">
        <v>5.4</v>
      </c>
      <c r="F1919">
        <v>2.46</v>
      </c>
      <c r="G1919" s="1">
        <v>11111</v>
      </c>
    </row>
    <row r="1920" spans="1:7" x14ac:dyDescent="0.25">
      <c r="A1920" t="s">
        <v>1886</v>
      </c>
      <c r="B1920">
        <v>2017</v>
      </c>
      <c r="C1920">
        <v>15</v>
      </c>
      <c r="D1920">
        <v>101</v>
      </c>
      <c r="E1920">
        <v>6.2</v>
      </c>
      <c r="F1920">
        <v>1.4</v>
      </c>
      <c r="G1920" s="1">
        <v>30356</v>
      </c>
    </row>
    <row r="1921" spans="1:7" x14ac:dyDescent="0.25">
      <c r="A1921" t="s">
        <v>1889</v>
      </c>
      <c r="B1921">
        <v>2017</v>
      </c>
      <c r="C1921">
        <v>15</v>
      </c>
      <c r="D1921">
        <v>125</v>
      </c>
      <c r="E1921">
        <v>7.4</v>
      </c>
      <c r="F1921">
        <v>56.47</v>
      </c>
      <c r="G1921" s="1">
        <v>215073</v>
      </c>
    </row>
    <row r="1922" spans="1:7" x14ac:dyDescent="0.25">
      <c r="A1922" t="s">
        <v>1890</v>
      </c>
      <c r="B1922">
        <v>2017</v>
      </c>
      <c r="C1922">
        <v>15</v>
      </c>
      <c r="D1922">
        <v>113</v>
      </c>
      <c r="E1922">
        <v>7</v>
      </c>
      <c r="F1922">
        <v>34.39</v>
      </c>
      <c r="G1922" s="1">
        <v>121070</v>
      </c>
    </row>
    <row r="1923" spans="1:7" x14ac:dyDescent="0.25">
      <c r="A1923" t="s">
        <v>1891</v>
      </c>
      <c r="B1923">
        <v>2017</v>
      </c>
      <c r="C1923">
        <v>15</v>
      </c>
      <c r="D1923">
        <v>124</v>
      </c>
      <c r="E1923">
        <v>6.6</v>
      </c>
      <c r="F1923">
        <v>0.03</v>
      </c>
      <c r="G1923" s="1">
        <v>16331</v>
      </c>
    </row>
    <row r="1924" spans="1:7" x14ac:dyDescent="0.25">
      <c r="A1924" t="s">
        <v>1892</v>
      </c>
      <c r="B1924">
        <v>2017</v>
      </c>
      <c r="C1924">
        <v>15</v>
      </c>
      <c r="D1924">
        <v>130</v>
      </c>
      <c r="E1924">
        <v>7.9</v>
      </c>
      <c r="F1924">
        <v>315.06</v>
      </c>
      <c r="G1924" s="1">
        <v>798053</v>
      </c>
    </row>
    <row r="1925" spans="1:7" x14ac:dyDescent="0.25">
      <c r="A1925" t="s">
        <v>1894</v>
      </c>
      <c r="B1925">
        <v>2017</v>
      </c>
      <c r="C1925">
        <v>15</v>
      </c>
      <c r="D1925">
        <v>134</v>
      </c>
      <c r="E1925">
        <v>7.6</v>
      </c>
      <c r="F1925">
        <v>18.34</v>
      </c>
      <c r="G1925" s="1">
        <v>75156</v>
      </c>
    </row>
    <row r="1926" spans="1:7" x14ac:dyDescent="0.25">
      <c r="A1926" t="s">
        <v>1895</v>
      </c>
      <c r="B1926">
        <v>2017</v>
      </c>
      <c r="C1926">
        <v>15</v>
      </c>
      <c r="D1926">
        <v>140</v>
      </c>
      <c r="E1926">
        <v>7.4</v>
      </c>
      <c r="F1926">
        <v>28.78</v>
      </c>
      <c r="G1926" s="1">
        <v>183312</v>
      </c>
    </row>
    <row r="1927" spans="1:7" x14ac:dyDescent="0.25">
      <c r="A1927" t="s">
        <v>1896</v>
      </c>
      <c r="B1927">
        <v>2017</v>
      </c>
      <c r="C1927">
        <v>15</v>
      </c>
      <c r="D1927">
        <v>114</v>
      </c>
      <c r="E1927">
        <v>6.5</v>
      </c>
      <c r="F1927">
        <v>102.83</v>
      </c>
      <c r="G1927" s="1">
        <v>282170</v>
      </c>
    </row>
    <row r="1928" spans="1:7" x14ac:dyDescent="0.25">
      <c r="A1928" t="s">
        <v>1897</v>
      </c>
      <c r="B1928">
        <v>2017</v>
      </c>
      <c r="C1928">
        <v>15</v>
      </c>
      <c r="D1928">
        <v>90</v>
      </c>
      <c r="E1928">
        <v>6.2</v>
      </c>
      <c r="F1928">
        <v>0.46</v>
      </c>
      <c r="G1928" s="1">
        <v>5954</v>
      </c>
    </row>
    <row r="1929" spans="1:7" x14ac:dyDescent="0.25">
      <c r="A1929" t="s">
        <v>1900</v>
      </c>
      <c r="B1929">
        <v>2017</v>
      </c>
      <c r="C1929">
        <v>15</v>
      </c>
      <c r="D1929">
        <v>116</v>
      </c>
      <c r="E1929">
        <v>7.2</v>
      </c>
      <c r="F1929">
        <v>81.900000000000006</v>
      </c>
      <c r="G1929" s="1">
        <v>159263</v>
      </c>
    </row>
    <row r="1930" spans="1:7" x14ac:dyDescent="0.25">
      <c r="A1930" t="s">
        <v>1903</v>
      </c>
      <c r="B1930">
        <v>2017</v>
      </c>
      <c r="C1930">
        <v>15</v>
      </c>
      <c r="D1930">
        <v>105</v>
      </c>
      <c r="E1930">
        <v>5.8</v>
      </c>
      <c r="F1930">
        <v>5.78</v>
      </c>
      <c r="G1930" s="1">
        <v>46546</v>
      </c>
    </row>
    <row r="1931" spans="1:7" x14ac:dyDescent="0.25">
      <c r="A1931" t="s">
        <v>1905</v>
      </c>
      <c r="B1931">
        <v>2017</v>
      </c>
      <c r="C1931">
        <v>15</v>
      </c>
      <c r="D1931">
        <v>117</v>
      </c>
      <c r="E1931">
        <v>6.3</v>
      </c>
      <c r="F1931">
        <v>2.46</v>
      </c>
      <c r="G1931" s="1">
        <v>17769</v>
      </c>
    </row>
    <row r="1932" spans="1:7" x14ac:dyDescent="0.25">
      <c r="A1932" s="4">
        <v>46276</v>
      </c>
      <c r="B1932">
        <v>2017</v>
      </c>
      <c r="C1932">
        <v>15</v>
      </c>
      <c r="D1932">
        <v>90</v>
      </c>
      <c r="E1932">
        <v>4.5</v>
      </c>
      <c r="F1932">
        <v>2.46</v>
      </c>
      <c r="G1932" s="1">
        <v>4445</v>
      </c>
    </row>
    <row r="1933" spans="1:7" x14ac:dyDescent="0.25">
      <c r="A1933">
        <v>1922</v>
      </c>
      <c r="B1933">
        <v>2017</v>
      </c>
      <c r="C1933">
        <v>15</v>
      </c>
      <c r="D1933">
        <v>102</v>
      </c>
      <c r="E1933">
        <v>6.2</v>
      </c>
      <c r="F1933">
        <v>2.46</v>
      </c>
      <c r="G1933" s="1">
        <v>70009</v>
      </c>
    </row>
    <row r="1934" spans="1:7" x14ac:dyDescent="0.25">
      <c r="A1934" t="s">
        <v>1907</v>
      </c>
      <c r="B1934">
        <v>2017</v>
      </c>
      <c r="C1934">
        <v>15</v>
      </c>
      <c r="D1934">
        <v>104</v>
      </c>
      <c r="E1934">
        <v>7.2</v>
      </c>
      <c r="F1934">
        <v>1.02</v>
      </c>
      <c r="G1934" s="1">
        <v>20251</v>
      </c>
    </row>
    <row r="1935" spans="1:7" x14ac:dyDescent="0.25">
      <c r="A1935" t="s">
        <v>1908</v>
      </c>
      <c r="B1935">
        <v>2017</v>
      </c>
      <c r="C1935">
        <v>15</v>
      </c>
      <c r="D1935">
        <v>111</v>
      </c>
      <c r="E1935">
        <v>6.8</v>
      </c>
      <c r="F1935">
        <v>0.08</v>
      </c>
      <c r="G1935" s="1">
        <v>9032</v>
      </c>
    </row>
    <row r="1936" spans="1:7" x14ac:dyDescent="0.25">
      <c r="A1936" t="s">
        <v>1909</v>
      </c>
      <c r="B1936">
        <v>2017</v>
      </c>
      <c r="C1936">
        <v>15</v>
      </c>
      <c r="D1936">
        <v>122</v>
      </c>
      <c r="E1936">
        <v>6.5</v>
      </c>
      <c r="F1936">
        <v>11.96</v>
      </c>
      <c r="G1936" s="1">
        <v>41972</v>
      </c>
    </row>
    <row r="1937" spans="1:7" x14ac:dyDescent="0.25">
      <c r="A1937" t="s">
        <v>1910</v>
      </c>
      <c r="B1937">
        <v>2017</v>
      </c>
      <c r="C1937">
        <v>15</v>
      </c>
      <c r="D1937">
        <v>98</v>
      </c>
      <c r="E1937">
        <v>6.3</v>
      </c>
      <c r="F1937">
        <v>2.46</v>
      </c>
      <c r="G1937" s="1">
        <v>1236</v>
      </c>
    </row>
    <row r="1938" spans="1:7" x14ac:dyDescent="0.25">
      <c r="A1938" t="s">
        <v>1911</v>
      </c>
      <c r="B1938">
        <v>2017</v>
      </c>
      <c r="C1938">
        <v>15</v>
      </c>
      <c r="D1938">
        <v>130</v>
      </c>
      <c r="E1938">
        <v>7.4</v>
      </c>
      <c r="F1938">
        <v>21.02</v>
      </c>
      <c r="G1938" s="1">
        <v>141596</v>
      </c>
    </row>
    <row r="1939" spans="1:7" x14ac:dyDescent="0.25">
      <c r="A1939" t="s">
        <v>1912</v>
      </c>
      <c r="B1939">
        <v>2017</v>
      </c>
      <c r="C1939">
        <v>15</v>
      </c>
      <c r="D1939">
        <v>93</v>
      </c>
      <c r="E1939">
        <v>6.7</v>
      </c>
      <c r="F1939">
        <v>0.01</v>
      </c>
      <c r="G1939" s="1">
        <v>14851</v>
      </c>
    </row>
    <row r="1940" spans="1:7" x14ac:dyDescent="0.25">
      <c r="A1940" t="s">
        <v>1914</v>
      </c>
      <c r="B1940">
        <v>2017</v>
      </c>
      <c r="C1940">
        <v>15</v>
      </c>
      <c r="D1940">
        <v>127</v>
      </c>
      <c r="E1940">
        <v>7.6</v>
      </c>
      <c r="F1940">
        <v>0.56999999999999995</v>
      </c>
      <c r="G1940" s="1">
        <v>34926</v>
      </c>
    </row>
    <row r="1941" spans="1:7" x14ac:dyDescent="0.25">
      <c r="A1941" t="s">
        <v>356</v>
      </c>
      <c r="B1941">
        <v>2017</v>
      </c>
      <c r="C1941">
        <v>15</v>
      </c>
      <c r="D1941">
        <v>88</v>
      </c>
      <c r="E1941">
        <v>7.3</v>
      </c>
      <c r="F1941">
        <v>0.96</v>
      </c>
      <c r="G1941" s="1">
        <v>25433</v>
      </c>
    </row>
    <row r="1942" spans="1:7" x14ac:dyDescent="0.25">
      <c r="A1942" t="s">
        <v>1915</v>
      </c>
      <c r="B1942">
        <v>2017</v>
      </c>
      <c r="C1942">
        <v>15</v>
      </c>
      <c r="D1942">
        <v>113</v>
      </c>
      <c r="E1942">
        <v>7.9</v>
      </c>
      <c r="F1942">
        <v>132.41999999999999</v>
      </c>
      <c r="G1942" s="1">
        <v>174361</v>
      </c>
    </row>
    <row r="1943" spans="1:7" x14ac:dyDescent="0.25">
      <c r="A1943" t="s">
        <v>1916</v>
      </c>
      <c r="B1943">
        <v>2017</v>
      </c>
      <c r="C1943">
        <v>15</v>
      </c>
      <c r="D1943">
        <v>90</v>
      </c>
      <c r="E1943">
        <v>6.3</v>
      </c>
      <c r="F1943">
        <v>2.46</v>
      </c>
      <c r="G1943">
        <v>977</v>
      </c>
    </row>
    <row r="1944" spans="1:7" x14ac:dyDescent="0.25">
      <c r="A1944" t="s">
        <v>1918</v>
      </c>
      <c r="B1944">
        <v>2017</v>
      </c>
      <c r="C1944">
        <v>15</v>
      </c>
      <c r="D1944">
        <v>107</v>
      </c>
      <c r="E1944">
        <v>6.6</v>
      </c>
      <c r="F1944">
        <v>0.08</v>
      </c>
      <c r="G1944" s="1">
        <v>5861</v>
      </c>
    </row>
    <row r="1945" spans="1:7" x14ac:dyDescent="0.25">
      <c r="A1945" t="s">
        <v>1919</v>
      </c>
      <c r="B1945">
        <v>2017</v>
      </c>
      <c r="C1945">
        <v>15</v>
      </c>
      <c r="D1945">
        <v>122</v>
      </c>
      <c r="E1945">
        <v>6.5</v>
      </c>
      <c r="F1945">
        <v>0.02</v>
      </c>
      <c r="G1945" s="1">
        <v>2377</v>
      </c>
    </row>
    <row r="1946" spans="1:7" x14ac:dyDescent="0.25">
      <c r="A1946" t="s">
        <v>1920</v>
      </c>
      <c r="B1946">
        <v>2017</v>
      </c>
      <c r="C1946">
        <v>15</v>
      </c>
      <c r="D1946">
        <v>97</v>
      </c>
      <c r="E1946">
        <v>5.2</v>
      </c>
      <c r="F1946">
        <v>2.46</v>
      </c>
      <c r="G1946">
        <v>217</v>
      </c>
    </row>
    <row r="1947" spans="1:7" x14ac:dyDescent="0.25">
      <c r="A1947" t="s">
        <v>1925</v>
      </c>
      <c r="B1947">
        <v>2017</v>
      </c>
      <c r="C1947">
        <v>15</v>
      </c>
      <c r="D1947">
        <v>76</v>
      </c>
      <c r="E1947">
        <v>6.7</v>
      </c>
      <c r="F1947">
        <v>2.46</v>
      </c>
      <c r="G1947" s="1">
        <v>2400</v>
      </c>
    </row>
    <row r="1948" spans="1:7" x14ac:dyDescent="0.25">
      <c r="A1948" t="s">
        <v>1926</v>
      </c>
      <c r="B1948">
        <v>2017</v>
      </c>
      <c r="C1948">
        <v>15</v>
      </c>
      <c r="D1948">
        <v>93</v>
      </c>
      <c r="E1948">
        <v>7.7</v>
      </c>
      <c r="F1948">
        <v>0.15</v>
      </c>
      <c r="G1948" s="1">
        <v>1135</v>
      </c>
    </row>
    <row r="1949" spans="1:7" x14ac:dyDescent="0.25">
      <c r="A1949" t="s">
        <v>1928</v>
      </c>
      <c r="B1949">
        <v>2017</v>
      </c>
      <c r="C1949">
        <v>15</v>
      </c>
      <c r="D1949">
        <v>107</v>
      </c>
      <c r="E1949">
        <v>7.2</v>
      </c>
      <c r="F1949">
        <v>8.0399999999999991</v>
      </c>
      <c r="G1949" s="1">
        <v>110335</v>
      </c>
    </row>
    <row r="1950" spans="1:7" x14ac:dyDescent="0.25">
      <c r="A1950" t="s">
        <v>1930</v>
      </c>
      <c r="B1950">
        <v>2017</v>
      </c>
      <c r="C1950">
        <v>15</v>
      </c>
      <c r="D1950">
        <v>135</v>
      </c>
      <c r="E1950">
        <v>5.8</v>
      </c>
      <c r="F1950">
        <v>24.45</v>
      </c>
      <c r="G1950" s="1">
        <v>119368</v>
      </c>
    </row>
    <row r="1951" spans="1:7" x14ac:dyDescent="0.25">
      <c r="A1951" t="s">
        <v>1931</v>
      </c>
      <c r="B1951">
        <v>2017</v>
      </c>
      <c r="C1951">
        <v>15</v>
      </c>
      <c r="D1951">
        <v>92</v>
      </c>
      <c r="E1951">
        <v>5.6</v>
      </c>
      <c r="F1951">
        <v>2.46</v>
      </c>
      <c r="G1951" s="1">
        <v>1961</v>
      </c>
    </row>
    <row r="1952" spans="1:7" x14ac:dyDescent="0.25">
      <c r="A1952" t="s">
        <v>1933</v>
      </c>
      <c r="B1952">
        <v>2017</v>
      </c>
      <c r="C1952">
        <v>15</v>
      </c>
      <c r="D1952">
        <v>133</v>
      </c>
      <c r="E1952">
        <v>7.4</v>
      </c>
      <c r="F1952">
        <v>334.2</v>
      </c>
      <c r="G1952" s="1">
        <v>700901</v>
      </c>
    </row>
    <row r="1953" spans="1:7" x14ac:dyDescent="0.25">
      <c r="A1953" t="s">
        <v>1934</v>
      </c>
      <c r="B1953">
        <v>2017</v>
      </c>
      <c r="C1953">
        <v>15</v>
      </c>
      <c r="D1953">
        <v>71</v>
      </c>
      <c r="E1953">
        <v>6.5</v>
      </c>
      <c r="F1953">
        <v>0.75</v>
      </c>
      <c r="G1953" s="1">
        <v>20249</v>
      </c>
    </row>
    <row r="1954" spans="1:7" x14ac:dyDescent="0.25">
      <c r="A1954" t="s">
        <v>1935</v>
      </c>
      <c r="B1954">
        <v>2017</v>
      </c>
      <c r="C1954">
        <v>15</v>
      </c>
      <c r="D1954">
        <v>105</v>
      </c>
      <c r="E1954">
        <v>7.5</v>
      </c>
      <c r="F1954">
        <v>174.34</v>
      </c>
      <c r="G1954" s="1">
        <v>301959</v>
      </c>
    </row>
    <row r="1955" spans="1:7" x14ac:dyDescent="0.25">
      <c r="A1955" t="s">
        <v>1937</v>
      </c>
      <c r="B1955">
        <v>2017</v>
      </c>
      <c r="C1955">
        <v>15</v>
      </c>
      <c r="D1955">
        <v>132</v>
      </c>
      <c r="E1955">
        <v>6.8</v>
      </c>
      <c r="F1955">
        <v>25.11</v>
      </c>
      <c r="G1955" s="1">
        <v>89173</v>
      </c>
    </row>
    <row r="1956" spans="1:7" x14ac:dyDescent="0.25">
      <c r="A1956" t="s">
        <v>1939</v>
      </c>
      <c r="B1956">
        <v>2017</v>
      </c>
      <c r="C1956">
        <v>15</v>
      </c>
      <c r="D1956">
        <v>86</v>
      </c>
      <c r="E1956">
        <v>6.4</v>
      </c>
      <c r="F1956">
        <v>2.46</v>
      </c>
      <c r="G1956" s="1">
        <v>24453</v>
      </c>
    </row>
    <row r="1957" spans="1:7" x14ac:dyDescent="0.25">
      <c r="A1957" t="s">
        <v>1940</v>
      </c>
      <c r="B1957">
        <v>2017</v>
      </c>
      <c r="C1957">
        <v>15</v>
      </c>
      <c r="D1957">
        <v>102</v>
      </c>
      <c r="E1957">
        <v>7.3</v>
      </c>
      <c r="F1957">
        <v>2.0299999999999998</v>
      </c>
      <c r="G1957" s="1">
        <v>134778</v>
      </c>
    </row>
    <row r="1958" spans="1:7" x14ac:dyDescent="0.25">
      <c r="A1958" t="s">
        <v>1942</v>
      </c>
      <c r="B1958">
        <v>2017</v>
      </c>
      <c r="C1958">
        <v>15</v>
      </c>
      <c r="D1958">
        <v>93</v>
      </c>
      <c r="E1958">
        <v>6.2</v>
      </c>
      <c r="F1958">
        <v>0.01</v>
      </c>
      <c r="G1958" s="1">
        <v>2827</v>
      </c>
    </row>
    <row r="1959" spans="1:7" x14ac:dyDescent="0.25">
      <c r="A1959" t="s">
        <v>1944</v>
      </c>
      <c r="B1959">
        <v>2017</v>
      </c>
      <c r="C1959">
        <v>15</v>
      </c>
      <c r="D1959">
        <v>105</v>
      </c>
      <c r="E1959">
        <v>6.7</v>
      </c>
      <c r="F1959">
        <v>1.03</v>
      </c>
      <c r="G1959" s="1">
        <v>10463</v>
      </c>
    </row>
    <row r="1960" spans="1:7" x14ac:dyDescent="0.25">
      <c r="A1960" t="s">
        <v>1882</v>
      </c>
      <c r="B1960">
        <v>2018</v>
      </c>
      <c r="C1960">
        <v>15</v>
      </c>
      <c r="D1960">
        <v>86</v>
      </c>
      <c r="E1960">
        <v>5.3</v>
      </c>
      <c r="F1960">
        <v>2.46</v>
      </c>
      <c r="G1960" s="1">
        <v>13178</v>
      </c>
    </row>
    <row r="1961" spans="1:7" x14ac:dyDescent="0.25">
      <c r="A1961" t="s">
        <v>1927</v>
      </c>
      <c r="B1961">
        <v>2018</v>
      </c>
      <c r="C1961">
        <v>15</v>
      </c>
      <c r="D1961">
        <v>115</v>
      </c>
      <c r="E1961">
        <v>6.8</v>
      </c>
      <c r="F1961">
        <v>32.729999999999997</v>
      </c>
      <c r="G1961" s="1">
        <v>351489</v>
      </c>
    </row>
    <row r="1962" spans="1:7" x14ac:dyDescent="0.25">
      <c r="A1962" t="s">
        <v>1929</v>
      </c>
      <c r="B1962">
        <v>2018</v>
      </c>
      <c r="C1962">
        <v>15</v>
      </c>
      <c r="D1962">
        <v>120</v>
      </c>
      <c r="E1962">
        <v>6.2</v>
      </c>
      <c r="F1962">
        <v>2.46</v>
      </c>
      <c r="G1962" s="1">
        <v>28329</v>
      </c>
    </row>
    <row r="1963" spans="1:7" x14ac:dyDescent="0.25">
      <c r="A1963" t="s">
        <v>1936</v>
      </c>
      <c r="B1963">
        <v>2018</v>
      </c>
      <c r="C1963">
        <v>15</v>
      </c>
      <c r="D1963">
        <v>89</v>
      </c>
      <c r="E1963">
        <v>5</v>
      </c>
      <c r="F1963">
        <v>20.87</v>
      </c>
      <c r="G1963" s="1">
        <v>10450</v>
      </c>
    </row>
    <row r="1964" spans="1:7" x14ac:dyDescent="0.25">
      <c r="A1964" t="s">
        <v>1941</v>
      </c>
      <c r="B1964">
        <v>2018</v>
      </c>
      <c r="C1964">
        <v>15</v>
      </c>
      <c r="D1964">
        <v>96</v>
      </c>
      <c r="E1964">
        <v>6.4</v>
      </c>
      <c r="F1964">
        <v>2.46</v>
      </c>
      <c r="G1964" s="1">
        <v>10217</v>
      </c>
    </row>
    <row r="1965" spans="1:7" x14ac:dyDescent="0.25">
      <c r="A1965" t="s">
        <v>34</v>
      </c>
      <c r="B1965">
        <v>2020</v>
      </c>
      <c r="C1965">
        <v>15</v>
      </c>
      <c r="D1965">
        <v>60</v>
      </c>
      <c r="E1965">
        <v>8.4</v>
      </c>
      <c r="F1965">
        <v>2.46</v>
      </c>
      <c r="G1965" s="1">
        <v>8399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EBA7-82AF-4B97-98B7-0594BAF1A332}">
  <sheetPr codeName="Sheet3">
    <tabColor rgb="FFFFC00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3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343C-989E-40F6-A1CB-F0EFD9C7D98C}">
  <sheetPr codeName="Sheet2"/>
  <dimension ref="A1:I1957"/>
  <sheetViews>
    <sheetView showGridLines="0" topLeftCell="A1939" workbookViewId="0">
      <selection activeCell="F15" sqref="F15"/>
    </sheetView>
  </sheetViews>
  <sheetFormatPr defaultRowHeight="15" x14ac:dyDescent="0.25"/>
  <cols>
    <col min="1" max="1" width="28.42578125" customWidth="1"/>
    <col min="2" max="2" width="7.42578125" bestFit="1" customWidth="1"/>
    <col min="3" max="3" width="14.7109375" customWidth="1"/>
    <col min="4" max="4" width="17.42578125" customWidth="1"/>
    <col min="5" max="5" width="10.140625" bestFit="1" customWidth="1"/>
    <col min="6" max="6" width="17.7109375" customWidth="1"/>
    <col min="7" max="7" width="16" customWidth="1"/>
    <col min="8" max="8" width="9" bestFit="1" customWidth="1"/>
    <col min="9" max="9" width="8.42578125" bestFit="1" customWidth="1"/>
    <col min="10" max="11" width="10.42578125" bestFit="1" customWidth="1"/>
  </cols>
  <sheetData>
    <row r="1" spans="1:9" s="23" customFormat="1" ht="32.25" x14ac:dyDescent="0.4">
      <c r="A1" s="38" t="s">
        <v>2482</v>
      </c>
      <c r="B1" s="38"/>
      <c r="C1" s="38"/>
      <c r="D1" s="38"/>
      <c r="E1" s="38"/>
      <c r="F1" s="38"/>
      <c r="G1" s="38"/>
      <c r="H1" s="38"/>
      <c r="I1" s="38"/>
    </row>
    <row r="3" spans="1:9" ht="18" x14ac:dyDescent="0.25">
      <c r="A3" s="32" t="s">
        <v>2466</v>
      </c>
      <c r="B3" s="33" t="s">
        <v>1</v>
      </c>
      <c r="C3" s="33" t="s">
        <v>2461</v>
      </c>
      <c r="D3" s="33" t="s">
        <v>3</v>
      </c>
      <c r="E3" s="33" t="s">
        <v>4</v>
      </c>
      <c r="F3" s="33" t="s">
        <v>2460</v>
      </c>
      <c r="G3" s="33" t="s">
        <v>5</v>
      </c>
      <c r="H3" s="34" t="s">
        <v>6</v>
      </c>
    </row>
    <row r="4" spans="1:9" ht="18" x14ac:dyDescent="0.25">
      <c r="A4" s="24" t="s">
        <v>1945</v>
      </c>
      <c r="B4" s="25">
        <v>1933</v>
      </c>
      <c r="C4" s="25" t="s">
        <v>2462</v>
      </c>
      <c r="D4" s="25">
        <v>89</v>
      </c>
      <c r="E4" s="25">
        <v>7.3</v>
      </c>
      <c r="F4" s="25" t="str" cm="1">
        <f t="array" ref="F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1930s</v>
      </c>
      <c r="G4" s="26">
        <v>2.2999999999999998</v>
      </c>
      <c r="H4" s="27">
        <v>12767</v>
      </c>
    </row>
    <row r="5" spans="1:9" ht="18" x14ac:dyDescent="0.25">
      <c r="A5" s="24" t="s">
        <v>1946</v>
      </c>
      <c r="B5" s="25">
        <v>1942</v>
      </c>
      <c r="C5" s="25" t="s">
        <v>2462</v>
      </c>
      <c r="D5" s="25">
        <v>100</v>
      </c>
      <c r="E5" s="25">
        <v>6.7</v>
      </c>
      <c r="F5" s="25" t="str" cm="1">
        <f t="array" ref="F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1940s</v>
      </c>
      <c r="G5" s="26">
        <v>2.46</v>
      </c>
      <c r="H5" s="27">
        <v>3135</v>
      </c>
    </row>
    <row r="6" spans="1:9" ht="18" x14ac:dyDescent="0.25">
      <c r="A6" s="24" t="s">
        <v>951</v>
      </c>
      <c r="B6" s="25">
        <v>1945</v>
      </c>
      <c r="C6" s="25" t="s">
        <v>2462</v>
      </c>
      <c r="D6" s="25">
        <v>111</v>
      </c>
      <c r="E6" s="25">
        <v>7.9</v>
      </c>
      <c r="F6" s="25" t="str" cm="1">
        <f t="array" ref="F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1940s</v>
      </c>
      <c r="G6" s="26">
        <v>2.46</v>
      </c>
      <c r="H6" s="27">
        <v>27980</v>
      </c>
    </row>
    <row r="7" spans="1:9" ht="18" x14ac:dyDescent="0.25">
      <c r="A7" s="24" t="s">
        <v>1947</v>
      </c>
      <c r="B7" s="25">
        <v>1957</v>
      </c>
      <c r="C7" s="25" t="s">
        <v>2462</v>
      </c>
      <c r="D7" s="25">
        <v>92</v>
      </c>
      <c r="E7" s="25">
        <v>7.6</v>
      </c>
      <c r="F7" s="25" t="str" cm="1">
        <f t="array" ref="F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1950s</v>
      </c>
      <c r="G7" s="26">
        <v>2.46</v>
      </c>
      <c r="H7" s="27">
        <v>21210</v>
      </c>
    </row>
    <row r="8" spans="1:9" ht="18" x14ac:dyDescent="0.25">
      <c r="A8" s="24" t="s">
        <v>1675</v>
      </c>
      <c r="B8" s="25">
        <v>1958</v>
      </c>
      <c r="C8" s="25" t="s">
        <v>2462</v>
      </c>
      <c r="D8" s="25">
        <v>139</v>
      </c>
      <c r="E8" s="25">
        <v>8.1</v>
      </c>
      <c r="F8" s="25" t="str" cm="1">
        <f t="array" ref="F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1950s</v>
      </c>
      <c r="G8" s="26">
        <v>2.46</v>
      </c>
      <c r="H8" s="27">
        <v>41370</v>
      </c>
    </row>
    <row r="9" spans="1:9" ht="18" x14ac:dyDescent="0.25">
      <c r="A9" s="24" t="s">
        <v>1948</v>
      </c>
      <c r="B9" s="25">
        <v>1959</v>
      </c>
      <c r="C9" s="25" t="s">
        <v>2462</v>
      </c>
      <c r="D9" s="25">
        <v>99</v>
      </c>
      <c r="E9" s="25">
        <v>6.9</v>
      </c>
      <c r="F9" s="25" t="str" cm="1">
        <f t="array" ref="F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1950s</v>
      </c>
      <c r="G9" s="26">
        <v>2.46</v>
      </c>
      <c r="H9" s="27">
        <v>323</v>
      </c>
    </row>
    <row r="10" spans="1:9" ht="18" x14ac:dyDescent="0.25">
      <c r="A10" s="24" t="s">
        <v>1676</v>
      </c>
      <c r="B10" s="25">
        <v>1961</v>
      </c>
      <c r="C10" s="25" t="s">
        <v>2463</v>
      </c>
      <c r="D10" s="25">
        <v>110</v>
      </c>
      <c r="E10" s="25">
        <v>8.1999999999999993</v>
      </c>
      <c r="F10" s="25" t="str" cm="1">
        <f t="array" ref="F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0" s="26">
        <v>2.46</v>
      </c>
      <c r="H10" s="27">
        <v>128727</v>
      </c>
    </row>
    <row r="11" spans="1:9" ht="18" x14ac:dyDescent="0.25">
      <c r="A11" s="24" t="s">
        <v>1949</v>
      </c>
      <c r="B11" s="25">
        <v>1963</v>
      </c>
      <c r="C11" s="25" t="s">
        <v>2464</v>
      </c>
      <c r="D11" s="25">
        <v>97</v>
      </c>
      <c r="E11" s="25">
        <v>5.7</v>
      </c>
      <c r="F11" s="25" t="str" cm="1">
        <f t="array" ref="F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1" s="26">
        <v>2.73</v>
      </c>
      <c r="H11" s="27">
        <v>10883</v>
      </c>
    </row>
    <row r="12" spans="1:9" ht="18" x14ac:dyDescent="0.25">
      <c r="A12" s="24" t="s">
        <v>1950</v>
      </c>
      <c r="B12" s="25">
        <v>1964</v>
      </c>
      <c r="C12" s="25" t="s">
        <v>2462</v>
      </c>
      <c r="D12" s="25">
        <v>89</v>
      </c>
      <c r="E12" s="25">
        <v>6.5</v>
      </c>
      <c r="F12" s="25" t="str" cm="1">
        <f t="array" ref="F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2" s="26">
        <v>2.46</v>
      </c>
      <c r="H12" s="27">
        <v>9653</v>
      </c>
    </row>
    <row r="13" spans="1:9" ht="18" x14ac:dyDescent="0.25">
      <c r="A13" s="24" t="s">
        <v>32</v>
      </c>
      <c r="B13" s="25">
        <v>1965</v>
      </c>
      <c r="C13" s="25" t="s">
        <v>2462</v>
      </c>
      <c r="D13" s="25">
        <v>78</v>
      </c>
      <c r="E13" s="25">
        <v>5.2</v>
      </c>
      <c r="F13" s="25" t="str" cm="1">
        <f t="array" ref="F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3" s="26">
        <v>2.46</v>
      </c>
      <c r="H13" s="27">
        <v>3660</v>
      </c>
    </row>
    <row r="14" spans="1:9" ht="18" x14ac:dyDescent="0.25">
      <c r="A14" s="24" t="s">
        <v>1951</v>
      </c>
      <c r="B14" s="25">
        <v>1967</v>
      </c>
      <c r="C14" s="25" t="s">
        <v>2462</v>
      </c>
      <c r="D14" s="25">
        <v>96</v>
      </c>
      <c r="E14" s="25">
        <v>7</v>
      </c>
      <c r="F14" s="25" t="str" cm="1">
        <f t="array" ref="F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4" s="26">
        <v>2.46</v>
      </c>
      <c r="H14" s="27">
        <v>50</v>
      </c>
    </row>
    <row r="15" spans="1:9" ht="18" x14ac:dyDescent="0.25">
      <c r="A15" s="24" t="s">
        <v>663</v>
      </c>
      <c r="B15" s="25">
        <v>1969</v>
      </c>
      <c r="C15" s="25" t="s">
        <v>2462</v>
      </c>
      <c r="D15" s="25">
        <v>65</v>
      </c>
      <c r="E15" s="25">
        <v>5.0999999999999996</v>
      </c>
      <c r="F15" s="25" t="str" cm="1">
        <f t="array" ref="F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1960s</v>
      </c>
      <c r="G15" s="26">
        <v>2.46</v>
      </c>
      <c r="H15" s="27">
        <v>2477</v>
      </c>
    </row>
    <row r="16" spans="1:9" ht="18" x14ac:dyDescent="0.25">
      <c r="A16" s="24" t="s">
        <v>474</v>
      </c>
      <c r="B16" s="25">
        <v>1971</v>
      </c>
      <c r="C16" s="25" t="s">
        <v>2462</v>
      </c>
      <c r="D16" s="25">
        <v>100</v>
      </c>
      <c r="E16" s="25">
        <v>7.6</v>
      </c>
      <c r="F16" s="25" t="str" cm="1">
        <f t="array" ref="F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16" s="26">
        <v>0.02</v>
      </c>
      <c r="H16" s="27">
        <v>26870</v>
      </c>
    </row>
    <row r="17" spans="1:8" ht="18" x14ac:dyDescent="0.25">
      <c r="A17" s="24" t="s">
        <v>1952</v>
      </c>
      <c r="B17" s="25">
        <v>1973</v>
      </c>
      <c r="C17" s="25" t="s">
        <v>2462</v>
      </c>
      <c r="D17" s="25">
        <v>99</v>
      </c>
      <c r="E17" s="25">
        <v>5.7</v>
      </c>
      <c r="F17" s="25" t="str" cm="1">
        <f t="array" ref="F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17" s="26">
        <v>2.46</v>
      </c>
      <c r="H17" s="27">
        <v>110</v>
      </c>
    </row>
    <row r="18" spans="1:8" ht="18" x14ac:dyDescent="0.25">
      <c r="A18" s="24" t="s">
        <v>1953</v>
      </c>
      <c r="B18" s="25">
        <v>1973</v>
      </c>
      <c r="C18" s="25" t="s">
        <v>2463</v>
      </c>
      <c r="D18" s="25">
        <v>81</v>
      </c>
      <c r="E18" s="25">
        <v>4.8</v>
      </c>
      <c r="F18" s="25" t="str" cm="1">
        <f t="array" ref="F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18" s="26">
        <v>2.46</v>
      </c>
      <c r="H18" s="27">
        <v>6537</v>
      </c>
    </row>
    <row r="19" spans="1:8" ht="18" x14ac:dyDescent="0.25">
      <c r="A19" s="24" t="s">
        <v>1074</v>
      </c>
      <c r="B19" s="25">
        <v>1973</v>
      </c>
      <c r="C19" s="25" t="s">
        <v>2462</v>
      </c>
      <c r="D19" s="25">
        <v>88</v>
      </c>
      <c r="E19" s="25">
        <v>6.9</v>
      </c>
      <c r="F19" s="25" t="str" cm="1">
        <f t="array" ref="F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19" s="26">
        <v>16.059999999999999</v>
      </c>
      <c r="H19" s="27">
        <v>61974</v>
      </c>
    </row>
    <row r="20" spans="1:8" ht="18" x14ac:dyDescent="0.25">
      <c r="A20" s="24" t="s">
        <v>1954</v>
      </c>
      <c r="B20" s="25">
        <v>1974</v>
      </c>
      <c r="C20" s="25" t="s">
        <v>2463</v>
      </c>
      <c r="D20" s="25">
        <v>91</v>
      </c>
      <c r="E20" s="25">
        <v>7.3</v>
      </c>
      <c r="F20" s="25" t="str" cm="1">
        <f t="array" ref="F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0" s="26">
        <v>0.16</v>
      </c>
      <c r="H20" s="27">
        <v>21643</v>
      </c>
    </row>
    <row r="21" spans="1:8" ht="18" x14ac:dyDescent="0.25">
      <c r="A21" s="24" t="s">
        <v>1955</v>
      </c>
      <c r="B21" s="25">
        <v>1975</v>
      </c>
      <c r="C21" s="25" t="s">
        <v>2462</v>
      </c>
      <c r="D21" s="25">
        <v>115</v>
      </c>
      <c r="E21" s="25">
        <v>7.4</v>
      </c>
      <c r="F21" s="25" t="str" cm="1">
        <f t="array" ref="F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1" s="26">
        <v>0.23</v>
      </c>
      <c r="H21" s="27">
        <v>39970</v>
      </c>
    </row>
    <row r="22" spans="1:8" ht="18" x14ac:dyDescent="0.25">
      <c r="A22" s="24" t="s">
        <v>940</v>
      </c>
      <c r="B22" s="25">
        <v>1976</v>
      </c>
      <c r="C22" s="25" t="s">
        <v>2462</v>
      </c>
      <c r="D22" s="25">
        <v>126</v>
      </c>
      <c r="E22" s="25">
        <v>6.5</v>
      </c>
      <c r="F22" s="25" t="str" cm="1">
        <f t="array" ref="F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2" s="26">
        <v>14</v>
      </c>
      <c r="H22" s="27">
        <v>11726</v>
      </c>
    </row>
    <row r="23" spans="1:8" ht="18" x14ac:dyDescent="0.25">
      <c r="A23" s="24" t="s">
        <v>1018</v>
      </c>
      <c r="B23" s="25">
        <v>1976</v>
      </c>
      <c r="C23" s="25" t="s">
        <v>2462</v>
      </c>
      <c r="D23" s="25">
        <v>125</v>
      </c>
      <c r="E23" s="25">
        <v>7.4</v>
      </c>
      <c r="F23" s="25" t="str" cm="1">
        <f t="array" ref="F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3" s="26">
        <v>21.71</v>
      </c>
      <c r="H23" s="27">
        <v>68739</v>
      </c>
    </row>
    <row r="24" spans="1:8" ht="18" x14ac:dyDescent="0.25">
      <c r="A24" s="24" t="s">
        <v>835</v>
      </c>
      <c r="B24" s="25">
        <v>1977</v>
      </c>
      <c r="C24" s="25" t="s">
        <v>2462</v>
      </c>
      <c r="D24" s="25">
        <v>124</v>
      </c>
      <c r="E24" s="25">
        <v>7.7</v>
      </c>
      <c r="F24" s="25" t="str" cm="1">
        <f t="array" ref="F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4" s="26">
        <v>2.46</v>
      </c>
      <c r="H24" s="27">
        <v>16879</v>
      </c>
    </row>
    <row r="25" spans="1:8" ht="18" x14ac:dyDescent="0.25">
      <c r="A25" s="24" t="s">
        <v>571</v>
      </c>
      <c r="B25" s="25">
        <v>1979</v>
      </c>
      <c r="C25" s="25" t="s">
        <v>2462</v>
      </c>
      <c r="D25" s="25">
        <v>93</v>
      </c>
      <c r="E25" s="25">
        <v>7.5</v>
      </c>
      <c r="F25" s="25" t="str" cm="1">
        <f t="array" ref="F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5" s="26">
        <v>22.49</v>
      </c>
      <c r="H25" s="27">
        <v>108327</v>
      </c>
    </row>
    <row r="26" spans="1:8" ht="18" x14ac:dyDescent="0.25">
      <c r="A26" s="24" t="s">
        <v>1956</v>
      </c>
      <c r="B26" s="25">
        <v>1979</v>
      </c>
      <c r="C26" s="25" t="s">
        <v>2462</v>
      </c>
      <c r="D26" s="25">
        <v>100</v>
      </c>
      <c r="E26" s="25">
        <v>7.6</v>
      </c>
      <c r="F26" s="25" t="str" cm="1">
        <f t="array" ref="F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1970s</v>
      </c>
      <c r="G26" s="26">
        <v>2.46</v>
      </c>
      <c r="H26" s="27">
        <v>32486</v>
      </c>
    </row>
    <row r="27" spans="1:8" ht="18" x14ac:dyDescent="0.25">
      <c r="A27" s="24" t="s">
        <v>1957</v>
      </c>
      <c r="B27" s="25">
        <v>1980</v>
      </c>
      <c r="C27" s="25" t="s">
        <v>2462</v>
      </c>
      <c r="D27" s="25">
        <v>104</v>
      </c>
      <c r="E27" s="25">
        <v>7.1</v>
      </c>
      <c r="F27" s="25" t="str" cm="1">
        <f t="array" ref="F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27" s="26">
        <v>31.9</v>
      </c>
      <c r="H27" s="27">
        <v>46498</v>
      </c>
    </row>
    <row r="28" spans="1:8" ht="18" x14ac:dyDescent="0.25">
      <c r="A28" s="24" t="s">
        <v>1958</v>
      </c>
      <c r="B28" s="25">
        <v>1980</v>
      </c>
      <c r="C28" s="25" t="s">
        <v>2462</v>
      </c>
      <c r="D28" s="25">
        <v>83</v>
      </c>
      <c r="E28" s="25">
        <v>7.7</v>
      </c>
      <c r="F28" s="25" t="str" cm="1">
        <f t="array" ref="F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28" s="26">
        <v>0.03</v>
      </c>
      <c r="H28" s="27">
        <v>5405</v>
      </c>
    </row>
    <row r="29" spans="1:8" ht="18" x14ac:dyDescent="0.25">
      <c r="A29" s="24" t="s">
        <v>89</v>
      </c>
      <c r="B29" s="25">
        <v>1981</v>
      </c>
      <c r="C29" s="25" t="s">
        <v>2462</v>
      </c>
      <c r="D29" s="25">
        <v>124</v>
      </c>
      <c r="E29" s="25">
        <v>7.3</v>
      </c>
      <c r="F29" s="25" t="str" cm="1">
        <f t="array" ref="F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29" s="26">
        <v>1.1100000000000001</v>
      </c>
      <c r="H29" s="27">
        <v>40160</v>
      </c>
    </row>
    <row r="30" spans="1:8" ht="18" x14ac:dyDescent="0.25">
      <c r="A30" s="24" t="s">
        <v>593</v>
      </c>
      <c r="B30" s="25">
        <v>1981</v>
      </c>
      <c r="C30" s="25" t="s">
        <v>2462</v>
      </c>
      <c r="D30" s="25">
        <v>108</v>
      </c>
      <c r="E30" s="25">
        <v>7.4</v>
      </c>
      <c r="F30" s="25" t="str" cm="1">
        <f t="array" ref="F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0" s="26">
        <v>13.75</v>
      </c>
      <c r="H30" s="27">
        <v>60364</v>
      </c>
    </row>
    <row r="31" spans="1:8" ht="18" x14ac:dyDescent="0.25">
      <c r="A31" s="24" t="s">
        <v>1485</v>
      </c>
      <c r="B31" s="25">
        <v>1982</v>
      </c>
      <c r="C31" s="25" t="s">
        <v>2464</v>
      </c>
      <c r="D31" s="25">
        <v>112</v>
      </c>
      <c r="E31" s="25">
        <v>6</v>
      </c>
      <c r="F31" s="25" t="str" cm="1">
        <f t="array" ref="F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1" s="26">
        <v>2.46</v>
      </c>
      <c r="H31" s="27">
        <v>6748</v>
      </c>
    </row>
    <row r="32" spans="1:8" ht="18" x14ac:dyDescent="0.25">
      <c r="A32" s="24" t="s">
        <v>1959</v>
      </c>
      <c r="B32" s="25">
        <v>1983</v>
      </c>
      <c r="C32" s="25" t="s">
        <v>2462</v>
      </c>
      <c r="D32" s="25">
        <v>113</v>
      </c>
      <c r="E32" s="25">
        <v>6.6</v>
      </c>
      <c r="F32" s="25" t="str" cm="1">
        <f t="array" ref="F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2" s="26">
        <v>34.729999999999997</v>
      </c>
      <c r="H32" s="27">
        <v>30267</v>
      </c>
    </row>
    <row r="33" spans="1:8" ht="18" x14ac:dyDescent="0.25">
      <c r="A33" s="24" t="s">
        <v>122</v>
      </c>
      <c r="B33" s="25">
        <v>1983</v>
      </c>
      <c r="C33" s="25" t="s">
        <v>2462</v>
      </c>
      <c r="D33" s="25">
        <v>109</v>
      </c>
      <c r="E33" s="25">
        <v>6.3</v>
      </c>
      <c r="F33" s="25" t="str" cm="1">
        <f t="array" ref="F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3" s="26">
        <v>5.56</v>
      </c>
      <c r="H33" s="27">
        <v>7565</v>
      </c>
    </row>
    <row r="34" spans="1:8" ht="18" x14ac:dyDescent="0.25">
      <c r="A34" s="24" t="s">
        <v>1960</v>
      </c>
      <c r="B34" s="25">
        <v>1984</v>
      </c>
      <c r="C34" s="25" t="s">
        <v>2463</v>
      </c>
      <c r="D34" s="25">
        <v>121</v>
      </c>
      <c r="E34" s="25">
        <v>6.6</v>
      </c>
      <c r="F34" s="25" t="str" cm="1">
        <f t="array" ref="F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4" s="26">
        <v>6.14</v>
      </c>
      <c r="H34" s="27">
        <v>9598</v>
      </c>
    </row>
    <row r="35" spans="1:8" ht="18" x14ac:dyDescent="0.25">
      <c r="A35" s="24" t="s">
        <v>1961</v>
      </c>
      <c r="B35" s="25">
        <v>1984</v>
      </c>
      <c r="C35" s="25" t="s">
        <v>2462</v>
      </c>
      <c r="D35" s="25">
        <v>115</v>
      </c>
      <c r="E35" s="25">
        <v>6.5</v>
      </c>
      <c r="F35" s="25" t="str" cm="1">
        <f t="array" ref="F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5" s="26">
        <v>25.1</v>
      </c>
      <c r="H35" s="27">
        <v>12795</v>
      </c>
    </row>
    <row r="36" spans="1:8" ht="18" x14ac:dyDescent="0.25">
      <c r="A36" s="24" t="s">
        <v>108</v>
      </c>
      <c r="B36" s="25">
        <v>1985</v>
      </c>
      <c r="C36" s="25" t="s">
        <v>2462</v>
      </c>
      <c r="D36" s="25">
        <v>114</v>
      </c>
      <c r="E36" s="25">
        <v>7.9</v>
      </c>
      <c r="F36" s="25" t="str" cm="1">
        <f t="array" ref="F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6" s="26">
        <v>0.22</v>
      </c>
      <c r="H36" s="27">
        <v>21635</v>
      </c>
    </row>
    <row r="37" spans="1:8" ht="18" x14ac:dyDescent="0.25">
      <c r="A37" s="24" t="s">
        <v>733</v>
      </c>
      <c r="B37" s="25">
        <v>1985</v>
      </c>
      <c r="C37" s="25" t="s">
        <v>2464</v>
      </c>
      <c r="D37" s="25">
        <v>108</v>
      </c>
      <c r="E37" s="25">
        <v>6.8</v>
      </c>
      <c r="F37" s="25" t="str" cm="1">
        <f t="array" ref="F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7" s="26">
        <v>4.2699999999999996</v>
      </c>
      <c r="H37" s="27">
        <v>50475</v>
      </c>
    </row>
    <row r="38" spans="1:8" ht="18" x14ac:dyDescent="0.25">
      <c r="A38" s="24" t="s">
        <v>1962</v>
      </c>
      <c r="B38" s="25">
        <v>1985</v>
      </c>
      <c r="C38" s="25" t="s">
        <v>2463</v>
      </c>
      <c r="D38" s="25">
        <v>87</v>
      </c>
      <c r="E38" s="25">
        <v>5.4</v>
      </c>
      <c r="F38" s="25" t="str" cm="1">
        <f t="array" ref="F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8" s="26">
        <v>30</v>
      </c>
      <c r="H38" s="27">
        <v>75920</v>
      </c>
    </row>
    <row r="39" spans="1:8" ht="18" x14ac:dyDescent="0.25">
      <c r="A39" s="24" t="s">
        <v>749</v>
      </c>
      <c r="B39" s="25">
        <v>1986</v>
      </c>
      <c r="C39" s="25" t="s">
        <v>2462</v>
      </c>
      <c r="D39" s="25">
        <v>114</v>
      </c>
      <c r="E39" s="25">
        <v>7.4</v>
      </c>
      <c r="F39" s="25" t="str" cm="1">
        <f t="array" ref="F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39" s="26">
        <v>28.61</v>
      </c>
      <c r="H39" s="27">
        <v>49992</v>
      </c>
    </row>
    <row r="40" spans="1:8" ht="18" x14ac:dyDescent="0.25">
      <c r="A40" s="24" t="s">
        <v>1201</v>
      </c>
      <c r="B40" s="25">
        <v>1986</v>
      </c>
      <c r="C40" s="25" t="s">
        <v>2462</v>
      </c>
      <c r="D40" s="25">
        <v>96</v>
      </c>
      <c r="E40" s="25">
        <v>5.0999999999999996</v>
      </c>
      <c r="F40" s="25" t="str" cm="1">
        <f t="array" ref="F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0" s="26">
        <v>12.31</v>
      </c>
      <c r="H40" s="27">
        <v>6734</v>
      </c>
    </row>
    <row r="41" spans="1:8" ht="18" x14ac:dyDescent="0.25">
      <c r="A41" s="24" t="s">
        <v>1963</v>
      </c>
      <c r="B41" s="25">
        <v>1986</v>
      </c>
      <c r="C41" s="25" t="s">
        <v>2462</v>
      </c>
      <c r="D41" s="25">
        <v>104</v>
      </c>
      <c r="E41" s="25">
        <v>6</v>
      </c>
      <c r="F41" s="25" t="str" cm="1">
        <f t="array" ref="F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1" s="26">
        <v>7.79</v>
      </c>
      <c r="H41" s="27">
        <v>7963</v>
      </c>
    </row>
    <row r="42" spans="1:8" ht="18" x14ac:dyDescent="0.25">
      <c r="A42" s="24" t="s">
        <v>1385</v>
      </c>
      <c r="B42" s="25">
        <v>1987</v>
      </c>
      <c r="C42" s="25" t="s">
        <v>2462</v>
      </c>
      <c r="D42" s="25">
        <v>107</v>
      </c>
      <c r="E42" s="25">
        <v>4.5999999999999996</v>
      </c>
      <c r="F42" s="25" t="str" cm="1">
        <f t="array" ref="F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2" s="26">
        <v>14.38</v>
      </c>
      <c r="H42" s="27">
        <v>11658</v>
      </c>
    </row>
    <row r="43" spans="1:8" ht="18" x14ac:dyDescent="0.25">
      <c r="A43" s="24" t="s">
        <v>1964</v>
      </c>
      <c r="B43" s="25">
        <v>1987</v>
      </c>
      <c r="C43" s="25" t="s">
        <v>2462</v>
      </c>
      <c r="D43" s="25">
        <v>128</v>
      </c>
      <c r="E43" s="25">
        <v>7.9</v>
      </c>
      <c r="F43" s="25" t="str" cm="1">
        <f t="array" ref="F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3" s="26">
        <v>3.33</v>
      </c>
      <c r="H43" s="27">
        <v>75050</v>
      </c>
    </row>
    <row r="44" spans="1:8" ht="18" x14ac:dyDescent="0.25">
      <c r="A44" s="24" t="s">
        <v>961</v>
      </c>
      <c r="B44" s="25">
        <v>1988</v>
      </c>
      <c r="C44" s="25" t="s">
        <v>2462</v>
      </c>
      <c r="D44" s="25">
        <v>103</v>
      </c>
      <c r="E44" s="25">
        <v>7.2</v>
      </c>
      <c r="F44" s="25" t="str" cm="1">
        <f t="array" ref="F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4" s="26">
        <v>1.1100000000000001</v>
      </c>
      <c r="H44" s="27">
        <v>112914</v>
      </c>
    </row>
    <row r="45" spans="1:8" ht="18" x14ac:dyDescent="0.25">
      <c r="A45" s="24" t="s">
        <v>1965</v>
      </c>
      <c r="B45" s="25">
        <v>1988</v>
      </c>
      <c r="C45" s="25" t="s">
        <v>2462</v>
      </c>
      <c r="D45" s="25">
        <v>116</v>
      </c>
      <c r="E45" s="25">
        <v>7.6</v>
      </c>
      <c r="F45" s="25" t="str" cm="1">
        <f t="array" ref="F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5" s="26">
        <v>2.84</v>
      </c>
      <c r="H45" s="27">
        <v>17545</v>
      </c>
    </row>
    <row r="46" spans="1:8" ht="18" x14ac:dyDescent="0.25">
      <c r="A46" s="24" t="s">
        <v>1966</v>
      </c>
      <c r="B46" s="25">
        <v>1988</v>
      </c>
      <c r="C46" s="25" t="s">
        <v>2462</v>
      </c>
      <c r="D46" s="25">
        <v>166</v>
      </c>
      <c r="E46" s="25">
        <v>7.2</v>
      </c>
      <c r="F46" s="25" t="str" cm="1">
        <f t="array" ref="F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1980s</v>
      </c>
      <c r="G46" s="26">
        <v>2.46</v>
      </c>
      <c r="H46" s="27">
        <v>4199</v>
      </c>
    </row>
    <row r="47" spans="1:8" ht="18" x14ac:dyDescent="0.25">
      <c r="A47" s="24" t="s">
        <v>825</v>
      </c>
      <c r="B47" s="25">
        <v>1990</v>
      </c>
      <c r="C47" s="25" t="s">
        <v>2462</v>
      </c>
      <c r="D47" s="25">
        <v>140</v>
      </c>
      <c r="E47" s="25">
        <v>6.9</v>
      </c>
      <c r="F47" s="25" t="str" cm="1">
        <f t="array" ref="F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47" s="26">
        <v>2.23</v>
      </c>
      <c r="H47" s="27">
        <v>4133</v>
      </c>
    </row>
    <row r="48" spans="1:8" ht="18" x14ac:dyDescent="0.25">
      <c r="A48" s="24" t="s">
        <v>1967</v>
      </c>
      <c r="B48" s="25">
        <v>1991</v>
      </c>
      <c r="C48" s="25" t="s">
        <v>2462</v>
      </c>
      <c r="D48" s="25">
        <v>129</v>
      </c>
      <c r="E48" s="25">
        <v>7.7</v>
      </c>
      <c r="F48" s="25" t="str" cm="1">
        <f t="array" ref="F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48" s="26">
        <v>2.02</v>
      </c>
      <c r="H48" s="27">
        <v>64543</v>
      </c>
    </row>
    <row r="49" spans="1:8" ht="18" x14ac:dyDescent="0.25">
      <c r="A49" s="24" t="s">
        <v>14</v>
      </c>
      <c r="B49" s="25">
        <v>1992</v>
      </c>
      <c r="C49" s="25" t="s">
        <v>2462</v>
      </c>
      <c r="D49" s="25">
        <v>107</v>
      </c>
      <c r="E49" s="25">
        <v>6.8</v>
      </c>
      <c r="F49" s="25" t="str" cm="1">
        <f t="array" ref="F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49" s="26">
        <v>2.46</v>
      </c>
      <c r="H49" s="27">
        <v>698</v>
      </c>
    </row>
    <row r="50" spans="1:8" ht="18" x14ac:dyDescent="0.25">
      <c r="A50" s="24" t="s">
        <v>767</v>
      </c>
      <c r="B50" s="25">
        <v>1992</v>
      </c>
      <c r="C50" s="25" t="s">
        <v>2462</v>
      </c>
      <c r="D50" s="25">
        <v>94</v>
      </c>
      <c r="E50" s="25">
        <v>6.7</v>
      </c>
      <c r="F50" s="25" t="str" cm="1">
        <f t="array" ref="F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0" s="26">
        <v>0.62</v>
      </c>
      <c r="H50" s="27">
        <v>32559</v>
      </c>
    </row>
    <row r="51" spans="1:8" ht="18" x14ac:dyDescent="0.25">
      <c r="A51" s="24" t="s">
        <v>1968</v>
      </c>
      <c r="B51" s="25">
        <v>1992</v>
      </c>
      <c r="C51" s="25" t="s">
        <v>2462</v>
      </c>
      <c r="D51" s="25">
        <v>108</v>
      </c>
      <c r="E51" s="25">
        <v>7.5</v>
      </c>
      <c r="F51" s="25" t="str" cm="1">
        <f t="array" ref="F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1" s="26">
        <v>10.56</v>
      </c>
      <c r="H51" s="27">
        <v>30652</v>
      </c>
    </row>
    <row r="52" spans="1:8" ht="18" x14ac:dyDescent="0.25">
      <c r="A52" s="24" t="s">
        <v>367</v>
      </c>
      <c r="B52" s="25">
        <v>1993</v>
      </c>
      <c r="C52" s="25" t="s">
        <v>2462</v>
      </c>
      <c r="D52" s="25">
        <v>98</v>
      </c>
      <c r="E52" s="25">
        <v>7</v>
      </c>
      <c r="F52" s="25" t="str" cm="1">
        <f t="array" ref="F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2" s="26">
        <v>2.5</v>
      </c>
      <c r="H52" s="27">
        <v>24358</v>
      </c>
    </row>
    <row r="53" spans="1:8" ht="18" x14ac:dyDescent="0.25">
      <c r="A53" s="24" t="s">
        <v>1969</v>
      </c>
      <c r="B53" s="25">
        <v>1993</v>
      </c>
      <c r="C53" s="25" t="s">
        <v>2462</v>
      </c>
      <c r="D53" s="25">
        <v>76</v>
      </c>
      <c r="E53" s="25">
        <v>7.8</v>
      </c>
      <c r="F53" s="25" t="str" cm="1">
        <f t="array" ref="F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3" s="26">
        <v>5.62</v>
      </c>
      <c r="H53" s="27">
        <v>55254</v>
      </c>
    </row>
    <row r="54" spans="1:8" ht="18" x14ac:dyDescent="0.25">
      <c r="A54" s="24" t="s">
        <v>1289</v>
      </c>
      <c r="B54" s="25">
        <v>1993</v>
      </c>
      <c r="C54" s="25" t="s">
        <v>2462</v>
      </c>
      <c r="D54" s="25">
        <v>121</v>
      </c>
      <c r="E54" s="25">
        <v>6.2</v>
      </c>
      <c r="F54" s="25" t="str" cm="1">
        <f t="array" ref="F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4" s="26">
        <v>15.19</v>
      </c>
      <c r="H54" s="27">
        <v>26946</v>
      </c>
    </row>
    <row r="55" spans="1:8" ht="18" x14ac:dyDescent="0.25">
      <c r="A55" s="24" t="s">
        <v>1970</v>
      </c>
      <c r="B55" s="25">
        <v>1993</v>
      </c>
      <c r="C55" s="25" t="s">
        <v>2463</v>
      </c>
      <c r="D55" s="25">
        <v>109</v>
      </c>
      <c r="E55" s="25">
        <v>6.5</v>
      </c>
      <c r="F55" s="25" t="str" cm="1">
        <f t="array" ref="F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5" s="26">
        <v>20.100000000000001</v>
      </c>
      <c r="H55" s="27">
        <v>27601</v>
      </c>
    </row>
    <row r="56" spans="1:8" ht="18" x14ac:dyDescent="0.25">
      <c r="A56" s="24" t="s">
        <v>1971</v>
      </c>
      <c r="B56" s="25">
        <v>1995</v>
      </c>
      <c r="C56" s="25" t="s">
        <v>2462</v>
      </c>
      <c r="D56" s="25">
        <v>53</v>
      </c>
      <c r="E56" s="25">
        <v>7.3</v>
      </c>
      <c r="F56" s="25" t="str" cm="1">
        <f t="array" ref="F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6" s="26">
        <v>2.46</v>
      </c>
      <c r="H56" s="27">
        <v>39</v>
      </c>
    </row>
    <row r="57" spans="1:8" ht="18" x14ac:dyDescent="0.25">
      <c r="A57" s="24" t="s">
        <v>118</v>
      </c>
      <c r="B57" s="25">
        <v>1995</v>
      </c>
      <c r="C57" s="25" t="s">
        <v>2464</v>
      </c>
      <c r="D57" s="25">
        <v>128</v>
      </c>
      <c r="E57" s="25">
        <v>6.9</v>
      </c>
      <c r="F57" s="25" t="str" cm="1">
        <f t="array" ref="F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7" s="26">
        <v>13.04</v>
      </c>
      <c r="H57" s="27">
        <v>23199</v>
      </c>
    </row>
    <row r="58" spans="1:8" ht="18" x14ac:dyDescent="0.25">
      <c r="A58" s="24" t="s">
        <v>1972</v>
      </c>
      <c r="B58" s="25">
        <v>1995</v>
      </c>
      <c r="C58" s="25" t="s">
        <v>2462</v>
      </c>
      <c r="D58" s="25">
        <v>83</v>
      </c>
      <c r="E58" s="25">
        <v>7.9</v>
      </c>
      <c r="F58" s="25" t="str" cm="1">
        <f t="array" ref="F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8" s="26">
        <v>0.52</v>
      </c>
      <c r="H58" s="27">
        <v>152571</v>
      </c>
    </row>
    <row r="59" spans="1:8" ht="18" x14ac:dyDescent="0.25">
      <c r="A59" s="24" t="s">
        <v>101</v>
      </c>
      <c r="B59" s="25">
        <v>1996</v>
      </c>
      <c r="C59" s="25" t="s">
        <v>2462</v>
      </c>
      <c r="D59" s="25">
        <v>99</v>
      </c>
      <c r="E59" s="25">
        <v>7</v>
      </c>
      <c r="F59" s="25" t="str" cm="1">
        <f t="array" ref="F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59" s="26">
        <v>0.19</v>
      </c>
      <c r="H59" s="27">
        <v>9344</v>
      </c>
    </row>
    <row r="60" spans="1:8" ht="18" x14ac:dyDescent="0.25">
      <c r="A60" s="24" t="s">
        <v>265</v>
      </c>
      <c r="B60" s="25">
        <v>1996</v>
      </c>
      <c r="C60" s="25" t="s">
        <v>2462</v>
      </c>
      <c r="D60" s="25">
        <v>91</v>
      </c>
      <c r="E60" s="25">
        <v>6.9</v>
      </c>
      <c r="F60" s="25" t="str" cm="1">
        <f t="array" ref="F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0" s="26">
        <v>0.56000000000000005</v>
      </c>
      <c r="H60" s="27">
        <v>82258</v>
      </c>
    </row>
    <row r="61" spans="1:8" ht="18" x14ac:dyDescent="0.25">
      <c r="A61" s="24" t="s">
        <v>37</v>
      </c>
      <c r="B61" s="25">
        <v>1997</v>
      </c>
      <c r="C61" s="25" t="s">
        <v>2462</v>
      </c>
      <c r="D61" s="25">
        <v>102</v>
      </c>
      <c r="E61" s="25">
        <v>4.5999999999999996</v>
      </c>
      <c r="F61" s="25" t="str" cm="1">
        <f t="array" ref="F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1" s="26">
        <v>2.46</v>
      </c>
      <c r="H61" s="27"/>
    </row>
    <row r="62" spans="1:8" ht="18" x14ac:dyDescent="0.25">
      <c r="A62" s="24" t="s">
        <v>254</v>
      </c>
      <c r="B62" s="25">
        <v>1998</v>
      </c>
      <c r="C62" s="25" t="s">
        <v>2462</v>
      </c>
      <c r="D62" s="25">
        <v>104</v>
      </c>
      <c r="E62" s="25">
        <v>6.6</v>
      </c>
      <c r="F62" s="25" t="str" cm="1">
        <f t="array" ref="F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2" s="26">
        <v>40.06</v>
      </c>
      <c r="H62" s="27">
        <v>132575</v>
      </c>
    </row>
    <row r="63" spans="1:8" ht="18" x14ac:dyDescent="0.25">
      <c r="A63" s="24" t="s">
        <v>182</v>
      </c>
      <c r="B63" s="25">
        <v>1999</v>
      </c>
      <c r="C63" s="25" t="s">
        <v>2462</v>
      </c>
      <c r="D63" s="25">
        <v>94</v>
      </c>
      <c r="E63" s="25">
        <v>6.9</v>
      </c>
      <c r="F63" s="25" t="str" cm="1">
        <f t="array" ref="F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3" s="26">
        <v>7.0000000000000007E-2</v>
      </c>
      <c r="H63" s="27">
        <v>1060</v>
      </c>
    </row>
    <row r="64" spans="1:8" ht="18" x14ac:dyDescent="0.25">
      <c r="A64" s="24" t="s">
        <v>771</v>
      </c>
      <c r="B64" s="25">
        <v>1999</v>
      </c>
      <c r="C64" s="25" t="s">
        <v>2462</v>
      </c>
      <c r="D64" s="25">
        <v>103</v>
      </c>
      <c r="E64" s="25">
        <v>6.2</v>
      </c>
      <c r="F64" s="25" t="str" cm="1">
        <f t="array" ref="F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4" s="26">
        <v>0.01</v>
      </c>
      <c r="H64" s="27">
        <v>1612</v>
      </c>
    </row>
    <row r="65" spans="1:8" ht="18" x14ac:dyDescent="0.25">
      <c r="A65" s="24" t="s">
        <v>1973</v>
      </c>
      <c r="B65" s="25">
        <v>1999</v>
      </c>
      <c r="C65" s="25" t="s">
        <v>2462</v>
      </c>
      <c r="D65" s="25">
        <v>124</v>
      </c>
      <c r="E65" s="25">
        <v>6.8</v>
      </c>
      <c r="F65" s="25" t="str" cm="1">
        <f t="array" ref="F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5" s="26">
        <v>14.86</v>
      </c>
      <c r="H65" s="27">
        <v>13191</v>
      </c>
    </row>
    <row r="66" spans="1:8" ht="18" x14ac:dyDescent="0.25">
      <c r="A66" s="24" t="s">
        <v>1974</v>
      </c>
      <c r="B66" s="25">
        <v>1999</v>
      </c>
      <c r="C66" s="25" t="s">
        <v>2464</v>
      </c>
      <c r="D66" s="25">
        <v>120</v>
      </c>
      <c r="E66" s="25">
        <v>6.5</v>
      </c>
      <c r="F66" s="25" t="str" cm="1">
        <f t="array" ref="F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1990s</v>
      </c>
      <c r="G66" s="26">
        <v>4.96</v>
      </c>
      <c r="H66" s="27">
        <v>17840</v>
      </c>
    </row>
    <row r="67" spans="1:8" ht="18" x14ac:dyDescent="0.25">
      <c r="A67" s="24" t="s">
        <v>1975</v>
      </c>
      <c r="B67" s="25">
        <v>2000</v>
      </c>
      <c r="C67" s="25" t="s">
        <v>2463</v>
      </c>
      <c r="D67" s="25">
        <v>117</v>
      </c>
      <c r="E67" s="25">
        <v>7.1</v>
      </c>
      <c r="F67" s="25" t="str" cm="1">
        <f t="array" ref="F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67" s="26">
        <v>3.82</v>
      </c>
      <c r="H67" s="27">
        <v>11819</v>
      </c>
    </row>
    <row r="68" spans="1:8" ht="18" x14ac:dyDescent="0.25">
      <c r="A68" s="24" t="s">
        <v>166</v>
      </c>
      <c r="B68" s="25">
        <v>2000</v>
      </c>
      <c r="C68" s="25" t="s">
        <v>2462</v>
      </c>
      <c r="D68" s="25">
        <v>101</v>
      </c>
      <c r="E68" s="25">
        <v>7.2</v>
      </c>
      <c r="F68" s="25" t="str" cm="1">
        <f t="array" ref="F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68" s="26">
        <v>2.25</v>
      </c>
      <c r="H68" s="27">
        <v>16902</v>
      </c>
    </row>
    <row r="69" spans="1:8" ht="18" x14ac:dyDescent="0.25">
      <c r="A69" s="24" t="s">
        <v>1976</v>
      </c>
      <c r="B69" s="25">
        <v>2000</v>
      </c>
      <c r="C69" s="25" t="s">
        <v>2462</v>
      </c>
      <c r="D69" s="25">
        <v>123</v>
      </c>
      <c r="E69" s="25">
        <v>5.7</v>
      </c>
      <c r="F69" s="25" t="str" cm="1">
        <f t="array" ref="F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69" s="26">
        <v>0.03</v>
      </c>
      <c r="H69" s="27">
        <v>4089</v>
      </c>
    </row>
    <row r="70" spans="1:8" ht="18" x14ac:dyDescent="0.25">
      <c r="A70" s="24" t="s">
        <v>478</v>
      </c>
      <c r="B70" s="25">
        <v>2000</v>
      </c>
      <c r="C70" s="25" t="s">
        <v>2462</v>
      </c>
      <c r="D70" s="25">
        <v>88</v>
      </c>
      <c r="E70" s="25">
        <v>7.3</v>
      </c>
      <c r="F70" s="25" t="str" cm="1">
        <f t="array" ref="F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0" s="26">
        <v>2.46</v>
      </c>
      <c r="H70" s="27">
        <v>6832</v>
      </c>
    </row>
    <row r="71" spans="1:8" ht="18" x14ac:dyDescent="0.25">
      <c r="A71" s="24" t="s">
        <v>1977</v>
      </c>
      <c r="B71" s="25">
        <v>2000</v>
      </c>
      <c r="C71" s="25" t="s">
        <v>2462</v>
      </c>
      <c r="D71" s="25">
        <v>105</v>
      </c>
      <c r="E71" s="25">
        <v>5.5</v>
      </c>
      <c r="F71" s="25" t="str" cm="1">
        <f t="array" ref="F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1" s="26">
        <v>0.77</v>
      </c>
      <c r="H71" s="27">
        <v>3544</v>
      </c>
    </row>
    <row r="72" spans="1:8" ht="18" x14ac:dyDescent="0.25">
      <c r="A72" s="24" t="s">
        <v>1009</v>
      </c>
      <c r="B72" s="25">
        <v>2000</v>
      </c>
      <c r="C72" s="25" t="s">
        <v>2462</v>
      </c>
      <c r="D72" s="25">
        <v>99</v>
      </c>
      <c r="E72" s="25">
        <v>7.6</v>
      </c>
      <c r="F72" s="25" t="str" cm="1">
        <f t="array" ref="F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2" s="26">
        <v>2.46</v>
      </c>
      <c r="H72" s="27">
        <v>22663</v>
      </c>
    </row>
    <row r="73" spans="1:8" ht="18" x14ac:dyDescent="0.25">
      <c r="A73" s="24" t="s">
        <v>1229</v>
      </c>
      <c r="B73" s="25">
        <v>2000</v>
      </c>
      <c r="C73" s="25" t="s">
        <v>2462</v>
      </c>
      <c r="D73" s="25">
        <v>109</v>
      </c>
      <c r="E73" s="25">
        <v>6.3</v>
      </c>
      <c r="F73" s="25" t="str" cm="1">
        <f t="array" ref="F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3" s="26">
        <v>2.46</v>
      </c>
      <c r="H73" s="27">
        <v>1714</v>
      </c>
    </row>
    <row r="74" spans="1:8" ht="18" x14ac:dyDescent="0.25">
      <c r="A74" s="24" t="s">
        <v>95</v>
      </c>
      <c r="B74" s="25">
        <v>2001</v>
      </c>
      <c r="C74" s="25" t="s">
        <v>2462</v>
      </c>
      <c r="D74" s="25">
        <v>109</v>
      </c>
      <c r="E74" s="25">
        <v>7</v>
      </c>
      <c r="F74" s="25" t="str" cm="1">
        <f t="array" ref="F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4" s="26">
        <v>0.21</v>
      </c>
      <c r="H74" s="27">
        <v>2461</v>
      </c>
    </row>
    <row r="75" spans="1:8" ht="18" x14ac:dyDescent="0.25">
      <c r="A75" s="24" t="s">
        <v>337</v>
      </c>
      <c r="B75" s="25">
        <v>2001</v>
      </c>
      <c r="C75" s="25" t="s">
        <v>2464</v>
      </c>
      <c r="D75" s="25">
        <v>86</v>
      </c>
      <c r="E75" s="25">
        <v>7.2</v>
      </c>
      <c r="F75" s="25" t="str" cm="1">
        <f t="array" ref="F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5" s="26">
        <v>0.49</v>
      </c>
      <c r="H75" s="27">
        <v>20894</v>
      </c>
    </row>
    <row r="76" spans="1:8" ht="18" x14ac:dyDescent="0.25">
      <c r="A76" s="24" t="s">
        <v>371</v>
      </c>
      <c r="B76" s="25">
        <v>2001</v>
      </c>
      <c r="C76" s="25" t="s">
        <v>2462</v>
      </c>
      <c r="D76" s="25">
        <v>91</v>
      </c>
      <c r="E76" s="25">
        <v>6</v>
      </c>
      <c r="F76" s="25" t="str" cm="1">
        <f t="array" ref="F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6" s="26">
        <v>27.09</v>
      </c>
      <c r="H76" s="27">
        <v>60008</v>
      </c>
    </row>
    <row r="77" spans="1:8" ht="18" x14ac:dyDescent="0.25">
      <c r="A77" s="24" t="s">
        <v>1978</v>
      </c>
      <c r="B77" s="25">
        <v>2001</v>
      </c>
      <c r="C77" s="25" t="s">
        <v>2463</v>
      </c>
      <c r="D77" s="25">
        <v>120</v>
      </c>
      <c r="E77" s="25">
        <v>7</v>
      </c>
      <c r="F77" s="25" t="str" cm="1">
        <f t="array" ref="F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7" s="26">
        <v>0.02</v>
      </c>
      <c r="H77" s="27">
        <v>59079</v>
      </c>
    </row>
    <row r="78" spans="1:8" ht="18" x14ac:dyDescent="0.25">
      <c r="A78" s="24" t="s">
        <v>447</v>
      </c>
      <c r="B78" s="25">
        <v>2001</v>
      </c>
      <c r="C78" s="25" t="s">
        <v>2463</v>
      </c>
      <c r="D78" s="25">
        <v>146</v>
      </c>
      <c r="E78" s="25">
        <v>7.5</v>
      </c>
      <c r="F78" s="25" t="str" cm="1">
        <f t="array" ref="F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8" s="26">
        <v>0.02</v>
      </c>
      <c r="H78" s="27">
        <v>10569</v>
      </c>
    </row>
    <row r="79" spans="1:8" ht="18" x14ac:dyDescent="0.25">
      <c r="A79" s="24" t="s">
        <v>477</v>
      </c>
      <c r="B79" s="25">
        <v>2001</v>
      </c>
      <c r="C79" s="25" t="s">
        <v>2462</v>
      </c>
      <c r="D79" s="25">
        <v>109</v>
      </c>
      <c r="E79" s="25">
        <v>4.8</v>
      </c>
      <c r="F79" s="25" t="str" cm="1">
        <f t="array" ref="F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79" s="26">
        <v>0.06</v>
      </c>
      <c r="H79" s="27">
        <v>2206</v>
      </c>
    </row>
    <row r="80" spans="1:8" ht="18" x14ac:dyDescent="0.25">
      <c r="A80" s="24" t="s">
        <v>1979</v>
      </c>
      <c r="B80" s="25">
        <v>2001</v>
      </c>
      <c r="C80" s="25" t="s">
        <v>2462</v>
      </c>
      <c r="D80" s="25">
        <v>98</v>
      </c>
      <c r="E80" s="25">
        <v>5.6</v>
      </c>
      <c r="F80" s="25" t="str" cm="1">
        <f t="array" ref="F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0" s="26">
        <v>14.25</v>
      </c>
      <c r="H80" s="27">
        <v>24389</v>
      </c>
    </row>
    <row r="81" spans="1:8" ht="18" x14ac:dyDescent="0.25">
      <c r="A81" s="24" t="s">
        <v>937</v>
      </c>
      <c r="B81" s="25">
        <v>2001</v>
      </c>
      <c r="C81" s="25" t="s">
        <v>2462</v>
      </c>
      <c r="D81" s="25">
        <v>130</v>
      </c>
      <c r="E81" s="25">
        <v>5.6</v>
      </c>
      <c r="F81" s="25" t="str" cm="1">
        <f t="array" ref="F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1" s="26">
        <v>0.24</v>
      </c>
      <c r="H81" s="27">
        <v>1169</v>
      </c>
    </row>
    <row r="82" spans="1:8" ht="18" x14ac:dyDescent="0.25">
      <c r="A82" s="24" t="s">
        <v>1539</v>
      </c>
      <c r="B82" s="25">
        <v>2001</v>
      </c>
      <c r="C82" s="25" t="s">
        <v>2464</v>
      </c>
      <c r="D82" s="25">
        <v>134</v>
      </c>
      <c r="E82" s="25">
        <v>7.3</v>
      </c>
      <c r="F82" s="25" t="str" cm="1">
        <f t="array" ref="F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2" s="26">
        <v>0.45</v>
      </c>
      <c r="H82" s="27">
        <v>4934</v>
      </c>
    </row>
    <row r="83" spans="1:8" ht="18" x14ac:dyDescent="0.25">
      <c r="A83" s="24" t="s">
        <v>1980</v>
      </c>
      <c r="B83" s="25">
        <v>2001</v>
      </c>
      <c r="C83" s="25" t="s">
        <v>2464</v>
      </c>
      <c r="D83" s="25">
        <v>123</v>
      </c>
      <c r="E83" s="25">
        <v>7.8</v>
      </c>
      <c r="F83" s="25" t="str" cm="1">
        <f t="array" ref="F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3" s="26">
        <v>0.62</v>
      </c>
      <c r="H83" s="27">
        <v>16271</v>
      </c>
    </row>
    <row r="84" spans="1:8" ht="18" x14ac:dyDescent="0.25">
      <c r="A84" s="24" t="s">
        <v>1893</v>
      </c>
      <c r="B84" s="25">
        <v>2001</v>
      </c>
      <c r="C84" s="25" t="s">
        <v>2462</v>
      </c>
      <c r="D84" s="25">
        <v>87</v>
      </c>
      <c r="E84" s="25">
        <v>7.8</v>
      </c>
      <c r="F84" s="25" t="str" cm="1">
        <f t="array" ref="F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4" s="26">
        <v>0.19</v>
      </c>
      <c r="H84" s="27">
        <v>30865</v>
      </c>
    </row>
    <row r="85" spans="1:8" ht="18" x14ac:dyDescent="0.25">
      <c r="A85" s="24" t="s">
        <v>41</v>
      </c>
      <c r="B85" s="25">
        <v>2002</v>
      </c>
      <c r="C85" s="25" t="s">
        <v>2462</v>
      </c>
      <c r="D85" s="25">
        <v>103</v>
      </c>
      <c r="E85" s="25">
        <v>6</v>
      </c>
      <c r="F85" s="25" t="str" cm="1">
        <f t="array" ref="F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5" s="26">
        <v>0.24</v>
      </c>
      <c r="H85" s="27">
        <v>19499</v>
      </c>
    </row>
    <row r="86" spans="1:8" ht="18" x14ac:dyDescent="0.25">
      <c r="A86" s="24" t="s">
        <v>67</v>
      </c>
      <c r="B86" s="25">
        <v>2002</v>
      </c>
      <c r="C86" s="25" t="s">
        <v>2462</v>
      </c>
      <c r="D86" s="25">
        <v>85</v>
      </c>
      <c r="E86" s="25">
        <v>7.4</v>
      </c>
      <c r="F86" s="25" t="str" cm="1">
        <f t="array" ref="F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6" s="26">
        <v>2.46</v>
      </c>
      <c r="H86" s="27">
        <v>4271</v>
      </c>
    </row>
    <row r="87" spans="1:8" ht="18" x14ac:dyDescent="0.25">
      <c r="A87" s="24" t="s">
        <v>260</v>
      </c>
      <c r="B87" s="25">
        <v>2002</v>
      </c>
      <c r="C87" s="25" t="s">
        <v>2462</v>
      </c>
      <c r="D87" s="25">
        <v>94</v>
      </c>
      <c r="E87" s="25">
        <v>5.4</v>
      </c>
      <c r="F87" s="25" t="str" cm="1">
        <f t="array" ref="F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7" s="26">
        <v>3.03</v>
      </c>
      <c r="H87" s="27">
        <v>15439</v>
      </c>
    </row>
    <row r="88" spans="1:8" ht="18" x14ac:dyDescent="0.25">
      <c r="A88" s="24" t="s">
        <v>362</v>
      </c>
      <c r="B88" s="25">
        <v>2002</v>
      </c>
      <c r="C88" s="25" t="s">
        <v>2463</v>
      </c>
      <c r="D88" s="25">
        <v>101</v>
      </c>
      <c r="E88" s="25">
        <v>7</v>
      </c>
      <c r="F88" s="25" t="str" cm="1">
        <f t="array" ref="F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8" s="26">
        <v>3.8</v>
      </c>
      <c r="H88" s="27">
        <v>10373</v>
      </c>
    </row>
    <row r="89" spans="1:8" ht="18" x14ac:dyDescent="0.25">
      <c r="A89" s="24" t="s">
        <v>380</v>
      </c>
      <c r="B89" s="25">
        <v>2002</v>
      </c>
      <c r="C89" s="25" t="s">
        <v>2464</v>
      </c>
      <c r="D89" s="25">
        <v>90</v>
      </c>
      <c r="E89" s="25">
        <v>6.9</v>
      </c>
      <c r="F89" s="25" t="str" cm="1">
        <f t="array" ref="F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89" s="26">
        <v>0.21</v>
      </c>
      <c r="H89" s="27">
        <v>8442</v>
      </c>
    </row>
    <row r="90" spans="1:8" ht="18" x14ac:dyDescent="0.25">
      <c r="A90" s="24" t="s">
        <v>384</v>
      </c>
      <c r="B90" s="25">
        <v>2002</v>
      </c>
      <c r="C90" s="25" t="s">
        <v>2462</v>
      </c>
      <c r="D90" s="25">
        <v>90</v>
      </c>
      <c r="E90" s="25">
        <v>6.6</v>
      </c>
      <c r="F90" s="25" t="str" cm="1">
        <f t="array" ref="F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0" s="26">
        <v>19.16</v>
      </c>
      <c r="H90" s="27">
        <v>25023</v>
      </c>
    </row>
    <row r="91" spans="1:8" ht="18" x14ac:dyDescent="0.25">
      <c r="A91" s="24" t="s">
        <v>1981</v>
      </c>
      <c r="B91" s="25">
        <v>2002</v>
      </c>
      <c r="C91" s="25" t="s">
        <v>2462</v>
      </c>
      <c r="D91" s="25">
        <v>111</v>
      </c>
      <c r="E91" s="25">
        <v>6.8</v>
      </c>
      <c r="F91" s="25" t="str" cm="1">
        <f t="array" ref="F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1" s="26">
        <v>0.23</v>
      </c>
      <c r="H91" s="27">
        <v>8017</v>
      </c>
    </row>
    <row r="92" spans="1:8" ht="18" x14ac:dyDescent="0.25">
      <c r="A92" s="24" t="s">
        <v>1982</v>
      </c>
      <c r="B92" s="25">
        <v>2002</v>
      </c>
      <c r="C92" s="25" t="s">
        <v>2462</v>
      </c>
      <c r="D92" s="25">
        <v>85</v>
      </c>
      <c r="E92" s="25">
        <v>5.8</v>
      </c>
      <c r="F92" s="25" t="str" cm="1">
        <f t="array" ref="F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2" s="26">
        <v>2.46</v>
      </c>
      <c r="H92" s="27">
        <v>77</v>
      </c>
    </row>
    <row r="93" spans="1:8" ht="18" x14ac:dyDescent="0.25">
      <c r="A93" s="24" t="s">
        <v>1983</v>
      </c>
      <c r="B93" s="25">
        <v>2002</v>
      </c>
      <c r="C93" s="25" t="s">
        <v>2462</v>
      </c>
      <c r="D93" s="25">
        <v>93</v>
      </c>
      <c r="E93" s="25">
        <v>7.3</v>
      </c>
      <c r="F93" s="25" t="str" cm="1">
        <f t="array" ref="F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3" s="26">
        <v>0.73</v>
      </c>
      <c r="H93" s="27">
        <v>11926</v>
      </c>
    </row>
    <row r="94" spans="1:8" ht="18" x14ac:dyDescent="0.25">
      <c r="A94" s="24" t="s">
        <v>1984</v>
      </c>
      <c r="B94" s="25">
        <v>2002</v>
      </c>
      <c r="C94" s="25" t="s">
        <v>2462</v>
      </c>
      <c r="D94" s="25">
        <v>110</v>
      </c>
      <c r="E94" s="25">
        <v>6.6</v>
      </c>
      <c r="F94" s="25" t="str" cm="1">
        <f t="array" ref="F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4" s="26">
        <v>6.53</v>
      </c>
      <c r="H94" s="27">
        <v>52870</v>
      </c>
    </row>
    <row r="95" spans="1:8" ht="18" x14ac:dyDescent="0.25">
      <c r="A95" s="24" t="s">
        <v>1035</v>
      </c>
      <c r="B95" s="25">
        <v>2002</v>
      </c>
      <c r="C95" s="25" t="s">
        <v>2462</v>
      </c>
      <c r="D95" s="25">
        <v>125</v>
      </c>
      <c r="E95" s="25">
        <v>6.9</v>
      </c>
      <c r="F95" s="25" t="str" cm="1">
        <f t="array" ref="F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5" s="26">
        <v>2.46</v>
      </c>
      <c r="H95" s="27">
        <v>2654</v>
      </c>
    </row>
    <row r="96" spans="1:8" ht="18" x14ac:dyDescent="0.25">
      <c r="A96" s="24" t="s">
        <v>1985</v>
      </c>
      <c r="B96" s="25">
        <v>2002</v>
      </c>
      <c r="C96" s="25" t="s">
        <v>2462</v>
      </c>
      <c r="D96" s="25">
        <v>109</v>
      </c>
      <c r="E96" s="25">
        <v>6.3</v>
      </c>
      <c r="F96" s="25" t="str" cm="1">
        <f t="array" ref="F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6" s="26">
        <v>8.36</v>
      </c>
      <c r="H96" s="27">
        <v>42091</v>
      </c>
    </row>
    <row r="97" spans="1:8" ht="18" x14ac:dyDescent="0.25">
      <c r="A97" s="24" t="s">
        <v>1986</v>
      </c>
      <c r="B97" s="25">
        <v>2003</v>
      </c>
      <c r="C97" s="25" t="s">
        <v>2462</v>
      </c>
      <c r="D97" s="25">
        <v>104</v>
      </c>
      <c r="E97" s="25">
        <v>5.3</v>
      </c>
      <c r="F97" s="25" t="str" cm="1">
        <f t="array" ref="F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7" s="26">
        <v>0.01</v>
      </c>
      <c r="H97" s="27">
        <v>9765</v>
      </c>
    </row>
    <row r="98" spans="1:8" ht="18" x14ac:dyDescent="0.25">
      <c r="A98" s="24" t="s">
        <v>379</v>
      </c>
      <c r="B98" s="25">
        <v>2003</v>
      </c>
      <c r="C98" s="25" t="s">
        <v>2462</v>
      </c>
      <c r="D98" s="25">
        <v>120</v>
      </c>
      <c r="E98" s="25">
        <v>8.4</v>
      </c>
      <c r="F98" s="25" t="str" cm="1">
        <f t="array" ref="F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8" s="26">
        <v>0.71</v>
      </c>
      <c r="H98" s="27">
        <v>616490</v>
      </c>
    </row>
    <row r="99" spans="1:8" ht="18" x14ac:dyDescent="0.25">
      <c r="A99" s="24" t="s">
        <v>424</v>
      </c>
      <c r="B99" s="25">
        <v>2003</v>
      </c>
      <c r="C99" s="25" t="s">
        <v>2462</v>
      </c>
      <c r="D99" s="25">
        <v>92</v>
      </c>
      <c r="E99" s="25">
        <v>7.3</v>
      </c>
      <c r="F99" s="25" t="str" cm="1">
        <f t="array" ref="F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99" s="26">
        <v>7.0000000000000007E-2</v>
      </c>
      <c r="H99" s="27">
        <v>7570</v>
      </c>
    </row>
    <row r="100" spans="1:8" ht="18" x14ac:dyDescent="0.25">
      <c r="A100" s="24" t="s">
        <v>463</v>
      </c>
      <c r="B100" s="25">
        <v>2003</v>
      </c>
      <c r="C100" s="25" t="s">
        <v>2462</v>
      </c>
      <c r="D100" s="25">
        <v>109</v>
      </c>
      <c r="E100" s="25">
        <v>5.4</v>
      </c>
      <c r="F100" s="25" t="str" cm="1">
        <f t="array" ref="F1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0" s="26">
        <v>0.34</v>
      </c>
      <c r="H100" s="27">
        <v>8869</v>
      </c>
    </row>
    <row r="101" spans="1:8" ht="18" x14ac:dyDescent="0.25">
      <c r="A101" s="24" t="s">
        <v>473</v>
      </c>
      <c r="B101" s="25">
        <v>2003</v>
      </c>
      <c r="C101" s="25" t="s">
        <v>2462</v>
      </c>
      <c r="D101" s="25">
        <v>186</v>
      </c>
      <c r="E101" s="25">
        <v>7.9</v>
      </c>
      <c r="F101" s="25" t="str" cm="1">
        <f t="array" ref="F1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1" s="26">
        <v>1.79</v>
      </c>
      <c r="H101" s="27">
        <v>73502</v>
      </c>
    </row>
    <row r="102" spans="1:8" ht="18" x14ac:dyDescent="0.25">
      <c r="A102" s="24" t="s">
        <v>676</v>
      </c>
      <c r="B102" s="25">
        <v>2003</v>
      </c>
      <c r="C102" s="25" t="s">
        <v>2463</v>
      </c>
      <c r="D102" s="25">
        <v>98</v>
      </c>
      <c r="E102" s="25">
        <v>6.4</v>
      </c>
      <c r="F102" s="25" t="str" cm="1">
        <f t="array" ref="F1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2" s="26">
        <v>0.77</v>
      </c>
      <c r="H102" s="27">
        <v>14509</v>
      </c>
    </row>
    <row r="103" spans="1:8" ht="18" x14ac:dyDescent="0.25">
      <c r="A103" s="24" t="s">
        <v>1761</v>
      </c>
      <c r="B103" s="25">
        <v>2003</v>
      </c>
      <c r="C103" s="25" t="s">
        <v>2462</v>
      </c>
      <c r="D103" s="25">
        <v>92</v>
      </c>
      <c r="E103" s="25">
        <v>6.2</v>
      </c>
      <c r="F103" s="25" t="str" cm="1">
        <f t="array" ref="F1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3" s="26">
        <v>36.92</v>
      </c>
      <c r="H103" s="27">
        <v>41751</v>
      </c>
    </row>
    <row r="104" spans="1:8" ht="18" x14ac:dyDescent="0.25">
      <c r="A104" s="24" t="s">
        <v>71</v>
      </c>
      <c r="B104" s="25">
        <v>2004</v>
      </c>
      <c r="C104" s="25" t="s">
        <v>2464</v>
      </c>
      <c r="D104" s="25">
        <v>90</v>
      </c>
      <c r="E104" s="25">
        <v>5.0999999999999996</v>
      </c>
      <c r="F104" s="25" t="str" cm="1">
        <f t="array" ref="F1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4" s="26">
        <v>2.46</v>
      </c>
      <c r="H104" s="27">
        <v>1736</v>
      </c>
    </row>
    <row r="105" spans="1:8" ht="18" x14ac:dyDescent="0.25">
      <c r="A105" s="24" t="s">
        <v>193</v>
      </c>
      <c r="B105" s="25">
        <v>2004</v>
      </c>
      <c r="C105" s="25" t="s">
        <v>2462</v>
      </c>
      <c r="D105" s="25">
        <v>90</v>
      </c>
      <c r="E105" s="25">
        <v>7.1</v>
      </c>
      <c r="F105" s="25" t="str" cm="1">
        <f t="array" ref="F1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5" s="26">
        <v>0.6</v>
      </c>
      <c r="H105" s="27">
        <v>33096</v>
      </c>
    </row>
    <row r="106" spans="1:8" ht="18" x14ac:dyDescent="0.25">
      <c r="A106" s="24" t="s">
        <v>1987</v>
      </c>
      <c r="B106" s="25">
        <v>2004</v>
      </c>
      <c r="C106" s="25" t="s">
        <v>2462</v>
      </c>
      <c r="D106" s="25">
        <v>99</v>
      </c>
      <c r="E106" s="25">
        <v>6.4</v>
      </c>
      <c r="F106" s="25" t="str" cm="1">
        <f t="array" ref="F1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6" s="26">
        <v>3.83</v>
      </c>
      <c r="H106" s="27">
        <v>32979</v>
      </c>
    </row>
    <row r="107" spans="1:8" ht="18" x14ac:dyDescent="0.25">
      <c r="A107" s="24" t="s">
        <v>1988</v>
      </c>
      <c r="B107" s="25">
        <v>2004</v>
      </c>
      <c r="C107" s="25" t="s">
        <v>2462</v>
      </c>
      <c r="D107" s="25">
        <v>100</v>
      </c>
      <c r="E107" s="25">
        <v>7.4</v>
      </c>
      <c r="F107" s="25" t="str" cm="1">
        <f t="array" ref="F1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7" s="26">
        <v>1.04</v>
      </c>
      <c r="H107" s="27">
        <v>39816</v>
      </c>
    </row>
    <row r="108" spans="1:8" ht="18" x14ac:dyDescent="0.25">
      <c r="A108" s="24" t="s">
        <v>1989</v>
      </c>
      <c r="B108" s="25">
        <v>2004</v>
      </c>
      <c r="C108" s="25" t="s">
        <v>2462</v>
      </c>
      <c r="D108" s="25">
        <v>143</v>
      </c>
      <c r="E108" s="25">
        <v>7.6</v>
      </c>
      <c r="F108" s="25" t="str" cm="1">
        <f t="array" ref="F1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8" s="26">
        <v>2.46</v>
      </c>
      <c r="H108" s="27">
        <v>7046</v>
      </c>
    </row>
    <row r="109" spans="1:8" ht="18" x14ac:dyDescent="0.25">
      <c r="A109" s="24" t="s">
        <v>513</v>
      </c>
      <c r="B109" s="25">
        <v>2004</v>
      </c>
      <c r="C109" s="25" t="s">
        <v>2462</v>
      </c>
      <c r="D109" s="25">
        <v>141</v>
      </c>
      <c r="E109" s="25">
        <v>8</v>
      </c>
      <c r="F109" s="25" t="str" cm="1">
        <f t="array" ref="F1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09" s="26">
        <v>0.68</v>
      </c>
      <c r="H109" s="27">
        <v>30306</v>
      </c>
    </row>
    <row r="110" spans="1:8" ht="18" x14ac:dyDescent="0.25">
      <c r="A110" s="24" t="s">
        <v>1375</v>
      </c>
      <c r="B110" s="25">
        <v>2004</v>
      </c>
      <c r="C110" s="25" t="s">
        <v>2462</v>
      </c>
      <c r="D110" s="25">
        <v>120</v>
      </c>
      <c r="E110" s="25">
        <v>6.4</v>
      </c>
      <c r="F110" s="25" t="str" cm="1">
        <f t="array" ref="F1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0" s="26">
        <v>2.46</v>
      </c>
      <c r="H110" s="27">
        <v>1251</v>
      </c>
    </row>
    <row r="111" spans="1:8" ht="18" x14ac:dyDescent="0.25">
      <c r="A111" s="24" t="s">
        <v>1990</v>
      </c>
      <c r="B111" s="25">
        <v>2004</v>
      </c>
      <c r="C111" s="25" t="s">
        <v>2462</v>
      </c>
      <c r="D111" s="25">
        <v>100</v>
      </c>
      <c r="E111" s="25">
        <v>7.3</v>
      </c>
      <c r="F111" s="25" t="str" cm="1">
        <f t="array" ref="F1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1" s="26">
        <v>2.46</v>
      </c>
      <c r="H111" s="27">
        <v>24248</v>
      </c>
    </row>
    <row r="112" spans="1:8" ht="18" x14ac:dyDescent="0.25">
      <c r="A112" s="24" t="s">
        <v>21</v>
      </c>
      <c r="B112" s="25">
        <v>2005</v>
      </c>
      <c r="C112" s="25" t="s">
        <v>2462</v>
      </c>
      <c r="D112" s="25">
        <v>108</v>
      </c>
      <c r="E112" s="25">
        <v>6.9</v>
      </c>
      <c r="F112" s="25" t="str" cm="1">
        <f t="array" ref="F1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2" s="26">
        <v>0.05</v>
      </c>
      <c r="H112" s="27">
        <v>18998</v>
      </c>
    </row>
    <row r="113" spans="1:8" ht="18" x14ac:dyDescent="0.25">
      <c r="A113" s="24" t="s">
        <v>1991</v>
      </c>
      <c r="B113" s="25">
        <v>2005</v>
      </c>
      <c r="C113" s="25" t="s">
        <v>2462</v>
      </c>
      <c r="D113" s="25">
        <v>107</v>
      </c>
      <c r="E113" s="25">
        <v>7.1</v>
      </c>
      <c r="F113" s="25" t="str" cm="1">
        <f t="array" ref="F1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3" s="26">
        <v>11.01</v>
      </c>
      <c r="H113" s="27">
        <v>57321</v>
      </c>
    </row>
    <row r="114" spans="1:8" ht="18" x14ac:dyDescent="0.25">
      <c r="A114" s="24" t="s">
        <v>1992</v>
      </c>
      <c r="B114" s="25">
        <v>2005</v>
      </c>
      <c r="C114" s="25" t="s">
        <v>2464</v>
      </c>
      <c r="D114" s="25">
        <v>108</v>
      </c>
      <c r="E114" s="25">
        <v>6.4</v>
      </c>
      <c r="F114" s="25" t="str" cm="1">
        <f t="array" ref="F1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4" s="26">
        <v>0.56999999999999995</v>
      </c>
      <c r="H114" s="27">
        <v>18833</v>
      </c>
    </row>
    <row r="115" spans="1:8" ht="18" x14ac:dyDescent="0.25">
      <c r="A115" s="24" t="s">
        <v>130</v>
      </c>
      <c r="B115" s="25">
        <v>2005</v>
      </c>
      <c r="C115" s="25" t="s">
        <v>2462</v>
      </c>
      <c r="D115" s="25">
        <v>83</v>
      </c>
      <c r="E115" s="25">
        <v>6.2</v>
      </c>
      <c r="F115" s="25" t="str" cm="1">
        <f t="array" ref="F1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5" s="26">
        <v>0.01</v>
      </c>
      <c r="H115" s="27">
        <v>1528</v>
      </c>
    </row>
    <row r="116" spans="1:8" ht="18" x14ac:dyDescent="0.25">
      <c r="A116" s="24" t="s">
        <v>209</v>
      </c>
      <c r="B116" s="25">
        <v>2005</v>
      </c>
      <c r="C116" s="25" t="s">
        <v>2462</v>
      </c>
      <c r="D116" s="25">
        <v>125</v>
      </c>
      <c r="E116" s="25">
        <v>7</v>
      </c>
      <c r="F116" s="25" t="str" cm="1">
        <f t="array" ref="F1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6" s="26">
        <v>62.66</v>
      </c>
      <c r="H116" s="27">
        <v>202178</v>
      </c>
    </row>
    <row r="117" spans="1:8" ht="18" x14ac:dyDescent="0.25">
      <c r="A117" s="24" t="s">
        <v>352</v>
      </c>
      <c r="B117" s="25">
        <v>2005</v>
      </c>
      <c r="C117" s="25" t="s">
        <v>2462</v>
      </c>
      <c r="D117" s="25">
        <v>132</v>
      </c>
      <c r="E117" s="25">
        <v>6.6</v>
      </c>
      <c r="F117" s="25" t="str" cm="1">
        <f t="array" ref="F1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7" s="26">
        <v>10.17</v>
      </c>
      <c r="H117" s="27">
        <v>23792</v>
      </c>
    </row>
    <row r="118" spans="1:8" ht="18" x14ac:dyDescent="0.25">
      <c r="A118" s="24" t="s">
        <v>1993</v>
      </c>
      <c r="B118" s="25">
        <v>2005</v>
      </c>
      <c r="C118" s="25" t="s">
        <v>2462</v>
      </c>
      <c r="D118" s="25">
        <v>108</v>
      </c>
      <c r="E118" s="25">
        <v>6.7</v>
      </c>
      <c r="F118" s="25" t="str" cm="1">
        <f t="array" ref="F1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8" s="26">
        <v>11.97</v>
      </c>
      <c r="H118" s="27">
        <v>5431</v>
      </c>
    </row>
    <row r="119" spans="1:8" ht="18" x14ac:dyDescent="0.25">
      <c r="A119" s="24" t="s">
        <v>1023</v>
      </c>
      <c r="B119" s="25">
        <v>2005</v>
      </c>
      <c r="C119" s="25" t="s">
        <v>2462</v>
      </c>
      <c r="D119" s="25">
        <v>105</v>
      </c>
      <c r="E119" s="25">
        <v>5.2</v>
      </c>
      <c r="F119" s="25" t="str" cm="1">
        <f t="array" ref="F1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19" s="26">
        <v>28.21</v>
      </c>
      <c r="H119" s="27">
        <v>117525</v>
      </c>
    </row>
    <row r="120" spans="1:8" ht="18" x14ac:dyDescent="0.25">
      <c r="A120" s="24" t="s">
        <v>1231</v>
      </c>
      <c r="B120" s="25">
        <v>2005</v>
      </c>
      <c r="C120" s="25" t="s">
        <v>2462</v>
      </c>
      <c r="D120" s="25">
        <v>100</v>
      </c>
      <c r="E120" s="25">
        <v>6.3</v>
      </c>
      <c r="F120" s="25" t="str" cm="1">
        <f t="array" ref="F1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0" s="26">
        <v>2.46</v>
      </c>
      <c r="H120" s="27">
        <v>14991</v>
      </c>
    </row>
    <row r="121" spans="1:8" ht="18" x14ac:dyDescent="0.25">
      <c r="A121" s="24" t="s">
        <v>1601</v>
      </c>
      <c r="B121" s="25">
        <v>2005</v>
      </c>
      <c r="C121" s="25" t="s">
        <v>2462</v>
      </c>
      <c r="D121" s="25">
        <v>102</v>
      </c>
      <c r="E121" s="25">
        <v>5.7</v>
      </c>
      <c r="F121" s="25" t="str" cm="1">
        <f t="array" ref="F1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1" s="26">
        <v>2.46</v>
      </c>
      <c r="H121" s="27">
        <v>4132</v>
      </c>
    </row>
    <row r="122" spans="1:8" ht="18" x14ac:dyDescent="0.25">
      <c r="A122" s="24" t="s">
        <v>38</v>
      </c>
      <c r="B122" s="25">
        <v>2006</v>
      </c>
      <c r="C122" s="25" t="s">
        <v>2464</v>
      </c>
      <c r="D122" s="25">
        <v>120</v>
      </c>
      <c r="E122" s="25">
        <v>7.1</v>
      </c>
      <c r="F122" s="25" t="str" cm="1">
        <f t="array" ref="F1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2" s="26">
        <v>2.2000000000000002</v>
      </c>
      <c r="H122" s="27">
        <v>129964</v>
      </c>
    </row>
    <row r="123" spans="1:8" ht="18" x14ac:dyDescent="0.25">
      <c r="A123" s="24" t="s">
        <v>1994</v>
      </c>
      <c r="B123" s="25">
        <v>2006</v>
      </c>
      <c r="C123" s="25" t="s">
        <v>2463</v>
      </c>
      <c r="D123" s="25">
        <v>22</v>
      </c>
      <c r="E123" s="25">
        <v>8.1999999999999993</v>
      </c>
      <c r="F123" s="25" t="str" cm="1">
        <f t="array" ref="F1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3" s="26">
        <v>2.46</v>
      </c>
      <c r="H123" s="27">
        <v>71</v>
      </c>
    </row>
    <row r="124" spans="1:8" ht="18" x14ac:dyDescent="0.25">
      <c r="A124" s="24" t="s">
        <v>1995</v>
      </c>
      <c r="B124" s="25">
        <v>2006</v>
      </c>
      <c r="C124" s="25" t="s">
        <v>2462</v>
      </c>
      <c r="D124" s="25">
        <v>91</v>
      </c>
      <c r="E124" s="25">
        <v>5.8</v>
      </c>
      <c r="F124" s="25" t="str" cm="1">
        <f t="array" ref="F1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4" s="26">
        <v>0.05</v>
      </c>
      <c r="H124" s="27">
        <v>8570</v>
      </c>
    </row>
    <row r="125" spans="1:8" ht="18" x14ac:dyDescent="0.25">
      <c r="A125" s="24" t="s">
        <v>106</v>
      </c>
      <c r="B125" s="25">
        <v>2006</v>
      </c>
      <c r="C125" s="25" t="s">
        <v>2462</v>
      </c>
      <c r="D125" s="25">
        <v>92</v>
      </c>
      <c r="E125" s="25">
        <v>6.2</v>
      </c>
      <c r="F125" s="25" t="str" cm="1">
        <f t="array" ref="F1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5" s="26">
        <v>0.02</v>
      </c>
      <c r="H125" s="27">
        <v>550</v>
      </c>
    </row>
    <row r="126" spans="1:8" ht="18" x14ac:dyDescent="0.25">
      <c r="A126" s="24" t="s">
        <v>287</v>
      </c>
      <c r="B126" s="25">
        <v>2006</v>
      </c>
      <c r="C126" s="25" t="s">
        <v>2462</v>
      </c>
      <c r="D126" s="25">
        <v>102</v>
      </c>
      <c r="E126" s="25">
        <v>3.7</v>
      </c>
      <c r="F126" s="25" t="str" cm="1">
        <f t="array" ref="F1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6" s="26">
        <v>0</v>
      </c>
      <c r="H126" s="27">
        <v>537</v>
      </c>
    </row>
    <row r="127" spans="1:8" ht="18" x14ac:dyDescent="0.25">
      <c r="A127" s="24" t="s">
        <v>1996</v>
      </c>
      <c r="B127" s="25">
        <v>2006</v>
      </c>
      <c r="C127" s="25" t="s">
        <v>2462</v>
      </c>
      <c r="D127" s="25">
        <v>97</v>
      </c>
      <c r="E127" s="25">
        <v>5.2</v>
      </c>
      <c r="F127" s="25" t="str" cm="1">
        <f t="array" ref="F1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7" s="26">
        <v>2.46</v>
      </c>
      <c r="H127" s="27">
        <v>723</v>
      </c>
    </row>
    <row r="128" spans="1:8" ht="18" x14ac:dyDescent="0.25">
      <c r="A128" s="24" t="s">
        <v>316</v>
      </c>
      <c r="B128" s="25">
        <v>2006</v>
      </c>
      <c r="C128" s="25" t="s">
        <v>2462</v>
      </c>
      <c r="D128" s="25">
        <v>118</v>
      </c>
      <c r="E128" s="25">
        <v>7.3</v>
      </c>
      <c r="F128" s="25" t="str" cm="1">
        <f t="array" ref="F1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8" s="26">
        <v>3.44</v>
      </c>
      <c r="H128" s="27">
        <v>20031</v>
      </c>
    </row>
    <row r="129" spans="1:8" ht="18" x14ac:dyDescent="0.25">
      <c r="A129" s="24" t="s">
        <v>1997</v>
      </c>
      <c r="B129" s="25">
        <v>2006</v>
      </c>
      <c r="C129" s="25" t="s">
        <v>2462</v>
      </c>
      <c r="D129" s="25">
        <v>85</v>
      </c>
      <c r="E129" s="25">
        <v>6.9</v>
      </c>
      <c r="F129" s="25" t="str" cm="1">
        <f t="array" ref="F1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29" s="26">
        <v>2.46</v>
      </c>
      <c r="H129" s="27">
        <v>8685</v>
      </c>
    </row>
    <row r="130" spans="1:8" ht="18" x14ac:dyDescent="0.25">
      <c r="A130" s="24" t="s">
        <v>388</v>
      </c>
      <c r="B130" s="25">
        <v>2006</v>
      </c>
      <c r="C130" s="25" t="s">
        <v>2462</v>
      </c>
      <c r="D130" s="25">
        <v>90</v>
      </c>
      <c r="E130" s="25">
        <v>5.6</v>
      </c>
      <c r="F130" s="25" t="str" cm="1">
        <f t="array" ref="F1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0" s="26">
        <v>72.78</v>
      </c>
      <c r="H130" s="27">
        <v>33598</v>
      </c>
    </row>
    <row r="131" spans="1:8" ht="18" x14ac:dyDescent="0.25">
      <c r="A131" s="24" t="s">
        <v>432</v>
      </c>
      <c r="B131" s="25">
        <v>2006</v>
      </c>
      <c r="C131" s="25" t="s">
        <v>2462</v>
      </c>
      <c r="D131" s="25">
        <v>95</v>
      </c>
      <c r="E131" s="25">
        <v>6</v>
      </c>
      <c r="F131" s="25" t="str" cm="1">
        <f t="array" ref="F1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1" s="26">
        <v>21</v>
      </c>
      <c r="H131" s="27">
        <v>8385</v>
      </c>
    </row>
    <row r="132" spans="1:8" ht="18" x14ac:dyDescent="0.25">
      <c r="A132" s="24" t="s">
        <v>1998</v>
      </c>
      <c r="B132" s="25">
        <v>2006</v>
      </c>
      <c r="C132" s="25" t="s">
        <v>2462</v>
      </c>
      <c r="D132" s="25">
        <v>95</v>
      </c>
      <c r="E132" s="25">
        <v>7.4</v>
      </c>
      <c r="F132" s="25" t="str" cm="1">
        <f t="array" ref="F1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2" s="26">
        <v>0.32</v>
      </c>
      <c r="H132" s="27">
        <v>11440</v>
      </c>
    </row>
    <row r="133" spans="1:8" ht="18" x14ac:dyDescent="0.25">
      <c r="A133" s="24" t="s">
        <v>1999</v>
      </c>
      <c r="B133" s="25">
        <v>2006</v>
      </c>
      <c r="C133" s="25" t="s">
        <v>2464</v>
      </c>
      <c r="D133" s="25">
        <v>83</v>
      </c>
      <c r="E133" s="25">
        <v>6.7</v>
      </c>
      <c r="F133" s="25" t="str" cm="1">
        <f t="array" ref="F1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3" s="26">
        <v>155.02000000000001</v>
      </c>
      <c r="H133" s="27">
        <v>186231</v>
      </c>
    </row>
    <row r="134" spans="1:8" ht="18" x14ac:dyDescent="0.25">
      <c r="A134" s="24" t="s">
        <v>938</v>
      </c>
      <c r="B134" s="25">
        <v>2006</v>
      </c>
      <c r="C134" s="25" t="s">
        <v>2462</v>
      </c>
      <c r="D134" s="25">
        <v>95</v>
      </c>
      <c r="E134" s="25">
        <v>5.8</v>
      </c>
      <c r="F134" s="25" t="str" cm="1">
        <f t="array" ref="F1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4" s="26">
        <v>0.02</v>
      </c>
      <c r="H134" s="27">
        <v>1377</v>
      </c>
    </row>
    <row r="135" spans="1:8" ht="18" x14ac:dyDescent="0.25">
      <c r="A135" s="24" t="s">
        <v>1022</v>
      </c>
      <c r="B135" s="25">
        <v>2006</v>
      </c>
      <c r="C135" s="25" t="s">
        <v>2462</v>
      </c>
      <c r="D135" s="25">
        <v>122</v>
      </c>
      <c r="E135" s="25">
        <v>7.5</v>
      </c>
      <c r="F135" s="25" t="str" cm="1">
        <f t="array" ref="F1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5" s="26">
        <v>8.66</v>
      </c>
      <c r="H135" s="27">
        <v>21478</v>
      </c>
    </row>
    <row r="136" spans="1:8" ht="18" x14ac:dyDescent="0.25">
      <c r="A136" s="24" t="s">
        <v>1240</v>
      </c>
      <c r="B136" s="25">
        <v>2006</v>
      </c>
      <c r="C136" s="25" t="s">
        <v>2462</v>
      </c>
      <c r="D136" s="25">
        <v>105</v>
      </c>
      <c r="E136" s="25">
        <v>7.3</v>
      </c>
      <c r="F136" s="25" t="str" cm="1">
        <f t="array" ref="F1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6" s="26">
        <v>0.55000000000000004</v>
      </c>
      <c r="H136" s="27">
        <v>14848</v>
      </c>
    </row>
    <row r="137" spans="1:8" ht="18" x14ac:dyDescent="0.25">
      <c r="A137" s="24" t="s">
        <v>2000</v>
      </c>
      <c r="B137" s="25">
        <v>2006</v>
      </c>
      <c r="C137" s="25" t="s">
        <v>2462</v>
      </c>
      <c r="D137" s="25">
        <v>92</v>
      </c>
      <c r="E137" s="25">
        <v>6.7</v>
      </c>
      <c r="F137" s="25" t="str" cm="1">
        <f t="array" ref="F1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7" s="26">
        <v>0.21</v>
      </c>
      <c r="H137" s="27">
        <v>24749</v>
      </c>
    </row>
    <row r="138" spans="1:8" ht="18" x14ac:dyDescent="0.25">
      <c r="A138" s="24" t="s">
        <v>1741</v>
      </c>
      <c r="B138" s="25">
        <v>2006</v>
      </c>
      <c r="C138" s="25" t="s">
        <v>2462</v>
      </c>
      <c r="D138" s="25">
        <v>98</v>
      </c>
      <c r="E138" s="25">
        <v>7.7</v>
      </c>
      <c r="F138" s="25" t="str" cm="1">
        <f t="array" ref="F1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8" s="26">
        <v>2.46</v>
      </c>
      <c r="H138" s="27">
        <v>69606</v>
      </c>
    </row>
    <row r="139" spans="1:8" ht="18" x14ac:dyDescent="0.25">
      <c r="A139" s="24" t="s">
        <v>2001</v>
      </c>
      <c r="B139" s="25">
        <v>2007</v>
      </c>
      <c r="C139" s="25" t="s">
        <v>2462</v>
      </c>
      <c r="D139" s="25">
        <v>112</v>
      </c>
      <c r="E139" s="25">
        <v>6.7</v>
      </c>
      <c r="F139" s="25" t="str" cm="1">
        <f t="array" ref="F1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39" s="26">
        <v>3.17</v>
      </c>
      <c r="H139" s="27">
        <v>21178</v>
      </c>
    </row>
    <row r="140" spans="1:8" ht="18" x14ac:dyDescent="0.25">
      <c r="A140" s="24" t="s">
        <v>99</v>
      </c>
      <c r="B140" s="25">
        <v>2007</v>
      </c>
      <c r="C140" s="25" t="s">
        <v>2463</v>
      </c>
      <c r="D140" s="25">
        <v>94</v>
      </c>
      <c r="E140" s="25">
        <v>7.2</v>
      </c>
      <c r="F140" s="25" t="str" cm="1">
        <f t="array" ref="F1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0" s="26">
        <v>0.15</v>
      </c>
      <c r="H140" s="27">
        <v>5960</v>
      </c>
    </row>
    <row r="141" spans="1:8" ht="18" x14ac:dyDescent="0.25">
      <c r="A141" s="24" t="s">
        <v>229</v>
      </c>
      <c r="B141" s="25">
        <v>2007</v>
      </c>
      <c r="C141" s="25" t="s">
        <v>2463</v>
      </c>
      <c r="D141" s="25">
        <v>115</v>
      </c>
      <c r="E141" s="25">
        <v>8</v>
      </c>
      <c r="F141" s="25" t="str" cm="1">
        <f t="array" ref="F1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1" s="26">
        <v>0.01</v>
      </c>
      <c r="H141" s="27">
        <v>108337</v>
      </c>
    </row>
    <row r="142" spans="1:8" ht="18" x14ac:dyDescent="0.25">
      <c r="A142" s="24" t="s">
        <v>233</v>
      </c>
      <c r="B142" s="25">
        <v>2007</v>
      </c>
      <c r="C142" s="25" t="s">
        <v>2462</v>
      </c>
      <c r="D142" s="25">
        <v>101</v>
      </c>
      <c r="E142" s="25">
        <v>5.7</v>
      </c>
      <c r="F142" s="25" t="str" cm="1">
        <f t="array" ref="F1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2" s="26">
        <v>2.46</v>
      </c>
      <c r="H142" s="27">
        <v>3816</v>
      </c>
    </row>
    <row r="143" spans="1:8" ht="18" x14ac:dyDescent="0.25">
      <c r="A143" s="24" t="s">
        <v>2002</v>
      </c>
      <c r="B143" s="25">
        <v>2007</v>
      </c>
      <c r="C143" s="25" t="s">
        <v>2462</v>
      </c>
      <c r="D143" s="25">
        <v>92</v>
      </c>
      <c r="E143" s="25">
        <v>5.2</v>
      </c>
      <c r="F143" s="25" t="str" cm="1">
        <f t="array" ref="F1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3" s="26">
        <v>217.33</v>
      </c>
      <c r="H143" s="27">
        <v>92449</v>
      </c>
    </row>
    <row r="144" spans="1:8" ht="18" x14ac:dyDescent="0.25">
      <c r="A144" s="24" t="s">
        <v>351</v>
      </c>
      <c r="B144" s="25">
        <v>2007</v>
      </c>
      <c r="C144" s="25" t="s">
        <v>2462</v>
      </c>
      <c r="D144" s="25">
        <v>85</v>
      </c>
      <c r="E144" s="25">
        <v>6.5</v>
      </c>
      <c r="F144" s="25" t="str" cm="1">
        <f t="array" ref="F1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4" s="26">
        <v>7.0000000000000007E-2</v>
      </c>
      <c r="H144" s="27">
        <v>10175</v>
      </c>
    </row>
    <row r="145" spans="1:8" ht="18" x14ac:dyDescent="0.25">
      <c r="A145" s="24" t="s">
        <v>2003</v>
      </c>
      <c r="B145" s="25">
        <v>2007</v>
      </c>
      <c r="C145" s="25" t="s">
        <v>2462</v>
      </c>
      <c r="D145" s="25">
        <v>85</v>
      </c>
      <c r="E145" s="25">
        <v>7.3</v>
      </c>
      <c r="F145" s="25" t="str" cm="1">
        <f t="array" ref="F1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5" s="26">
        <v>2.46</v>
      </c>
      <c r="H145" s="27">
        <v>594</v>
      </c>
    </row>
    <row r="146" spans="1:8" ht="18" x14ac:dyDescent="0.25">
      <c r="A146" s="24" t="s">
        <v>381</v>
      </c>
      <c r="B146" s="25">
        <v>2007</v>
      </c>
      <c r="C146" s="25" t="s">
        <v>2462</v>
      </c>
      <c r="D146" s="25">
        <v>104</v>
      </c>
      <c r="E146" s="25">
        <v>6.9</v>
      </c>
      <c r="F146" s="25" t="str" cm="1">
        <f t="array" ref="F1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6" s="26">
        <v>0.63</v>
      </c>
      <c r="H146" s="27">
        <v>2671</v>
      </c>
    </row>
    <row r="147" spans="1:8" ht="18" x14ac:dyDescent="0.25">
      <c r="A147" s="24" t="s">
        <v>2004</v>
      </c>
      <c r="B147" s="25">
        <v>2007</v>
      </c>
      <c r="C147" s="25" t="s">
        <v>2462</v>
      </c>
      <c r="D147" s="25">
        <v>90</v>
      </c>
      <c r="E147" s="25">
        <v>7.2</v>
      </c>
      <c r="F147" s="25" t="str" cm="1">
        <f t="array" ref="F1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7" s="26">
        <v>0.17</v>
      </c>
      <c r="H147" s="27">
        <v>8342</v>
      </c>
    </row>
    <row r="148" spans="1:8" ht="18" x14ac:dyDescent="0.25">
      <c r="A148" s="24" t="s">
        <v>423</v>
      </c>
      <c r="B148" s="25">
        <v>2007</v>
      </c>
      <c r="C148" s="25" t="s">
        <v>2464</v>
      </c>
      <c r="D148" s="25">
        <v>92</v>
      </c>
      <c r="E148" s="25">
        <v>7.1</v>
      </c>
      <c r="F148" s="25" t="str" cm="1">
        <f t="array" ref="F1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8" s="26">
        <v>0.05</v>
      </c>
      <c r="H148" s="27">
        <v>11089</v>
      </c>
    </row>
    <row r="149" spans="1:8" ht="18" x14ac:dyDescent="0.25">
      <c r="A149" s="24" t="s">
        <v>448</v>
      </c>
      <c r="B149" s="25">
        <v>2007</v>
      </c>
      <c r="C149" s="25" t="s">
        <v>2462</v>
      </c>
      <c r="D149" s="25">
        <v>115</v>
      </c>
      <c r="E149" s="25">
        <v>6.2</v>
      </c>
      <c r="F149" s="25" t="str" cm="1">
        <f t="array" ref="F1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49" s="26">
        <v>0.79</v>
      </c>
      <c r="H149" s="27">
        <v>3717</v>
      </c>
    </row>
    <row r="150" spans="1:8" ht="18" x14ac:dyDescent="0.25">
      <c r="A150" s="24" t="s">
        <v>2005</v>
      </c>
      <c r="B150" s="25">
        <v>2007</v>
      </c>
      <c r="C150" s="25" t="s">
        <v>2462</v>
      </c>
      <c r="D150" s="25">
        <v>106</v>
      </c>
      <c r="E150" s="25">
        <v>7.2</v>
      </c>
      <c r="F150" s="25" t="str" cm="1">
        <f t="array" ref="F1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0" s="26">
        <v>0.31</v>
      </c>
      <c r="H150" s="27">
        <v>16141</v>
      </c>
    </row>
    <row r="151" spans="1:8" ht="18" x14ac:dyDescent="0.25">
      <c r="A151" s="24" t="s">
        <v>506</v>
      </c>
      <c r="B151" s="25">
        <v>2007</v>
      </c>
      <c r="C151" s="25" t="s">
        <v>2463</v>
      </c>
      <c r="D151" s="25">
        <v>98</v>
      </c>
      <c r="E151" s="25">
        <v>5.3</v>
      </c>
      <c r="F151" s="25" t="str" cm="1">
        <f t="array" ref="F1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1" s="26">
        <v>3.53</v>
      </c>
      <c r="H151" s="27">
        <v>18162</v>
      </c>
    </row>
    <row r="152" spans="1:8" ht="18" x14ac:dyDescent="0.25">
      <c r="A152" s="24" t="s">
        <v>1697</v>
      </c>
      <c r="B152" s="25">
        <v>2007</v>
      </c>
      <c r="C152" s="25" t="s">
        <v>2462</v>
      </c>
      <c r="D152" s="25">
        <v>90</v>
      </c>
      <c r="E152" s="25">
        <v>7.8</v>
      </c>
      <c r="F152" s="25" t="str" cm="1">
        <f t="array" ref="F1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2" s="26">
        <v>0.21</v>
      </c>
      <c r="H152" s="27">
        <v>973</v>
      </c>
    </row>
    <row r="153" spans="1:8" ht="18" x14ac:dyDescent="0.25">
      <c r="A153" s="24" t="s">
        <v>1745</v>
      </c>
      <c r="B153" s="25">
        <v>2007</v>
      </c>
      <c r="C153" s="25" t="s">
        <v>2462</v>
      </c>
      <c r="D153" s="25">
        <v>126</v>
      </c>
      <c r="E153" s="25">
        <v>7.1</v>
      </c>
      <c r="F153" s="25" t="str" cm="1">
        <f t="array" ref="F1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3" s="26">
        <v>25.59</v>
      </c>
      <c r="H153" s="27">
        <v>331703</v>
      </c>
    </row>
    <row r="154" spans="1:8" ht="18" x14ac:dyDescent="0.25">
      <c r="A154" s="24" t="s">
        <v>31</v>
      </c>
      <c r="B154" s="25">
        <v>2008</v>
      </c>
      <c r="C154" s="25" t="s">
        <v>2463</v>
      </c>
      <c r="D154" s="25">
        <v>60</v>
      </c>
      <c r="E154" s="25">
        <v>7</v>
      </c>
      <c r="F154" s="25" t="str" cm="1">
        <f t="array" ref="F1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4" s="26">
        <v>2.46</v>
      </c>
      <c r="H154" s="27">
        <v>2642</v>
      </c>
    </row>
    <row r="155" spans="1:8" ht="18" x14ac:dyDescent="0.25">
      <c r="A155" s="24" t="s">
        <v>42</v>
      </c>
      <c r="B155" s="25">
        <v>2008</v>
      </c>
      <c r="C155" s="25" t="s">
        <v>2463</v>
      </c>
      <c r="D155" s="25">
        <v>95</v>
      </c>
      <c r="E155" s="25">
        <v>6.7</v>
      </c>
      <c r="F155" s="25" t="str" cm="1">
        <f t="array" ref="F1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5" s="26">
        <v>2.46</v>
      </c>
      <c r="H155" s="27">
        <v>3728</v>
      </c>
    </row>
    <row r="156" spans="1:8" ht="18" x14ac:dyDescent="0.25">
      <c r="A156" s="24" t="s">
        <v>263</v>
      </c>
      <c r="B156" s="25">
        <v>2008</v>
      </c>
      <c r="C156" s="25" t="s">
        <v>2462</v>
      </c>
      <c r="D156" s="25">
        <v>93</v>
      </c>
      <c r="E156" s="25">
        <v>5.8</v>
      </c>
      <c r="F156" s="25" t="str" cm="1">
        <f t="array" ref="F1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6" s="26">
        <v>0.27</v>
      </c>
      <c r="H156" s="27">
        <v>38738</v>
      </c>
    </row>
    <row r="157" spans="1:8" ht="18" x14ac:dyDescent="0.25">
      <c r="A157" s="24" t="s">
        <v>329</v>
      </c>
      <c r="B157" s="25">
        <v>2008</v>
      </c>
      <c r="C157" s="25" t="s">
        <v>2463</v>
      </c>
      <c r="D157" s="25">
        <v>87</v>
      </c>
      <c r="E157" s="25">
        <v>7</v>
      </c>
      <c r="F157" s="25" t="str" cm="1">
        <f t="array" ref="F1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7" s="26">
        <v>0.12</v>
      </c>
      <c r="H157" s="27">
        <v>1813</v>
      </c>
    </row>
    <row r="158" spans="1:8" ht="18" x14ac:dyDescent="0.25">
      <c r="A158" s="24" t="s">
        <v>430</v>
      </c>
      <c r="B158" s="25">
        <v>2008</v>
      </c>
      <c r="C158" s="25" t="s">
        <v>2464</v>
      </c>
      <c r="D158" s="25">
        <v>93</v>
      </c>
      <c r="E158" s="25">
        <v>6.8</v>
      </c>
      <c r="F158" s="25" t="str" cm="1">
        <f t="array" ref="F1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8" s="26">
        <v>2.46</v>
      </c>
      <c r="H158" s="27">
        <v>200</v>
      </c>
    </row>
    <row r="159" spans="1:8" ht="18" x14ac:dyDescent="0.25">
      <c r="A159" s="24" t="s">
        <v>445</v>
      </c>
      <c r="B159" s="25">
        <v>2008</v>
      </c>
      <c r="C159" s="25" t="s">
        <v>2463</v>
      </c>
      <c r="D159" s="25">
        <v>140</v>
      </c>
      <c r="E159" s="25">
        <v>7.1</v>
      </c>
      <c r="F159" s="25" t="str" cm="1">
        <f t="array" ref="F1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59" s="26">
        <v>2.46</v>
      </c>
      <c r="H159" s="27">
        <v>608</v>
      </c>
    </row>
    <row r="160" spans="1:8" ht="18" x14ac:dyDescent="0.25">
      <c r="A160" s="24" t="s">
        <v>452</v>
      </c>
      <c r="B160" s="25">
        <v>2008</v>
      </c>
      <c r="C160" s="25" t="s">
        <v>2462</v>
      </c>
      <c r="D160" s="25">
        <v>126</v>
      </c>
      <c r="E160" s="25">
        <v>7.4</v>
      </c>
      <c r="F160" s="25" t="str" cm="1">
        <f t="array" ref="F1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0" s="26">
        <v>0.71</v>
      </c>
      <c r="H160" s="27">
        <v>16243</v>
      </c>
    </row>
    <row r="161" spans="1:8" ht="18" x14ac:dyDescent="0.25">
      <c r="A161" s="24" t="s">
        <v>460</v>
      </c>
      <c r="B161" s="25">
        <v>2008</v>
      </c>
      <c r="C161" s="25" t="s">
        <v>2462</v>
      </c>
      <c r="D161" s="25">
        <v>89</v>
      </c>
      <c r="E161" s="25">
        <v>6.6</v>
      </c>
      <c r="F161" s="25" t="str" cm="1">
        <f t="array" ref="F1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1" s="26">
        <v>0.01</v>
      </c>
      <c r="H161" s="27">
        <v>1751</v>
      </c>
    </row>
    <row r="162" spans="1:8" ht="18" x14ac:dyDescent="0.25">
      <c r="A162" s="24" t="s">
        <v>2006</v>
      </c>
      <c r="B162" s="25">
        <v>2008</v>
      </c>
      <c r="C162" s="25" t="s">
        <v>2463</v>
      </c>
      <c r="D162" s="25">
        <v>95</v>
      </c>
      <c r="E162" s="25">
        <v>8.5</v>
      </c>
      <c r="F162" s="25" t="str" cm="1">
        <f t="array" ref="F1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2" s="26">
        <v>0.02</v>
      </c>
      <c r="H162" s="27">
        <v>39598</v>
      </c>
    </row>
    <row r="163" spans="1:8" ht="18" x14ac:dyDescent="0.25">
      <c r="A163" s="24" t="s">
        <v>2007</v>
      </c>
      <c r="B163" s="25">
        <v>2008</v>
      </c>
      <c r="C163" s="25" t="s">
        <v>2462</v>
      </c>
      <c r="D163" s="25">
        <v>120</v>
      </c>
      <c r="E163" s="25">
        <v>7</v>
      </c>
      <c r="F163" s="25" t="str" cm="1">
        <f t="array" ref="F1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3" s="26">
        <v>75.75</v>
      </c>
      <c r="H163" s="27">
        <v>282314</v>
      </c>
    </row>
    <row r="164" spans="1:8" ht="18" x14ac:dyDescent="0.25">
      <c r="A164" s="24" t="s">
        <v>820</v>
      </c>
      <c r="B164" s="25">
        <v>2008</v>
      </c>
      <c r="C164" s="25" t="s">
        <v>2462</v>
      </c>
      <c r="D164" s="25">
        <v>102</v>
      </c>
      <c r="E164" s="25">
        <v>5.7</v>
      </c>
      <c r="F164" s="25" t="str" cm="1">
        <f t="array" ref="F1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4" s="26">
        <v>0.02</v>
      </c>
      <c r="H164" s="27">
        <v>3042</v>
      </c>
    </row>
    <row r="165" spans="1:8" ht="18" x14ac:dyDescent="0.25">
      <c r="A165" s="24" t="s">
        <v>2008</v>
      </c>
      <c r="B165" s="25">
        <v>2008</v>
      </c>
      <c r="C165" s="25" t="s">
        <v>2462</v>
      </c>
      <c r="D165" s="25">
        <v>93</v>
      </c>
      <c r="E165" s="25">
        <v>6.1</v>
      </c>
      <c r="F165" s="25" t="str" cm="1">
        <f t="array" ref="F1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5" s="26">
        <v>50.88</v>
      </c>
      <c r="H165" s="27">
        <v>39503</v>
      </c>
    </row>
    <row r="166" spans="1:8" ht="18" x14ac:dyDescent="0.25">
      <c r="A166" s="24" t="s">
        <v>966</v>
      </c>
      <c r="B166" s="25">
        <v>2008</v>
      </c>
      <c r="C166" s="25" t="s">
        <v>2462</v>
      </c>
      <c r="D166" s="25">
        <v>101</v>
      </c>
      <c r="E166" s="25">
        <v>7.7</v>
      </c>
      <c r="F166" s="25" t="str" cm="1">
        <f t="array" ref="F1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6" s="26">
        <v>0.8</v>
      </c>
      <c r="H166" s="27">
        <v>3531</v>
      </c>
    </row>
    <row r="167" spans="1:8" ht="18" x14ac:dyDescent="0.25">
      <c r="A167" s="24" t="s">
        <v>1320</v>
      </c>
      <c r="B167" s="25">
        <v>2008</v>
      </c>
      <c r="C167" s="25" t="s">
        <v>2464</v>
      </c>
      <c r="D167" s="25">
        <v>93</v>
      </c>
      <c r="E167" s="25">
        <v>6.9</v>
      </c>
      <c r="F167" s="25" t="str" cm="1">
        <f t="array" ref="F1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7" s="26">
        <v>0</v>
      </c>
      <c r="H167" s="27">
        <v>12486</v>
      </c>
    </row>
    <row r="168" spans="1:8" ht="18" x14ac:dyDescent="0.25">
      <c r="A168" s="24" t="s">
        <v>49</v>
      </c>
      <c r="B168" s="25">
        <v>2009</v>
      </c>
      <c r="C168" s="25" t="s">
        <v>2462</v>
      </c>
      <c r="D168" s="25">
        <v>96</v>
      </c>
      <c r="E168" s="25">
        <v>6.9</v>
      </c>
      <c r="F168" s="25" t="str" cm="1">
        <f t="array" ref="F1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8" s="26">
        <v>0.01</v>
      </c>
      <c r="H168" s="27">
        <v>3660</v>
      </c>
    </row>
    <row r="169" spans="1:8" ht="18" x14ac:dyDescent="0.25">
      <c r="A169" s="24" t="s">
        <v>85</v>
      </c>
      <c r="B169" s="25">
        <v>2009</v>
      </c>
      <c r="C169" s="25" t="s">
        <v>2462</v>
      </c>
      <c r="D169" s="25">
        <v>88</v>
      </c>
      <c r="E169" s="25">
        <v>6</v>
      </c>
      <c r="F169" s="25" t="str" cm="1">
        <f t="array" ref="F1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69" s="26">
        <v>0.13</v>
      </c>
      <c r="H169" s="27">
        <v>3083</v>
      </c>
    </row>
    <row r="170" spans="1:8" ht="18" x14ac:dyDescent="0.25">
      <c r="A170" s="24" t="s">
        <v>111</v>
      </c>
      <c r="B170" s="25">
        <v>2009</v>
      </c>
      <c r="C170" s="25" t="s">
        <v>2463</v>
      </c>
      <c r="D170" s="25">
        <v>90</v>
      </c>
      <c r="E170" s="25">
        <v>7</v>
      </c>
      <c r="F170" s="25" t="str" cm="1">
        <f t="array" ref="F1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0" s="26">
        <v>3.82</v>
      </c>
      <c r="H170" s="27">
        <v>7932</v>
      </c>
    </row>
    <row r="171" spans="1:8" ht="18" x14ac:dyDescent="0.25">
      <c r="A171" s="24" t="s">
        <v>116</v>
      </c>
      <c r="B171" s="25">
        <v>2009</v>
      </c>
      <c r="C171" s="25" t="s">
        <v>2462</v>
      </c>
      <c r="D171" s="25">
        <v>98</v>
      </c>
      <c r="E171" s="25">
        <v>7</v>
      </c>
      <c r="F171" s="25" t="str" cm="1">
        <f t="array" ref="F1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1" s="26">
        <v>9.4499999999999993</v>
      </c>
      <c r="H171" s="27">
        <v>54760</v>
      </c>
    </row>
    <row r="172" spans="1:8" ht="18" x14ac:dyDescent="0.25">
      <c r="A172" s="24" t="s">
        <v>2009</v>
      </c>
      <c r="B172" s="25">
        <v>2009</v>
      </c>
      <c r="C172" s="25" t="s">
        <v>2462</v>
      </c>
      <c r="D172" s="25">
        <v>129</v>
      </c>
      <c r="E172" s="25">
        <v>6.4</v>
      </c>
      <c r="F172" s="25" t="str" cm="1">
        <f t="array" ref="F1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2" s="26">
        <v>93.95</v>
      </c>
      <c r="H172" s="27">
        <v>180043</v>
      </c>
    </row>
    <row r="173" spans="1:8" ht="18" x14ac:dyDescent="0.25">
      <c r="A173" s="24" t="s">
        <v>178</v>
      </c>
      <c r="B173" s="25">
        <v>2009</v>
      </c>
      <c r="C173" s="25" t="s">
        <v>2462</v>
      </c>
      <c r="D173" s="25">
        <v>87</v>
      </c>
      <c r="E173" s="25">
        <v>5.9</v>
      </c>
      <c r="F173" s="25" t="str" cm="1">
        <f t="array" ref="F1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3" s="26">
        <v>0.01</v>
      </c>
      <c r="H173" s="27">
        <v>1343</v>
      </c>
    </row>
    <row r="174" spans="1:8" ht="18" x14ac:dyDescent="0.25">
      <c r="A174" s="24" t="s">
        <v>255</v>
      </c>
      <c r="B174" s="25">
        <v>2009</v>
      </c>
      <c r="C174" s="25" t="s">
        <v>2464</v>
      </c>
      <c r="D174" s="25">
        <v>89</v>
      </c>
      <c r="E174" s="25">
        <v>6.1</v>
      </c>
      <c r="F174" s="25" t="str" cm="1">
        <f t="array" ref="F1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4" s="26">
        <v>0.11</v>
      </c>
      <c r="H174" s="27">
        <v>12143</v>
      </c>
    </row>
    <row r="175" spans="1:8" ht="18" x14ac:dyDescent="0.25">
      <c r="A175" s="24" t="s">
        <v>2010</v>
      </c>
      <c r="B175" s="25">
        <v>2009</v>
      </c>
      <c r="C175" s="25" t="s">
        <v>2462</v>
      </c>
      <c r="D175" s="25">
        <v>88</v>
      </c>
      <c r="E175" s="25">
        <v>4.5</v>
      </c>
      <c r="F175" s="25" t="str" cm="1">
        <f t="array" ref="F1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5" s="26">
        <v>219.61</v>
      </c>
      <c r="H175" s="27">
        <v>53055</v>
      </c>
    </row>
    <row r="176" spans="1:8" ht="18" x14ac:dyDescent="0.25">
      <c r="A176" s="24" t="s">
        <v>376</v>
      </c>
      <c r="B176" s="25">
        <v>2009</v>
      </c>
      <c r="C176" s="25" t="s">
        <v>2462</v>
      </c>
      <c r="D176" s="25">
        <v>119</v>
      </c>
      <c r="E176" s="25">
        <v>6.6</v>
      </c>
      <c r="F176" s="25" t="str" cm="1">
        <f t="array" ref="F1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6" s="26">
        <v>2.46</v>
      </c>
      <c r="H176" s="27">
        <v>7019</v>
      </c>
    </row>
    <row r="177" spans="1:8" ht="18" x14ac:dyDescent="0.25">
      <c r="A177" s="24" t="s">
        <v>377</v>
      </c>
      <c r="B177" s="25">
        <v>2009</v>
      </c>
      <c r="C177" s="25" t="s">
        <v>2462</v>
      </c>
      <c r="D177" s="25">
        <v>109</v>
      </c>
      <c r="E177" s="25">
        <v>7</v>
      </c>
      <c r="F177" s="25" t="str" cm="1">
        <f t="array" ref="F1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7" s="26">
        <v>0.02</v>
      </c>
      <c r="H177" s="27">
        <v>2652</v>
      </c>
    </row>
    <row r="178" spans="1:8" ht="18" x14ac:dyDescent="0.25">
      <c r="A178" s="24" t="s">
        <v>2011</v>
      </c>
      <c r="B178" s="25">
        <v>2009</v>
      </c>
      <c r="C178" s="25" t="s">
        <v>2462</v>
      </c>
      <c r="D178" s="25">
        <v>74</v>
      </c>
      <c r="E178" s="25">
        <v>7.3</v>
      </c>
      <c r="F178" s="25" t="str" cm="1">
        <f t="array" ref="F1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8" s="26">
        <v>2.46</v>
      </c>
      <c r="H178" s="27">
        <v>2455</v>
      </c>
    </row>
    <row r="179" spans="1:8" ht="18" x14ac:dyDescent="0.25">
      <c r="A179" s="24" t="s">
        <v>438</v>
      </c>
      <c r="B179" s="25">
        <v>2009</v>
      </c>
      <c r="C179" s="25" t="s">
        <v>2464</v>
      </c>
      <c r="D179" s="25">
        <v>103</v>
      </c>
      <c r="E179" s="25">
        <v>6.1</v>
      </c>
      <c r="F179" s="25" t="str" cm="1">
        <f t="array" ref="F1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79" s="26">
        <v>0.23</v>
      </c>
      <c r="H179" s="27">
        <v>1496</v>
      </c>
    </row>
    <row r="180" spans="1:8" ht="18" x14ac:dyDescent="0.25">
      <c r="A180" s="24" t="s">
        <v>475</v>
      </c>
      <c r="B180" s="25">
        <v>2009</v>
      </c>
      <c r="C180" s="25" t="s">
        <v>2462</v>
      </c>
      <c r="D180" s="25">
        <v>119</v>
      </c>
      <c r="E180" s="25">
        <v>7.9</v>
      </c>
      <c r="F180" s="25" t="str" cm="1">
        <f t="array" ref="F1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0" s="26">
        <v>0.11</v>
      </c>
      <c r="H180" s="27">
        <v>56198</v>
      </c>
    </row>
    <row r="181" spans="1:8" ht="18" x14ac:dyDescent="0.25">
      <c r="A181" s="24" t="s">
        <v>2012</v>
      </c>
      <c r="B181" s="25">
        <v>2009</v>
      </c>
      <c r="C181" s="25" t="s">
        <v>2462</v>
      </c>
      <c r="D181" s="25">
        <v>88</v>
      </c>
      <c r="E181" s="25">
        <v>7.2</v>
      </c>
      <c r="F181" s="25" t="str" cm="1">
        <f t="array" ref="F1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1" s="26">
        <v>0.03</v>
      </c>
      <c r="H181" s="27">
        <v>643</v>
      </c>
    </row>
    <row r="182" spans="1:8" ht="18" x14ac:dyDescent="0.25">
      <c r="A182" s="24" t="s">
        <v>2013</v>
      </c>
      <c r="B182" s="25">
        <v>2009</v>
      </c>
      <c r="C182" s="25" t="s">
        <v>2462</v>
      </c>
      <c r="D182" s="25">
        <v>86</v>
      </c>
      <c r="E182" s="25">
        <v>7.6</v>
      </c>
      <c r="F182" s="25" t="str" cm="1">
        <f t="array" ref="F1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2" s="26">
        <v>0.24</v>
      </c>
      <c r="H182" s="27">
        <v>10165</v>
      </c>
    </row>
    <row r="183" spans="1:8" ht="18" x14ac:dyDescent="0.25">
      <c r="A183" s="24" t="s">
        <v>606</v>
      </c>
      <c r="B183" s="25">
        <v>2009</v>
      </c>
      <c r="C183" s="25" t="s">
        <v>2464</v>
      </c>
      <c r="D183" s="25">
        <v>85</v>
      </c>
      <c r="E183" s="25">
        <v>5.8</v>
      </c>
      <c r="F183" s="25" t="str" cm="1">
        <f t="array" ref="F1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3" s="26">
        <v>2.46</v>
      </c>
      <c r="H183" s="27">
        <v>508</v>
      </c>
    </row>
    <row r="184" spans="1:8" ht="18" x14ac:dyDescent="0.25">
      <c r="A184" s="24" t="s">
        <v>874</v>
      </c>
      <c r="B184" s="25">
        <v>2009</v>
      </c>
      <c r="C184" s="25" t="s">
        <v>2462</v>
      </c>
      <c r="D184" s="25">
        <v>101</v>
      </c>
      <c r="E184" s="25">
        <v>6.9</v>
      </c>
      <c r="F184" s="25" t="str" cm="1">
        <f t="array" ref="F1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4" s="26">
        <v>0.53</v>
      </c>
      <c r="H184" s="27">
        <v>3018</v>
      </c>
    </row>
    <row r="185" spans="1:8" ht="18" x14ac:dyDescent="0.25">
      <c r="A185" s="24" t="s">
        <v>2014</v>
      </c>
      <c r="B185" s="25">
        <v>2009</v>
      </c>
      <c r="C185" s="25" t="s">
        <v>2462</v>
      </c>
      <c r="D185" s="25">
        <v>82</v>
      </c>
      <c r="E185" s="25">
        <v>6.2</v>
      </c>
      <c r="F185" s="25" t="str" cm="1">
        <f t="array" ref="F1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2000s</v>
      </c>
      <c r="G185" s="26">
        <v>0.01</v>
      </c>
      <c r="H185" s="27">
        <v>549</v>
      </c>
    </row>
    <row r="186" spans="1:8" ht="18" x14ac:dyDescent="0.25">
      <c r="A186" s="24" t="s">
        <v>2015</v>
      </c>
      <c r="B186" s="25">
        <v>2010</v>
      </c>
      <c r="C186" s="25" t="s">
        <v>2462</v>
      </c>
      <c r="D186" s="25">
        <v>124</v>
      </c>
      <c r="E186" s="25">
        <v>6.7</v>
      </c>
      <c r="F186" s="25" t="str" cm="1">
        <f t="array" ref="F1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" s="26">
        <v>0.19</v>
      </c>
      <c r="H186" s="27">
        <v>19462</v>
      </c>
    </row>
    <row r="187" spans="1:8" ht="18" x14ac:dyDescent="0.25">
      <c r="A187" s="24" t="s">
        <v>202</v>
      </c>
      <c r="B187" s="25">
        <v>2010</v>
      </c>
      <c r="C187" s="25" t="s">
        <v>2462</v>
      </c>
      <c r="D187" s="25">
        <v>103</v>
      </c>
      <c r="E187" s="25">
        <v>5.6</v>
      </c>
      <c r="F187" s="25" t="str" cm="1">
        <f t="array" ref="F1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" s="26">
        <v>2.46</v>
      </c>
      <c r="H187" s="27">
        <v>1975</v>
      </c>
    </row>
    <row r="188" spans="1:8" ht="18" x14ac:dyDescent="0.25">
      <c r="A188" s="24" t="s">
        <v>230</v>
      </c>
      <c r="B188" s="25">
        <v>2010</v>
      </c>
      <c r="C188" s="25" t="s">
        <v>2463</v>
      </c>
      <c r="D188" s="25">
        <v>115</v>
      </c>
      <c r="E188" s="25">
        <v>8</v>
      </c>
      <c r="F188" s="25" t="str" cm="1">
        <f t="array" ref="F1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" s="26">
        <v>0.1</v>
      </c>
      <c r="H188" s="27">
        <v>85683</v>
      </c>
    </row>
    <row r="189" spans="1:8" ht="18" x14ac:dyDescent="0.25">
      <c r="A189" s="24" t="s">
        <v>2016</v>
      </c>
      <c r="B189" s="25">
        <v>2010</v>
      </c>
      <c r="C189" s="25" t="s">
        <v>2462</v>
      </c>
      <c r="D189" s="25">
        <v>105</v>
      </c>
      <c r="E189" s="25">
        <v>7.1</v>
      </c>
      <c r="F189" s="25" t="str" cm="1">
        <f t="array" ref="F1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" s="26">
        <v>2.46</v>
      </c>
      <c r="H189" s="27">
        <v>5835</v>
      </c>
    </row>
    <row r="190" spans="1:8" ht="18" x14ac:dyDescent="0.25">
      <c r="A190" s="24" t="s">
        <v>338</v>
      </c>
      <c r="B190" s="25">
        <v>2010</v>
      </c>
      <c r="C190" s="25" t="s">
        <v>2462</v>
      </c>
      <c r="D190" s="25">
        <v>91</v>
      </c>
      <c r="E190" s="25">
        <v>6.1</v>
      </c>
      <c r="F190" s="25" t="str" cm="1">
        <f t="array" ref="F1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" s="26">
        <v>2.46</v>
      </c>
      <c r="H190" s="27">
        <v>4065</v>
      </c>
    </row>
    <row r="191" spans="1:8" ht="18" x14ac:dyDescent="0.25">
      <c r="A191" s="24" t="s">
        <v>2017</v>
      </c>
      <c r="B191" s="25">
        <v>2010</v>
      </c>
      <c r="C191" s="25" t="s">
        <v>2462</v>
      </c>
      <c r="D191" s="25">
        <v>91</v>
      </c>
      <c r="E191" s="25">
        <v>6.1</v>
      </c>
      <c r="F191" s="25" t="str" cm="1">
        <f t="array" ref="F1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" s="26">
        <v>0</v>
      </c>
      <c r="H191" s="27">
        <v>21142</v>
      </c>
    </row>
    <row r="192" spans="1:8" ht="18" x14ac:dyDescent="0.25">
      <c r="A192" s="24" t="s">
        <v>340</v>
      </c>
      <c r="B192" s="25">
        <v>2010</v>
      </c>
      <c r="C192" s="25" t="s">
        <v>2462</v>
      </c>
      <c r="D192" s="25">
        <v>98</v>
      </c>
      <c r="E192" s="25">
        <v>6.2</v>
      </c>
      <c r="F192" s="25" t="str" cm="1">
        <f t="array" ref="F1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" s="26">
        <v>0.39</v>
      </c>
      <c r="H192" s="27">
        <v>14756</v>
      </c>
    </row>
    <row r="193" spans="1:8" ht="18" x14ac:dyDescent="0.25">
      <c r="A193" s="24" t="s">
        <v>343</v>
      </c>
      <c r="B193" s="25">
        <v>2010</v>
      </c>
      <c r="C193" s="25" t="s">
        <v>2462</v>
      </c>
      <c r="D193" s="25">
        <v>100</v>
      </c>
      <c r="E193" s="25">
        <v>6.6</v>
      </c>
      <c r="F193" s="25" t="str" cm="1">
        <f t="array" ref="F1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" s="26">
        <v>0.08</v>
      </c>
      <c r="H193" s="27">
        <v>6883</v>
      </c>
    </row>
    <row r="194" spans="1:8" ht="18" x14ac:dyDescent="0.25">
      <c r="A194" s="24" t="s">
        <v>2018</v>
      </c>
      <c r="B194" s="25">
        <v>2010</v>
      </c>
      <c r="C194" s="25" t="s">
        <v>2464</v>
      </c>
      <c r="D194" s="25">
        <v>97</v>
      </c>
      <c r="E194" s="25">
        <v>6.3</v>
      </c>
      <c r="F194" s="25" t="str" cm="1">
        <f t="array" ref="F1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" s="26">
        <v>0.05</v>
      </c>
      <c r="H194" s="27">
        <v>2099</v>
      </c>
    </row>
    <row r="195" spans="1:8" ht="18" x14ac:dyDescent="0.25">
      <c r="A195" s="24" t="s">
        <v>372</v>
      </c>
      <c r="B195" s="25">
        <v>2010</v>
      </c>
      <c r="C195" s="25" t="s">
        <v>2462</v>
      </c>
      <c r="D195" s="25">
        <v>103</v>
      </c>
      <c r="E195" s="25">
        <v>7.4</v>
      </c>
      <c r="F195" s="25" t="str" cm="1">
        <f t="array" ref="F1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" s="26">
        <v>0.33</v>
      </c>
      <c r="H195" s="27">
        <v>4859</v>
      </c>
    </row>
    <row r="196" spans="1:8" ht="18" x14ac:dyDescent="0.25">
      <c r="A196" s="24" t="s">
        <v>382</v>
      </c>
      <c r="B196" s="25">
        <v>2010</v>
      </c>
      <c r="C196" s="25" t="s">
        <v>2462</v>
      </c>
      <c r="D196" s="25">
        <v>87</v>
      </c>
      <c r="E196" s="25">
        <v>7.5</v>
      </c>
      <c r="F196" s="25" t="str" cm="1">
        <f t="array" ref="F1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6" s="26">
        <v>0.26</v>
      </c>
      <c r="H196" s="27">
        <v>28688</v>
      </c>
    </row>
    <row r="197" spans="1:8" ht="18" x14ac:dyDescent="0.25">
      <c r="A197" s="24" t="s">
        <v>467</v>
      </c>
      <c r="B197" s="25">
        <v>2010</v>
      </c>
      <c r="C197" s="25" t="s">
        <v>2462</v>
      </c>
      <c r="D197" s="25">
        <v>100</v>
      </c>
      <c r="E197" s="25">
        <v>6.5</v>
      </c>
      <c r="F197" s="25" t="str" cm="1">
        <f t="array" ref="F1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7" s="26">
        <v>7.0000000000000007E-2</v>
      </c>
      <c r="H197" s="27">
        <v>4665</v>
      </c>
    </row>
    <row r="198" spans="1:8" ht="18" x14ac:dyDescent="0.25">
      <c r="A198" s="24" t="s">
        <v>479</v>
      </c>
      <c r="B198" s="25">
        <v>2010</v>
      </c>
      <c r="C198" s="25" t="s">
        <v>2463</v>
      </c>
      <c r="D198" s="25">
        <v>88</v>
      </c>
      <c r="E198" s="25">
        <v>7.7</v>
      </c>
      <c r="F198" s="25" t="str" cm="1">
        <f t="array" ref="F1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8" s="26">
        <v>0.26</v>
      </c>
      <c r="H198" s="27">
        <v>2449</v>
      </c>
    </row>
    <row r="199" spans="1:8" ht="18" x14ac:dyDescent="0.25">
      <c r="A199" s="24" t="s">
        <v>500</v>
      </c>
      <c r="B199" s="25">
        <v>2010</v>
      </c>
      <c r="C199" s="25" t="s">
        <v>2463</v>
      </c>
      <c r="D199" s="25">
        <v>181</v>
      </c>
      <c r="E199" s="25">
        <v>6.5</v>
      </c>
      <c r="F199" s="25" t="str" cm="1">
        <f t="array" ref="F1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9" s="26">
        <v>2.46</v>
      </c>
      <c r="H199" s="27">
        <v>2047</v>
      </c>
    </row>
    <row r="200" spans="1:8" ht="18" x14ac:dyDescent="0.25">
      <c r="A200" s="24" t="s">
        <v>508</v>
      </c>
      <c r="B200" s="25">
        <v>2010</v>
      </c>
      <c r="C200" s="25" t="s">
        <v>2464</v>
      </c>
      <c r="D200" s="25">
        <v>118</v>
      </c>
      <c r="E200" s="25">
        <v>7</v>
      </c>
      <c r="F200" s="25" t="str" cm="1">
        <f t="array" ref="F2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0" s="26">
        <v>0.1</v>
      </c>
      <c r="H200" s="27">
        <v>7905</v>
      </c>
    </row>
    <row r="201" spans="1:8" ht="18" x14ac:dyDescent="0.25">
      <c r="A201" s="24" t="s">
        <v>711</v>
      </c>
      <c r="B201" s="25">
        <v>2010</v>
      </c>
      <c r="C201" s="25" t="s">
        <v>2464</v>
      </c>
      <c r="D201" s="25">
        <v>111</v>
      </c>
      <c r="E201" s="25">
        <v>5.6</v>
      </c>
      <c r="F201" s="25" t="str" cm="1">
        <f t="array" ref="F2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1" s="26">
        <v>0.01</v>
      </c>
      <c r="H201" s="27">
        <v>1869</v>
      </c>
    </row>
    <row r="202" spans="1:8" ht="18" x14ac:dyDescent="0.25">
      <c r="A202" s="24" t="s">
        <v>2019</v>
      </c>
      <c r="B202" s="25">
        <v>2010</v>
      </c>
      <c r="C202" s="25" t="s">
        <v>2462</v>
      </c>
      <c r="D202" s="25">
        <v>87</v>
      </c>
      <c r="E202" s="25">
        <v>7.9</v>
      </c>
      <c r="F202" s="25" t="str" cm="1">
        <f t="array" ref="F2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2" s="26">
        <v>3.29</v>
      </c>
      <c r="H202" s="27">
        <v>68143</v>
      </c>
    </row>
    <row r="203" spans="1:8" ht="18" x14ac:dyDescent="0.25">
      <c r="A203" s="24" t="s">
        <v>2020</v>
      </c>
      <c r="B203" s="25">
        <v>2010</v>
      </c>
      <c r="C203" s="25" t="s">
        <v>2462</v>
      </c>
      <c r="D203" s="25">
        <v>102</v>
      </c>
      <c r="E203" s="25">
        <v>7.1</v>
      </c>
      <c r="F203" s="25" t="str" cm="1">
        <f t="array" ref="F2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3" s="26">
        <v>0.72</v>
      </c>
      <c r="H203" s="27">
        <v>10623</v>
      </c>
    </row>
    <row r="204" spans="1:8" ht="18" x14ac:dyDescent="0.25">
      <c r="A204" s="24" t="s">
        <v>1183</v>
      </c>
      <c r="B204" s="25">
        <v>2010</v>
      </c>
      <c r="C204" s="25" t="s">
        <v>2463</v>
      </c>
      <c r="D204" s="25">
        <v>93</v>
      </c>
      <c r="E204" s="25">
        <v>7.1</v>
      </c>
      <c r="F204" s="25" t="str" cm="1">
        <f t="array" ref="F2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4" s="26">
        <v>7.0000000000000007E-2</v>
      </c>
      <c r="H204" s="27">
        <v>11491</v>
      </c>
    </row>
    <row r="205" spans="1:8" ht="18" x14ac:dyDescent="0.25">
      <c r="A205" s="24" t="s">
        <v>1484</v>
      </c>
      <c r="B205" s="25">
        <v>2010</v>
      </c>
      <c r="C205" s="25" t="s">
        <v>2462</v>
      </c>
      <c r="D205" s="25">
        <v>111</v>
      </c>
      <c r="E205" s="25">
        <v>5.4</v>
      </c>
      <c r="F205" s="25" t="str" cm="1">
        <f t="array" ref="F2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5" s="26">
        <v>0.01</v>
      </c>
      <c r="H205" s="27">
        <v>2337</v>
      </c>
    </row>
    <row r="206" spans="1:8" ht="18" x14ac:dyDescent="0.25">
      <c r="A206" s="24" t="s">
        <v>35</v>
      </c>
      <c r="B206" s="25">
        <v>2011</v>
      </c>
      <c r="C206" s="25" t="s">
        <v>2462</v>
      </c>
      <c r="D206" s="25">
        <v>87</v>
      </c>
      <c r="E206" s="25">
        <v>6.8</v>
      </c>
      <c r="F206" s="25" t="str" cm="1">
        <f t="array" ref="F2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6" s="26">
        <v>2.46</v>
      </c>
      <c r="H206" s="27">
        <v>432</v>
      </c>
    </row>
    <row r="207" spans="1:8" ht="18" x14ac:dyDescent="0.25">
      <c r="A207" s="24" t="s">
        <v>56</v>
      </c>
      <c r="B207" s="25">
        <v>2011</v>
      </c>
      <c r="C207" s="25" t="s">
        <v>2462</v>
      </c>
      <c r="D207" s="25">
        <v>76</v>
      </c>
      <c r="E207" s="25">
        <v>6.3</v>
      </c>
      <c r="F207" s="25" t="str" cm="1">
        <f t="array" ref="F2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7" s="26">
        <v>0.12</v>
      </c>
      <c r="H207" s="27">
        <v>9628</v>
      </c>
    </row>
    <row r="208" spans="1:8" ht="18" x14ac:dyDescent="0.25">
      <c r="A208" s="24" t="s">
        <v>59</v>
      </c>
      <c r="B208" s="25">
        <v>2011</v>
      </c>
      <c r="C208" s="25" t="s">
        <v>2462</v>
      </c>
      <c r="D208" s="25">
        <v>110</v>
      </c>
      <c r="E208" s="25">
        <v>6.4</v>
      </c>
      <c r="F208" s="25" t="str" cm="1">
        <f t="array" ref="F2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8" s="26">
        <v>2.46</v>
      </c>
      <c r="H208" s="27">
        <v>2066</v>
      </c>
    </row>
    <row r="209" spans="1:8" ht="18" x14ac:dyDescent="0.25">
      <c r="A209" s="24" t="s">
        <v>60</v>
      </c>
      <c r="B209" s="25">
        <v>2011</v>
      </c>
      <c r="C209" s="25" t="s">
        <v>2462</v>
      </c>
      <c r="D209" s="25">
        <v>94</v>
      </c>
      <c r="E209" s="25">
        <v>7</v>
      </c>
      <c r="F209" s="25" t="str" cm="1">
        <f t="array" ref="F2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09" s="26">
        <v>0</v>
      </c>
      <c r="H209" s="27">
        <v>2990</v>
      </c>
    </row>
    <row r="210" spans="1:8" ht="18" x14ac:dyDescent="0.25">
      <c r="A210" s="24" t="s">
        <v>2021</v>
      </c>
      <c r="B210" s="25">
        <v>2011</v>
      </c>
      <c r="C210" s="25" t="s">
        <v>2462</v>
      </c>
      <c r="D210" s="25">
        <v>81</v>
      </c>
      <c r="E210" s="25">
        <v>7.8</v>
      </c>
      <c r="F210" s="25" t="str" cm="1">
        <f t="array" ref="F2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0" s="26">
        <v>2.5499999999999998</v>
      </c>
      <c r="H210" s="27">
        <v>37465</v>
      </c>
    </row>
    <row r="211" spans="1:8" ht="18" x14ac:dyDescent="0.25">
      <c r="A211" s="24" t="s">
        <v>2022</v>
      </c>
      <c r="B211" s="25">
        <v>2011</v>
      </c>
      <c r="C211" s="25" t="s">
        <v>2462</v>
      </c>
      <c r="D211" s="25">
        <v>86</v>
      </c>
      <c r="E211" s="25">
        <v>7.5</v>
      </c>
      <c r="F211" s="25" t="str" cm="1">
        <f t="array" ref="F2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1" s="26">
        <v>1</v>
      </c>
      <c r="H211" s="27">
        <v>1667</v>
      </c>
    </row>
    <row r="212" spans="1:8" ht="18" x14ac:dyDescent="0.25">
      <c r="A212" s="24" t="s">
        <v>102</v>
      </c>
      <c r="B212" s="25">
        <v>2011</v>
      </c>
      <c r="C212" s="25" t="s">
        <v>2462</v>
      </c>
      <c r="D212" s="25">
        <v>102</v>
      </c>
      <c r="E212" s="25">
        <v>8.4</v>
      </c>
      <c r="F212" s="25" t="str" cm="1">
        <f t="array" ref="F2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2" s="26">
        <v>2.67</v>
      </c>
      <c r="H212" s="27">
        <v>37469</v>
      </c>
    </row>
    <row r="213" spans="1:8" ht="18" x14ac:dyDescent="0.25">
      <c r="A213" s="24" t="s">
        <v>110</v>
      </c>
      <c r="B213" s="25">
        <v>2011</v>
      </c>
      <c r="C213" s="25" t="s">
        <v>2464</v>
      </c>
      <c r="D213" s="25">
        <v>84</v>
      </c>
      <c r="E213" s="25">
        <v>5.6</v>
      </c>
      <c r="F213" s="25" t="str" cm="1">
        <f t="array" ref="F2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3" s="26">
        <v>0.11</v>
      </c>
      <c r="H213" s="27">
        <v>1587</v>
      </c>
    </row>
    <row r="214" spans="1:8" ht="18" x14ac:dyDescent="0.25">
      <c r="A214" s="24" t="s">
        <v>126</v>
      </c>
      <c r="B214" s="25">
        <v>2011</v>
      </c>
      <c r="C214" s="25" t="s">
        <v>2462</v>
      </c>
      <c r="D214" s="25">
        <v>113</v>
      </c>
      <c r="E214" s="25">
        <v>7.7</v>
      </c>
      <c r="F214" s="25" t="str" cm="1">
        <f t="array" ref="F2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4" s="26">
        <v>0.56000000000000005</v>
      </c>
      <c r="H214" s="27">
        <v>7279</v>
      </c>
    </row>
    <row r="215" spans="1:8" ht="18" x14ac:dyDescent="0.25">
      <c r="A215" s="24" t="s">
        <v>2023</v>
      </c>
      <c r="B215" s="25">
        <v>2011</v>
      </c>
      <c r="C215" s="25" t="s">
        <v>2462</v>
      </c>
      <c r="D215" s="25">
        <v>90</v>
      </c>
      <c r="E215" s="25">
        <v>6.7</v>
      </c>
      <c r="F215" s="25" t="str" cm="1">
        <f t="array" ref="F2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5" s="26">
        <v>1.57</v>
      </c>
      <c r="H215" s="27">
        <v>28166</v>
      </c>
    </row>
    <row r="216" spans="1:8" ht="18" x14ac:dyDescent="0.25">
      <c r="A216" s="24" t="s">
        <v>136</v>
      </c>
      <c r="B216" s="25">
        <v>2011</v>
      </c>
      <c r="C216" s="25" t="s">
        <v>2462</v>
      </c>
      <c r="D216" s="25">
        <v>117</v>
      </c>
      <c r="E216" s="25">
        <v>6</v>
      </c>
      <c r="F216" s="25" t="str" cm="1">
        <f t="array" ref="F2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6" s="26">
        <v>0.23</v>
      </c>
      <c r="H216" s="27">
        <v>3278</v>
      </c>
    </row>
    <row r="217" spans="1:8" ht="18" x14ac:dyDescent="0.25">
      <c r="A217" s="24" t="s">
        <v>146</v>
      </c>
      <c r="B217" s="25">
        <v>2011</v>
      </c>
      <c r="C217" s="25" t="s">
        <v>2462</v>
      </c>
      <c r="D217" s="25">
        <v>116</v>
      </c>
      <c r="E217" s="25">
        <v>6.8</v>
      </c>
      <c r="F217" s="25" t="str" cm="1">
        <f t="array" ref="F2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7" s="26">
        <v>2.46</v>
      </c>
      <c r="H217" s="27">
        <v>1477</v>
      </c>
    </row>
    <row r="218" spans="1:8" ht="18" x14ac:dyDescent="0.25">
      <c r="A218" s="24" t="s">
        <v>2024</v>
      </c>
      <c r="B218" s="25">
        <v>2011</v>
      </c>
      <c r="C218" s="25" t="s">
        <v>2462</v>
      </c>
      <c r="D218" s="25">
        <v>87</v>
      </c>
      <c r="E218" s="25">
        <v>7.4</v>
      </c>
      <c r="F218" s="25" t="str" cm="1">
        <f t="array" ref="F2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8" s="26">
        <v>1.38</v>
      </c>
      <c r="H218" s="27">
        <v>28418</v>
      </c>
    </row>
    <row r="219" spans="1:8" ht="18" x14ac:dyDescent="0.25">
      <c r="A219" s="24" t="s">
        <v>165</v>
      </c>
      <c r="B219" s="25">
        <v>2011</v>
      </c>
      <c r="C219" s="25" t="s">
        <v>2462</v>
      </c>
      <c r="D219" s="25">
        <v>83</v>
      </c>
      <c r="E219" s="25">
        <v>7.2</v>
      </c>
      <c r="F219" s="25" t="str" cm="1">
        <f t="array" ref="F2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19" s="26">
        <v>2.46</v>
      </c>
      <c r="H219" s="27">
        <v>402</v>
      </c>
    </row>
    <row r="220" spans="1:8" ht="18" x14ac:dyDescent="0.25">
      <c r="A220" s="24" t="s">
        <v>2025</v>
      </c>
      <c r="B220" s="25">
        <v>2011</v>
      </c>
      <c r="C220" s="25" t="s">
        <v>2462</v>
      </c>
      <c r="D220" s="25">
        <v>93</v>
      </c>
      <c r="E220" s="25">
        <v>5.9</v>
      </c>
      <c r="F220" s="25" t="str" cm="1">
        <f t="array" ref="F2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0" s="26">
        <v>0</v>
      </c>
      <c r="H220" s="27">
        <v>1439</v>
      </c>
    </row>
    <row r="221" spans="1:8" ht="18" x14ac:dyDescent="0.25">
      <c r="A221" s="24" t="s">
        <v>217</v>
      </c>
      <c r="B221" s="25">
        <v>2011</v>
      </c>
      <c r="C221" s="25" t="s">
        <v>2462</v>
      </c>
      <c r="D221" s="25">
        <v>88</v>
      </c>
      <c r="E221" s="25">
        <v>6</v>
      </c>
      <c r="F221" s="25" t="str" cm="1">
        <f t="array" ref="F2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1" s="26">
        <v>0.02</v>
      </c>
      <c r="H221" s="27">
        <v>13129</v>
      </c>
    </row>
    <row r="222" spans="1:8" ht="18" x14ac:dyDescent="0.25">
      <c r="A222" s="24" t="s">
        <v>234</v>
      </c>
      <c r="B222" s="25">
        <v>2011</v>
      </c>
      <c r="C222" s="25" t="s">
        <v>2462</v>
      </c>
      <c r="D222" s="25">
        <v>93</v>
      </c>
      <c r="E222" s="25">
        <v>5.0999999999999996</v>
      </c>
      <c r="F222" s="25" t="str" cm="1">
        <f t="array" ref="F2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2" s="26">
        <v>0</v>
      </c>
      <c r="H222" s="27">
        <v>2022</v>
      </c>
    </row>
    <row r="223" spans="1:8" ht="18" x14ac:dyDescent="0.25">
      <c r="A223" s="24" t="s">
        <v>243</v>
      </c>
      <c r="B223" s="25">
        <v>2011</v>
      </c>
      <c r="C223" s="25" t="s">
        <v>2464</v>
      </c>
      <c r="D223" s="25">
        <v>94</v>
      </c>
      <c r="E223" s="25">
        <v>5.4</v>
      </c>
      <c r="F223" s="25" t="str" cm="1">
        <f t="array" ref="F2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3" s="26">
        <v>0.02</v>
      </c>
      <c r="H223" s="27">
        <v>1578</v>
      </c>
    </row>
    <row r="224" spans="1:8" ht="18" x14ac:dyDescent="0.25">
      <c r="A224" s="24" t="s">
        <v>283</v>
      </c>
      <c r="B224" s="25">
        <v>2011</v>
      </c>
      <c r="C224" s="25" t="s">
        <v>2462</v>
      </c>
      <c r="D224" s="25">
        <v>95</v>
      </c>
      <c r="E224" s="25">
        <v>5.7</v>
      </c>
      <c r="F224" s="25" t="str" cm="1">
        <f t="array" ref="F2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4" s="26">
        <v>2.46</v>
      </c>
      <c r="H224" s="27">
        <v>1043</v>
      </c>
    </row>
    <row r="225" spans="1:8" ht="18" x14ac:dyDescent="0.25">
      <c r="A225" s="24" t="s">
        <v>298</v>
      </c>
      <c r="B225" s="25">
        <v>2011</v>
      </c>
      <c r="C225" s="25" t="s">
        <v>2462</v>
      </c>
      <c r="D225" s="25">
        <v>105</v>
      </c>
      <c r="E225" s="25">
        <v>6.5</v>
      </c>
      <c r="F225" s="25" t="str" cm="1">
        <f t="array" ref="F2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5" s="26">
        <v>0.65</v>
      </c>
      <c r="H225" s="27">
        <v>10222</v>
      </c>
    </row>
    <row r="226" spans="1:8" ht="18" x14ac:dyDescent="0.25">
      <c r="A226" s="24" t="s">
        <v>310</v>
      </c>
      <c r="B226" s="25">
        <v>2011</v>
      </c>
      <c r="C226" s="25" t="s">
        <v>2462</v>
      </c>
      <c r="D226" s="25">
        <v>86</v>
      </c>
      <c r="E226" s="25">
        <v>5.2</v>
      </c>
      <c r="F226" s="25" t="str" cm="1">
        <f t="array" ref="F2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6" s="26">
        <v>12.56</v>
      </c>
      <c r="H226" s="27">
        <v>24082</v>
      </c>
    </row>
    <row r="227" spans="1:8" ht="18" x14ac:dyDescent="0.25">
      <c r="A227" s="24" t="s">
        <v>2026</v>
      </c>
      <c r="B227" s="25">
        <v>2011</v>
      </c>
      <c r="C227" s="25" t="s">
        <v>2462</v>
      </c>
      <c r="D227" s="25">
        <v>104</v>
      </c>
      <c r="E227" s="25">
        <v>7.9</v>
      </c>
      <c r="F227" s="25" t="str" cm="1">
        <f t="array" ref="F2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7" s="26">
        <v>2.46</v>
      </c>
      <c r="H227" s="27">
        <v>6601</v>
      </c>
    </row>
    <row r="228" spans="1:8" ht="18" x14ac:dyDescent="0.25">
      <c r="A228" s="24" t="s">
        <v>348</v>
      </c>
      <c r="B228" s="25">
        <v>2011</v>
      </c>
      <c r="C228" s="25" t="s">
        <v>2462</v>
      </c>
      <c r="D228" s="25">
        <v>88</v>
      </c>
      <c r="E228" s="25">
        <v>4.7</v>
      </c>
      <c r="F228" s="25" t="str" cm="1">
        <f t="array" ref="F2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8" s="26">
        <v>2.46</v>
      </c>
      <c r="H228" s="27">
        <v>11516</v>
      </c>
    </row>
    <row r="229" spans="1:8" ht="18" x14ac:dyDescent="0.25">
      <c r="A229" s="24" t="s">
        <v>350</v>
      </c>
      <c r="B229" s="25">
        <v>2011</v>
      </c>
      <c r="C229" s="25" t="s">
        <v>2462</v>
      </c>
      <c r="D229" s="25">
        <v>119</v>
      </c>
      <c r="E229" s="25">
        <v>6.6</v>
      </c>
      <c r="F229" s="25" t="str" cm="1">
        <f t="array" ref="F2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29" s="26">
        <v>0.01</v>
      </c>
      <c r="H229" s="27">
        <v>20205</v>
      </c>
    </row>
    <row r="230" spans="1:8" ht="18" x14ac:dyDescent="0.25">
      <c r="A230" s="24" t="s">
        <v>356</v>
      </c>
      <c r="B230" s="25">
        <v>2011</v>
      </c>
      <c r="C230" s="25" t="s">
        <v>2462</v>
      </c>
      <c r="D230" s="25">
        <v>103</v>
      </c>
      <c r="E230" s="25">
        <v>5.3</v>
      </c>
      <c r="F230" s="25" t="str" cm="1">
        <f t="array" ref="F2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0" s="26">
        <v>2.46</v>
      </c>
      <c r="H230" s="27">
        <v>3711</v>
      </c>
    </row>
    <row r="231" spans="1:8" ht="18" x14ac:dyDescent="0.25">
      <c r="A231" s="24" t="s">
        <v>360</v>
      </c>
      <c r="B231" s="25">
        <v>2011</v>
      </c>
      <c r="C231" s="25" t="s">
        <v>2462</v>
      </c>
      <c r="D231" s="25">
        <v>99</v>
      </c>
      <c r="E231" s="25">
        <v>5.0999999999999996</v>
      </c>
      <c r="F231" s="25" t="str" cm="1">
        <f t="array" ref="F2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1" s="26">
        <v>0</v>
      </c>
      <c r="H231" s="27">
        <v>2115</v>
      </c>
    </row>
    <row r="232" spans="1:8" ht="18" x14ac:dyDescent="0.25">
      <c r="A232" s="24" t="s">
        <v>365</v>
      </c>
      <c r="B232" s="25">
        <v>2011</v>
      </c>
      <c r="C232" s="25" t="s">
        <v>2462</v>
      </c>
      <c r="D232" s="25">
        <v>105</v>
      </c>
      <c r="E232" s="25">
        <v>6.1</v>
      </c>
      <c r="F232" s="25" t="str" cm="1">
        <f t="array" ref="F2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2" s="26">
        <v>2.46</v>
      </c>
      <c r="H232" s="27">
        <v>4548</v>
      </c>
    </row>
    <row r="233" spans="1:8" ht="18" x14ac:dyDescent="0.25">
      <c r="A233" s="24" t="s">
        <v>378</v>
      </c>
      <c r="B233" s="25">
        <v>2011</v>
      </c>
      <c r="C233" s="25" t="s">
        <v>2462</v>
      </c>
      <c r="D233" s="25">
        <v>87</v>
      </c>
      <c r="E233" s="25">
        <v>5.2</v>
      </c>
      <c r="F233" s="25" t="str" cm="1">
        <f t="array" ref="F2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3" s="26">
        <v>0.02</v>
      </c>
      <c r="H233" s="27">
        <v>13179</v>
      </c>
    </row>
    <row r="234" spans="1:8" ht="18" x14ac:dyDescent="0.25">
      <c r="A234" s="24" t="s">
        <v>2027</v>
      </c>
      <c r="B234" s="25">
        <v>2011</v>
      </c>
      <c r="C234" s="25" t="s">
        <v>2463</v>
      </c>
      <c r="D234" s="25">
        <v>86</v>
      </c>
      <c r="E234" s="25">
        <v>5.2</v>
      </c>
      <c r="F234" s="25" t="str" cm="1">
        <f t="array" ref="F2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4" s="26">
        <v>2.46</v>
      </c>
      <c r="H234" s="27">
        <v>2484</v>
      </c>
    </row>
    <row r="235" spans="1:8" ht="18" x14ac:dyDescent="0.25">
      <c r="A235" s="24" t="s">
        <v>36</v>
      </c>
      <c r="B235" s="25">
        <v>2011</v>
      </c>
      <c r="C235" s="25" t="s">
        <v>2462</v>
      </c>
      <c r="D235" s="25">
        <v>137</v>
      </c>
      <c r="E235" s="25">
        <v>7.6</v>
      </c>
      <c r="F235" s="25" t="str" cm="1">
        <f t="array" ref="F2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5" s="26">
        <v>7.0000000000000007E-2</v>
      </c>
      <c r="H235" s="27">
        <v>12394</v>
      </c>
    </row>
    <row r="236" spans="1:8" ht="18" x14ac:dyDescent="0.25">
      <c r="A236" s="24" t="s">
        <v>436</v>
      </c>
      <c r="B236" s="25">
        <v>2011</v>
      </c>
      <c r="C236" s="25" t="s">
        <v>2462</v>
      </c>
      <c r="D236" s="25">
        <v>108</v>
      </c>
      <c r="E236" s="25">
        <v>5.9</v>
      </c>
      <c r="F236" s="25" t="str" cm="1">
        <f t="array" ref="F2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6" s="26">
        <v>23.07</v>
      </c>
      <c r="H236" s="27">
        <v>56863</v>
      </c>
    </row>
    <row r="237" spans="1:8" ht="18" x14ac:dyDescent="0.25">
      <c r="A237" s="24" t="s">
        <v>2028</v>
      </c>
      <c r="B237" s="25">
        <v>2011</v>
      </c>
      <c r="C237" s="25" t="s">
        <v>2462</v>
      </c>
      <c r="D237" s="25">
        <v>97</v>
      </c>
      <c r="E237" s="25">
        <v>3.3</v>
      </c>
      <c r="F237" s="25" t="str" cm="1">
        <f t="array" ref="F2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7" s="26">
        <v>2.33</v>
      </c>
      <c r="H237" s="27">
        <v>12673</v>
      </c>
    </row>
    <row r="238" spans="1:8" ht="18" x14ac:dyDescent="0.25">
      <c r="A238" s="24" t="s">
        <v>2029</v>
      </c>
      <c r="B238" s="25">
        <v>2011</v>
      </c>
      <c r="C238" s="25" t="s">
        <v>2463</v>
      </c>
      <c r="D238" s="25">
        <v>100</v>
      </c>
      <c r="E238" s="25">
        <v>6.1</v>
      </c>
      <c r="F238" s="25" t="str" cm="1">
        <f t="array" ref="F2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8" s="26">
        <v>18</v>
      </c>
      <c r="H238" s="27">
        <v>4020</v>
      </c>
    </row>
    <row r="239" spans="1:8" ht="18" x14ac:dyDescent="0.25">
      <c r="A239" s="24" t="s">
        <v>499</v>
      </c>
      <c r="B239" s="25">
        <v>2011</v>
      </c>
      <c r="C239" s="25" t="s">
        <v>2462</v>
      </c>
      <c r="D239" s="25">
        <v>81</v>
      </c>
      <c r="E239" s="25">
        <v>4.0999999999999996</v>
      </c>
      <c r="F239" s="25" t="str" cm="1">
        <f t="array" ref="F2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39" s="26">
        <v>2.46</v>
      </c>
      <c r="H239" s="27">
        <v>767</v>
      </c>
    </row>
    <row r="240" spans="1:8" ht="18" x14ac:dyDescent="0.25">
      <c r="A240" s="24" t="s">
        <v>2030</v>
      </c>
      <c r="B240" s="25">
        <v>2011</v>
      </c>
      <c r="C240" s="25" t="s">
        <v>2462</v>
      </c>
      <c r="D240" s="25">
        <v>104</v>
      </c>
      <c r="E240" s="25">
        <v>6.1</v>
      </c>
      <c r="F240" s="25" t="str" cm="1">
        <f t="array" ref="F2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0" s="26">
        <v>1.35</v>
      </c>
      <c r="H240" s="27">
        <v>3961</v>
      </c>
    </row>
    <row r="241" spans="1:8" ht="18" x14ac:dyDescent="0.25">
      <c r="A241" s="24" t="s">
        <v>514</v>
      </c>
      <c r="B241" s="25">
        <v>2011</v>
      </c>
      <c r="C241" s="25" t="s">
        <v>2463</v>
      </c>
      <c r="D241" s="25">
        <v>88</v>
      </c>
      <c r="E241" s="25">
        <v>6.7</v>
      </c>
      <c r="F241" s="25" t="str" cm="1">
        <f t="array" ref="F2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1" s="26">
        <v>2.46</v>
      </c>
      <c r="H241" s="27">
        <v>3185</v>
      </c>
    </row>
    <row r="242" spans="1:8" ht="18" x14ac:dyDescent="0.25">
      <c r="A242" s="24" t="s">
        <v>599</v>
      </c>
      <c r="B242" s="25">
        <v>2011</v>
      </c>
      <c r="C242" s="25" t="s">
        <v>2462</v>
      </c>
      <c r="D242" s="25">
        <v>110</v>
      </c>
      <c r="E242" s="25">
        <v>7.2</v>
      </c>
      <c r="F242" s="25" t="str" cm="1">
        <f t="array" ref="F2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2" s="26">
        <v>0.03</v>
      </c>
      <c r="H242" s="27">
        <v>5046</v>
      </c>
    </row>
    <row r="243" spans="1:8" ht="18" x14ac:dyDescent="0.25">
      <c r="A243" s="24" t="s">
        <v>658</v>
      </c>
      <c r="B243" s="25">
        <v>2011</v>
      </c>
      <c r="C243" s="25" t="s">
        <v>2462</v>
      </c>
      <c r="D243" s="25">
        <v>101</v>
      </c>
      <c r="E243" s="25">
        <v>7.6</v>
      </c>
      <c r="F243" s="25" t="str" cm="1">
        <f t="array" ref="F2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3" s="26">
        <v>4.1100000000000003</v>
      </c>
      <c r="H243" s="27">
        <v>213741</v>
      </c>
    </row>
    <row r="244" spans="1:8" ht="18" x14ac:dyDescent="0.25">
      <c r="A244" s="24" t="s">
        <v>2031</v>
      </c>
      <c r="B244" s="25">
        <v>2011</v>
      </c>
      <c r="C244" s="25" t="s">
        <v>2462</v>
      </c>
      <c r="D244" s="25">
        <v>96</v>
      </c>
      <c r="E244" s="25">
        <v>4.5</v>
      </c>
      <c r="F244" s="25" t="str" cm="1">
        <f t="array" ref="F2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4" s="26">
        <v>2.46</v>
      </c>
      <c r="H244" s="27">
        <v>6272</v>
      </c>
    </row>
    <row r="245" spans="1:8" ht="18" x14ac:dyDescent="0.25">
      <c r="A245" s="24" t="s">
        <v>879</v>
      </c>
      <c r="B245" s="25">
        <v>2011</v>
      </c>
      <c r="C245" s="25" t="s">
        <v>2462</v>
      </c>
      <c r="D245" s="25">
        <v>129</v>
      </c>
      <c r="E245" s="25">
        <v>6</v>
      </c>
      <c r="F245" s="25" t="str" cm="1">
        <f t="array" ref="F2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5" s="26">
        <v>0.1</v>
      </c>
      <c r="H245" s="27">
        <v>10857</v>
      </c>
    </row>
    <row r="246" spans="1:8" ht="18" x14ac:dyDescent="0.25">
      <c r="A246" s="24" t="s">
        <v>965</v>
      </c>
      <c r="B246" s="25">
        <v>2011</v>
      </c>
      <c r="C246" s="25" t="s">
        <v>2464</v>
      </c>
      <c r="D246" s="25">
        <v>90</v>
      </c>
      <c r="E246" s="25">
        <v>6.3</v>
      </c>
      <c r="F246" s="25" t="str" cm="1">
        <f t="array" ref="F2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6" s="26">
        <v>2.46</v>
      </c>
      <c r="H246" s="27">
        <v>5564</v>
      </c>
    </row>
    <row r="247" spans="1:8" ht="18" x14ac:dyDescent="0.25">
      <c r="A247" s="24" t="s">
        <v>1277</v>
      </c>
      <c r="B247" s="25">
        <v>2011</v>
      </c>
      <c r="C247" s="25" t="s">
        <v>2462</v>
      </c>
      <c r="D247" s="25">
        <v>100</v>
      </c>
      <c r="E247" s="25">
        <v>7.9</v>
      </c>
      <c r="F247" s="25" t="str" cm="1">
        <f t="array" ref="F2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7" s="26">
        <v>44.67</v>
      </c>
      <c r="H247" s="27">
        <v>246713</v>
      </c>
    </row>
    <row r="248" spans="1:8" ht="18" x14ac:dyDescent="0.25">
      <c r="A248" s="24" t="s">
        <v>1425</v>
      </c>
      <c r="B248" s="25">
        <v>2011</v>
      </c>
      <c r="C248" s="25" t="s">
        <v>2462</v>
      </c>
      <c r="D248" s="25">
        <v>102</v>
      </c>
      <c r="E248" s="25">
        <v>5.8</v>
      </c>
      <c r="F248" s="25" t="str" cm="1">
        <f t="array" ref="F2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8" s="26">
        <v>2.46</v>
      </c>
      <c r="H248" s="27">
        <v>870</v>
      </c>
    </row>
    <row r="249" spans="1:8" ht="18" x14ac:dyDescent="0.25">
      <c r="A249" s="24" t="s">
        <v>1679</v>
      </c>
      <c r="B249" s="25">
        <v>2011</v>
      </c>
      <c r="C249" s="25" t="s">
        <v>2463</v>
      </c>
      <c r="D249" s="25">
        <v>105</v>
      </c>
      <c r="E249" s="25">
        <v>5.2</v>
      </c>
      <c r="F249" s="25" t="str" cm="1">
        <f t="array" ref="F2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49" s="26">
        <v>2.46</v>
      </c>
      <c r="H249" s="27">
        <v>1088</v>
      </c>
    </row>
    <row r="250" spans="1:8" ht="18" x14ac:dyDescent="0.25">
      <c r="A250" s="24" t="s">
        <v>2032</v>
      </c>
      <c r="B250" s="25">
        <v>2011</v>
      </c>
      <c r="C250" s="25" t="s">
        <v>2462</v>
      </c>
      <c r="D250" s="25">
        <v>127</v>
      </c>
      <c r="E250" s="25">
        <v>4.7</v>
      </c>
      <c r="F250" s="25" t="str" cm="1">
        <f t="array" ref="F2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0" s="26">
        <v>0.3</v>
      </c>
      <c r="H250" s="27">
        <v>34547</v>
      </c>
    </row>
    <row r="251" spans="1:8" ht="18" x14ac:dyDescent="0.25">
      <c r="A251" s="24" t="s">
        <v>10</v>
      </c>
      <c r="B251" s="25">
        <v>2012</v>
      </c>
      <c r="C251" s="25" t="s">
        <v>2462</v>
      </c>
      <c r="D251" s="25">
        <v>89</v>
      </c>
      <c r="E251" s="25">
        <v>6.4</v>
      </c>
      <c r="F251" s="25" t="str" cm="1">
        <f t="array" ref="F2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1" s="26">
        <v>2.46</v>
      </c>
      <c r="H251" s="27">
        <v>12438</v>
      </c>
    </row>
    <row r="252" spans="1:8" ht="18" x14ac:dyDescent="0.25">
      <c r="A252" s="24" t="s">
        <v>2033</v>
      </c>
      <c r="B252" s="25">
        <v>2012</v>
      </c>
      <c r="C252" s="25" t="s">
        <v>2462</v>
      </c>
      <c r="D252" s="25">
        <v>93</v>
      </c>
      <c r="E252" s="25">
        <v>3.6</v>
      </c>
      <c r="F252" s="25" t="str" cm="1">
        <f t="array" ref="F2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2" s="26">
        <v>2.46</v>
      </c>
      <c r="H252" s="27">
        <v>1810</v>
      </c>
    </row>
    <row r="253" spans="1:8" ht="18" x14ac:dyDescent="0.25">
      <c r="A253" s="24" t="s">
        <v>13</v>
      </c>
      <c r="B253" s="25">
        <v>2012</v>
      </c>
      <c r="C253" s="25" t="s">
        <v>2462</v>
      </c>
      <c r="D253" s="25">
        <v>109</v>
      </c>
      <c r="E253" s="25">
        <v>6.3</v>
      </c>
      <c r="F253" s="25" t="str" cm="1">
        <f t="array" ref="F2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3" s="26">
        <v>2.46</v>
      </c>
      <c r="H253" s="27">
        <v>3092</v>
      </c>
    </row>
    <row r="254" spans="1:8" ht="18" x14ac:dyDescent="0.25">
      <c r="A254" s="24" t="s">
        <v>16</v>
      </c>
      <c r="B254" s="25">
        <v>2012</v>
      </c>
      <c r="C254" s="25" t="s">
        <v>2462</v>
      </c>
      <c r="D254" s="25">
        <v>120</v>
      </c>
      <c r="E254" s="25">
        <v>5.8</v>
      </c>
      <c r="F254" s="25" t="str" cm="1">
        <f t="array" ref="F2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4" s="26">
        <v>2.46</v>
      </c>
      <c r="H254" s="27">
        <v>3180</v>
      </c>
    </row>
    <row r="255" spans="1:8" ht="18" x14ac:dyDescent="0.25">
      <c r="A255" s="24" t="s">
        <v>18</v>
      </c>
      <c r="B255" s="25">
        <v>2012</v>
      </c>
      <c r="C255" s="25" t="s">
        <v>2463</v>
      </c>
      <c r="D255" s="25">
        <v>114</v>
      </c>
      <c r="E255" s="25">
        <v>7.5</v>
      </c>
      <c r="F255" s="25" t="str" cm="1">
        <f t="array" ref="F2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5" s="26">
        <v>19.02</v>
      </c>
      <c r="H255" s="27">
        <v>236398</v>
      </c>
    </row>
    <row r="256" spans="1:8" ht="18" x14ac:dyDescent="0.25">
      <c r="A256" s="24" t="s">
        <v>20</v>
      </c>
      <c r="B256" s="25">
        <v>2012</v>
      </c>
      <c r="C256" s="25" t="s">
        <v>2464</v>
      </c>
      <c r="D256" s="25">
        <v>95</v>
      </c>
      <c r="E256" s="25">
        <v>7.1</v>
      </c>
      <c r="F256" s="25" t="str" cm="1">
        <f t="array" ref="F2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6" s="26">
        <v>13.41</v>
      </c>
      <c r="H256" s="27">
        <v>288944</v>
      </c>
    </row>
    <row r="257" spans="1:8" ht="18" x14ac:dyDescent="0.25">
      <c r="A257" s="24" t="s">
        <v>22</v>
      </c>
      <c r="B257" s="25">
        <v>2012</v>
      </c>
      <c r="C257" s="25" t="s">
        <v>2463</v>
      </c>
      <c r="D257" s="25">
        <v>109</v>
      </c>
      <c r="E257" s="25">
        <v>6.3</v>
      </c>
      <c r="F257" s="25" t="str" cm="1">
        <f t="array" ref="F2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7" s="26">
        <v>0.1</v>
      </c>
      <c r="H257" s="27">
        <v>73409</v>
      </c>
    </row>
    <row r="258" spans="1:8" ht="18" x14ac:dyDescent="0.25">
      <c r="A258" s="24" t="s">
        <v>23</v>
      </c>
      <c r="B258" s="25">
        <v>2012</v>
      </c>
      <c r="C258" s="25" t="s">
        <v>2462</v>
      </c>
      <c r="D258" s="25">
        <v>45</v>
      </c>
      <c r="E258" s="25">
        <v>5.9</v>
      </c>
      <c r="F258" s="25" t="str" cm="1">
        <f t="array" ref="F2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8" s="26">
        <v>2.46</v>
      </c>
      <c r="H258" s="27">
        <v>2598</v>
      </c>
    </row>
    <row r="259" spans="1:8" ht="18" x14ac:dyDescent="0.25">
      <c r="A259" s="24" t="s">
        <v>2034</v>
      </c>
      <c r="B259" s="25">
        <v>2012</v>
      </c>
      <c r="C259" s="25" t="s">
        <v>2463</v>
      </c>
      <c r="D259" s="25">
        <v>103</v>
      </c>
      <c r="E259" s="25">
        <v>7.9</v>
      </c>
      <c r="F259" s="25" t="str" cm="1">
        <f t="array" ref="F2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59" s="26">
        <v>17.739999999999998</v>
      </c>
      <c r="H259" s="27">
        <v>537506</v>
      </c>
    </row>
    <row r="260" spans="1:8" ht="18" x14ac:dyDescent="0.25">
      <c r="A260" s="24" t="s">
        <v>2035</v>
      </c>
      <c r="B260" s="25">
        <v>2012</v>
      </c>
      <c r="C260" s="25" t="s">
        <v>2463</v>
      </c>
      <c r="D260" s="25">
        <v>93</v>
      </c>
      <c r="E260" s="25">
        <v>7.2</v>
      </c>
      <c r="F260" s="25" t="str" cm="1">
        <f t="array" ref="F2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0" s="26">
        <v>12.8</v>
      </c>
      <c r="H260" s="27">
        <v>84551</v>
      </c>
    </row>
    <row r="261" spans="1:8" ht="18" x14ac:dyDescent="0.25">
      <c r="A261" s="24" t="s">
        <v>26</v>
      </c>
      <c r="B261" s="25">
        <v>2012</v>
      </c>
      <c r="C261" s="25" t="s">
        <v>2464</v>
      </c>
      <c r="D261" s="25">
        <v>82</v>
      </c>
      <c r="E261" s="25">
        <v>6.1</v>
      </c>
      <c r="F261" s="25" t="str" cm="1">
        <f t="array" ref="F2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1" s="26">
        <v>12.84</v>
      </c>
      <c r="H261" s="27">
        <v>53124</v>
      </c>
    </row>
    <row r="262" spans="1:8" ht="18" x14ac:dyDescent="0.25">
      <c r="A262" s="24" t="s">
        <v>27</v>
      </c>
      <c r="B262" s="25">
        <v>2012</v>
      </c>
      <c r="C262" s="25" t="s">
        <v>2462</v>
      </c>
      <c r="D262" s="25">
        <v>98</v>
      </c>
      <c r="E262" s="25">
        <v>6.3</v>
      </c>
      <c r="F262" s="25" t="str" cm="1">
        <f t="array" ref="F2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2" s="26">
        <v>2.46</v>
      </c>
      <c r="H262" s="27">
        <v>15684</v>
      </c>
    </row>
    <row r="263" spans="1:8" ht="18" x14ac:dyDescent="0.25">
      <c r="A263" s="24" t="s">
        <v>29</v>
      </c>
      <c r="B263" s="25">
        <v>2012</v>
      </c>
      <c r="C263" s="25" t="s">
        <v>2462</v>
      </c>
      <c r="D263" s="25">
        <v>121</v>
      </c>
      <c r="E263" s="25">
        <v>7.1</v>
      </c>
      <c r="F263" s="25" t="str" cm="1">
        <f t="array" ref="F2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3" s="26">
        <v>2.46</v>
      </c>
      <c r="H263" s="27">
        <v>11158</v>
      </c>
    </row>
    <row r="264" spans="1:8" ht="18" x14ac:dyDescent="0.25">
      <c r="A264" s="24" t="s">
        <v>33</v>
      </c>
      <c r="B264" s="25">
        <v>2012</v>
      </c>
      <c r="C264" s="25" t="s">
        <v>2462</v>
      </c>
      <c r="D264" s="25">
        <v>118</v>
      </c>
      <c r="E264" s="25">
        <v>7.1</v>
      </c>
      <c r="F264" s="25" t="str" cm="1">
        <f t="array" ref="F2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4" s="26">
        <v>1.52</v>
      </c>
      <c r="H264" s="27">
        <v>51259</v>
      </c>
    </row>
    <row r="265" spans="1:8" ht="18" x14ac:dyDescent="0.25">
      <c r="A265" s="24" t="s">
        <v>36</v>
      </c>
      <c r="B265" s="25">
        <v>2012</v>
      </c>
      <c r="C265" s="25" t="s">
        <v>2463</v>
      </c>
      <c r="D265" s="25">
        <v>148</v>
      </c>
      <c r="E265" s="25">
        <v>6.9</v>
      </c>
      <c r="F265" s="25" t="str" cm="1">
        <f t="array" ref="F2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5" s="26">
        <v>2.46</v>
      </c>
      <c r="H265" s="27">
        <v>3126</v>
      </c>
    </row>
    <row r="266" spans="1:8" ht="18" x14ac:dyDescent="0.25">
      <c r="A266" s="24" t="s">
        <v>39</v>
      </c>
      <c r="B266" s="25">
        <v>2012</v>
      </c>
      <c r="C266" s="25" t="s">
        <v>2462</v>
      </c>
      <c r="D266" s="25">
        <v>95</v>
      </c>
      <c r="E266" s="25">
        <v>5.3</v>
      </c>
      <c r="F266" s="25" t="str" cm="1">
        <f t="array" ref="F2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6" s="26">
        <v>42.35</v>
      </c>
      <c r="H266" s="27">
        <v>148014</v>
      </c>
    </row>
    <row r="267" spans="1:8" ht="18" x14ac:dyDescent="0.25">
      <c r="A267" s="24" t="s">
        <v>40</v>
      </c>
      <c r="B267" s="25">
        <v>2012</v>
      </c>
      <c r="C267" s="25" t="s">
        <v>2462</v>
      </c>
      <c r="D267" s="25">
        <v>112</v>
      </c>
      <c r="E267" s="25">
        <v>7.1</v>
      </c>
      <c r="F267" s="25" t="str" cm="1">
        <f t="array" ref="F2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7" s="26">
        <v>65</v>
      </c>
      <c r="H267" s="27">
        <v>324379</v>
      </c>
    </row>
    <row r="268" spans="1:8" ht="18" x14ac:dyDescent="0.25">
      <c r="A268" s="24" t="s">
        <v>44</v>
      </c>
      <c r="B268" s="25">
        <v>2012</v>
      </c>
      <c r="C268" s="25" t="s">
        <v>2462</v>
      </c>
      <c r="D268" s="25">
        <v>143</v>
      </c>
      <c r="E268" s="25">
        <v>7.8</v>
      </c>
      <c r="F268" s="25" t="str" cm="1">
        <f t="array" ref="F2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8" s="26">
        <v>304.36</v>
      </c>
      <c r="H268" s="27">
        <v>720258</v>
      </c>
    </row>
    <row r="269" spans="1:8" ht="18" x14ac:dyDescent="0.25">
      <c r="A269" s="24" t="s">
        <v>45</v>
      </c>
      <c r="B269" s="25">
        <v>2012</v>
      </c>
      <c r="C269" s="25" t="s">
        <v>2463</v>
      </c>
      <c r="D269" s="25">
        <v>98</v>
      </c>
      <c r="E269" s="25">
        <v>6.8</v>
      </c>
      <c r="F269" s="25" t="str" cm="1">
        <f t="array" ref="F2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69" s="26">
        <v>6.01</v>
      </c>
      <c r="H269" s="27">
        <v>78443</v>
      </c>
    </row>
    <row r="270" spans="1:8" ht="18" x14ac:dyDescent="0.25">
      <c r="A270" s="24" t="s">
        <v>46</v>
      </c>
      <c r="B270" s="25">
        <v>2012</v>
      </c>
      <c r="C270" s="25" t="s">
        <v>2462</v>
      </c>
      <c r="D270" s="25">
        <v>138</v>
      </c>
      <c r="E270" s="25">
        <v>7.3</v>
      </c>
      <c r="F270" s="25" t="str" cm="1">
        <f t="array" ref="F2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0" s="26">
        <v>93.77</v>
      </c>
      <c r="H270" s="27">
        <v>370150</v>
      </c>
    </row>
    <row r="271" spans="1:8" ht="18" x14ac:dyDescent="0.25">
      <c r="A271" s="24" t="s">
        <v>47</v>
      </c>
      <c r="B271" s="25">
        <v>2012</v>
      </c>
      <c r="C271" s="25" t="s">
        <v>2462</v>
      </c>
      <c r="D271" s="25">
        <v>150</v>
      </c>
      <c r="E271" s="25">
        <v>7.3</v>
      </c>
      <c r="F271" s="25" t="str" cm="1">
        <f t="array" ref="F2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1" s="26">
        <v>182.21</v>
      </c>
      <c r="H271" s="27">
        <v>269024</v>
      </c>
    </row>
    <row r="272" spans="1:8" ht="18" x14ac:dyDescent="0.25">
      <c r="A272" s="24" t="s">
        <v>48</v>
      </c>
      <c r="B272" s="25">
        <v>2012</v>
      </c>
      <c r="C272" s="25" t="s">
        <v>2463</v>
      </c>
      <c r="D272" s="25">
        <v>99</v>
      </c>
      <c r="E272" s="25">
        <v>7.5</v>
      </c>
      <c r="F272" s="25" t="str" cm="1">
        <f t="array" ref="F2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2" s="26">
        <v>0.89</v>
      </c>
      <c r="H272" s="27">
        <v>49781</v>
      </c>
    </row>
    <row r="273" spans="1:8" ht="18" x14ac:dyDescent="0.25">
      <c r="A273" s="24" t="s">
        <v>50</v>
      </c>
      <c r="B273" s="25">
        <v>2012</v>
      </c>
      <c r="C273" s="25" t="s">
        <v>2462</v>
      </c>
      <c r="D273" s="25">
        <v>157</v>
      </c>
      <c r="E273" s="25">
        <v>7.4</v>
      </c>
      <c r="F273" s="25" t="str" cm="1">
        <f t="array" ref="F2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3" s="26">
        <v>95.72</v>
      </c>
      <c r="H273" s="27">
        <v>313985</v>
      </c>
    </row>
    <row r="274" spans="1:8" ht="18" x14ac:dyDescent="0.25">
      <c r="A274" s="24" t="s">
        <v>51</v>
      </c>
      <c r="B274" s="25">
        <v>2012</v>
      </c>
      <c r="C274" s="25" t="s">
        <v>2462</v>
      </c>
      <c r="D274" s="25">
        <v>169</v>
      </c>
      <c r="E274" s="25">
        <v>7.8</v>
      </c>
      <c r="F274" s="25" t="str" cm="1">
        <f t="array" ref="F2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4" s="26">
        <v>303</v>
      </c>
      <c r="H274" s="27">
        <v>857092</v>
      </c>
    </row>
    <row r="275" spans="1:8" ht="18" x14ac:dyDescent="0.25">
      <c r="A275" s="24" t="s">
        <v>52</v>
      </c>
      <c r="B275" s="25">
        <v>2012</v>
      </c>
      <c r="C275" s="25" t="s">
        <v>2462</v>
      </c>
      <c r="D275" s="25">
        <v>100</v>
      </c>
      <c r="E275" s="25">
        <v>6.2</v>
      </c>
      <c r="F275" s="25" t="str" cm="1">
        <f t="array" ref="F2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5" s="26">
        <v>7.0000000000000007E-2</v>
      </c>
      <c r="H275" s="27">
        <v>9004</v>
      </c>
    </row>
    <row r="276" spans="1:8" ht="18" x14ac:dyDescent="0.25">
      <c r="A276" s="24" t="s">
        <v>53</v>
      </c>
      <c r="B276" s="25">
        <v>2012</v>
      </c>
      <c r="C276" s="25" t="s">
        <v>2462</v>
      </c>
      <c r="D276" s="25">
        <v>129</v>
      </c>
      <c r="E276" s="25">
        <v>6.6</v>
      </c>
      <c r="F276" s="25" t="str" cm="1">
        <f t="array" ref="F2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6" s="26">
        <v>12.82</v>
      </c>
      <c r="H276" s="27">
        <v>104878</v>
      </c>
    </row>
    <row r="277" spans="1:8" ht="18" x14ac:dyDescent="0.25">
      <c r="A277" s="24" t="s">
        <v>2036</v>
      </c>
      <c r="B277" s="25">
        <v>2012</v>
      </c>
      <c r="C277" s="25" t="s">
        <v>2462</v>
      </c>
      <c r="D277" s="25">
        <v>95</v>
      </c>
      <c r="E277" s="25">
        <v>6.8</v>
      </c>
      <c r="F277" s="25" t="str" cm="1">
        <f t="array" ref="F2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7" s="26">
        <v>216.39</v>
      </c>
      <c r="H277" s="27">
        <v>193471</v>
      </c>
    </row>
    <row r="278" spans="1:8" ht="18" x14ac:dyDescent="0.25">
      <c r="A278" s="24" t="s">
        <v>55</v>
      </c>
      <c r="B278" s="25">
        <v>2012</v>
      </c>
      <c r="C278" s="25" t="s">
        <v>2462</v>
      </c>
      <c r="D278" s="25">
        <v>105</v>
      </c>
      <c r="E278" s="25">
        <v>4.5</v>
      </c>
      <c r="F278" s="25" t="str" cm="1">
        <f t="array" ref="F2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8" s="26">
        <v>0</v>
      </c>
      <c r="H278" s="27">
        <v>3145</v>
      </c>
    </row>
    <row r="279" spans="1:8" ht="18" x14ac:dyDescent="0.25">
      <c r="A279" s="24" t="s">
        <v>57</v>
      </c>
      <c r="B279" s="25">
        <v>2012</v>
      </c>
      <c r="C279" s="25" t="s">
        <v>2462</v>
      </c>
      <c r="D279" s="25">
        <v>122</v>
      </c>
      <c r="E279" s="25">
        <v>7.7</v>
      </c>
      <c r="F279" s="25" t="str" cm="1">
        <f t="array" ref="F2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79" s="26">
        <v>132.09</v>
      </c>
      <c r="H279" s="27">
        <v>731882</v>
      </c>
    </row>
    <row r="280" spans="1:8" ht="18" x14ac:dyDescent="0.25">
      <c r="A280" s="24" t="s">
        <v>2037</v>
      </c>
      <c r="B280" s="25">
        <v>2012</v>
      </c>
      <c r="C280" s="25" t="s">
        <v>2462</v>
      </c>
      <c r="D280" s="25">
        <v>121</v>
      </c>
      <c r="E280" s="25">
        <v>6.4</v>
      </c>
      <c r="F280" s="25" t="str" cm="1">
        <f t="array" ref="F2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0" s="26">
        <v>5.31</v>
      </c>
      <c r="H280" s="27">
        <v>6818</v>
      </c>
    </row>
    <row r="281" spans="1:8" ht="18" x14ac:dyDescent="0.25">
      <c r="A281" s="24" t="s">
        <v>61</v>
      </c>
      <c r="B281" s="25">
        <v>2012</v>
      </c>
      <c r="C281" s="25" t="s">
        <v>2462</v>
      </c>
      <c r="D281" s="25">
        <v>94</v>
      </c>
      <c r="E281" s="25">
        <v>6.3</v>
      </c>
      <c r="F281" s="25" t="str" cm="1">
        <f t="array" ref="F2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1" s="26">
        <v>2.46</v>
      </c>
      <c r="H281" s="27">
        <v>19211</v>
      </c>
    </row>
    <row r="282" spans="1:8" ht="18" x14ac:dyDescent="0.25">
      <c r="A282" s="24" t="s">
        <v>62</v>
      </c>
      <c r="B282" s="25">
        <v>2012</v>
      </c>
      <c r="C282" s="25" t="s">
        <v>2463</v>
      </c>
      <c r="D282" s="25">
        <v>112</v>
      </c>
      <c r="E282" s="25">
        <v>4.5999999999999996</v>
      </c>
      <c r="F282" s="25" t="str" cm="1">
        <f t="array" ref="F2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2" s="26">
        <v>0.35</v>
      </c>
      <c r="H282" s="27">
        <v>9279</v>
      </c>
    </row>
    <row r="283" spans="1:8" ht="18" x14ac:dyDescent="0.25">
      <c r="A283" s="24" t="s">
        <v>63</v>
      </c>
      <c r="B283" s="25">
        <v>2012</v>
      </c>
      <c r="C283" s="25" t="s">
        <v>2462</v>
      </c>
      <c r="D283" s="25">
        <v>72</v>
      </c>
      <c r="E283" s="25">
        <v>4.7</v>
      </c>
      <c r="F283" s="25" t="str" cm="1">
        <f t="array" ref="F2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3" s="26">
        <v>2.46</v>
      </c>
      <c r="H283" s="27">
        <v>320</v>
      </c>
    </row>
    <row r="284" spans="1:8" ht="18" x14ac:dyDescent="0.25">
      <c r="A284" s="24" t="s">
        <v>66</v>
      </c>
      <c r="B284" s="25">
        <v>2012</v>
      </c>
      <c r="C284" s="25" t="s">
        <v>2462</v>
      </c>
      <c r="D284" s="25">
        <v>91</v>
      </c>
      <c r="E284" s="25">
        <v>7</v>
      </c>
      <c r="F284" s="25" t="str" cm="1">
        <f t="array" ref="F2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4" s="26">
        <v>148.31</v>
      </c>
      <c r="H284" s="27">
        <v>274157</v>
      </c>
    </row>
    <row r="285" spans="1:8" ht="18" x14ac:dyDescent="0.25">
      <c r="A285" s="24" t="s">
        <v>68</v>
      </c>
      <c r="B285" s="25">
        <v>2012</v>
      </c>
      <c r="C285" s="25" t="s">
        <v>2463</v>
      </c>
      <c r="D285" s="25">
        <v>105</v>
      </c>
      <c r="E285" s="25">
        <v>7.1</v>
      </c>
      <c r="F285" s="25" t="str" cm="1">
        <f t="array" ref="F2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5" s="26">
        <v>1.56</v>
      </c>
      <c r="H285" s="27">
        <v>15147</v>
      </c>
    </row>
    <row r="286" spans="1:8" ht="18" x14ac:dyDescent="0.25">
      <c r="A286" s="24" t="s">
        <v>70</v>
      </c>
      <c r="B286" s="25">
        <v>2012</v>
      </c>
      <c r="C286" s="25" t="s">
        <v>2462</v>
      </c>
      <c r="D286" s="25">
        <v>107</v>
      </c>
      <c r="E286" s="25">
        <v>5.7</v>
      </c>
      <c r="F286" s="25" t="str" cm="1">
        <f t="array" ref="F2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6" s="26">
        <v>0.69</v>
      </c>
      <c r="H286" s="27">
        <v>39073</v>
      </c>
    </row>
    <row r="287" spans="1:8" ht="18" x14ac:dyDescent="0.25">
      <c r="A287" s="24" t="s">
        <v>2038</v>
      </c>
      <c r="B287" s="25">
        <v>2012</v>
      </c>
      <c r="C287" s="25" t="s">
        <v>2462</v>
      </c>
      <c r="D287" s="25">
        <v>147</v>
      </c>
      <c r="E287" s="25">
        <v>7.9</v>
      </c>
      <c r="F287" s="25" t="str" cm="1">
        <f t="array" ref="F2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7" s="26">
        <v>0.31</v>
      </c>
      <c r="H287" s="27">
        <v>10768</v>
      </c>
    </row>
    <row r="288" spans="1:8" ht="18" x14ac:dyDescent="0.25">
      <c r="A288" s="24" t="s">
        <v>73</v>
      </c>
      <c r="B288" s="25">
        <v>2012</v>
      </c>
      <c r="C288" s="25" t="s">
        <v>2462</v>
      </c>
      <c r="D288" s="25">
        <v>91</v>
      </c>
      <c r="E288" s="25">
        <v>6.5</v>
      </c>
      <c r="F288" s="25" t="str" cm="1">
        <f t="array" ref="F2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8" s="26">
        <v>20.28</v>
      </c>
      <c r="H288" s="27">
        <v>117391</v>
      </c>
    </row>
    <row r="289" spans="1:8" ht="18" x14ac:dyDescent="0.25">
      <c r="A289" s="24" t="s">
        <v>74</v>
      </c>
      <c r="B289" s="25">
        <v>2012</v>
      </c>
      <c r="C289" s="25" t="s">
        <v>2462</v>
      </c>
      <c r="D289" s="25">
        <v>97</v>
      </c>
      <c r="E289" s="25">
        <v>6.2</v>
      </c>
      <c r="F289" s="25" t="str" cm="1">
        <f t="array" ref="F2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89" s="26">
        <v>15.03</v>
      </c>
      <c r="H289" s="27">
        <v>150384</v>
      </c>
    </row>
    <row r="290" spans="1:8" ht="18" x14ac:dyDescent="0.25">
      <c r="A290" s="24" t="s">
        <v>75</v>
      </c>
      <c r="B290" s="25">
        <v>2012</v>
      </c>
      <c r="C290" s="25" t="s">
        <v>2462</v>
      </c>
      <c r="D290" s="25">
        <v>87</v>
      </c>
      <c r="E290" s="25">
        <v>6.9</v>
      </c>
      <c r="F290" s="25" t="str" cm="1">
        <f t="array" ref="F2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0" s="26">
        <v>35.29</v>
      </c>
      <c r="H290" s="27">
        <v>115268</v>
      </c>
    </row>
    <row r="291" spans="1:8" ht="18" x14ac:dyDescent="0.25">
      <c r="A291" s="24" t="s">
        <v>77</v>
      </c>
      <c r="B291" s="25">
        <v>2012</v>
      </c>
      <c r="C291" s="25" t="s">
        <v>2462</v>
      </c>
      <c r="D291" s="25">
        <v>95</v>
      </c>
      <c r="E291" s="25">
        <v>7.2</v>
      </c>
      <c r="F291" s="25" t="str" cm="1">
        <f t="array" ref="F2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1" s="26">
        <v>6</v>
      </c>
      <c r="H291" s="27">
        <v>43703</v>
      </c>
    </row>
    <row r="292" spans="1:8" ht="18" x14ac:dyDescent="0.25">
      <c r="A292" s="24" t="s">
        <v>78</v>
      </c>
      <c r="B292" s="25">
        <v>2012</v>
      </c>
      <c r="C292" s="25" t="s">
        <v>2462</v>
      </c>
      <c r="D292" s="25">
        <v>97</v>
      </c>
      <c r="E292" s="25">
        <v>7</v>
      </c>
      <c r="F292" s="25" t="str" cm="1">
        <f t="array" ref="F2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2" s="26">
        <v>2.46</v>
      </c>
      <c r="H292" s="27">
        <v>7126</v>
      </c>
    </row>
    <row r="293" spans="1:8" ht="18" x14ac:dyDescent="0.25">
      <c r="A293" s="24" t="s">
        <v>2039</v>
      </c>
      <c r="B293" s="25">
        <v>2012</v>
      </c>
      <c r="C293" s="25" t="s">
        <v>2462</v>
      </c>
      <c r="D293" s="25">
        <v>96</v>
      </c>
      <c r="E293" s="25">
        <v>6</v>
      </c>
      <c r="F293" s="25" t="str" cm="1">
        <f t="array" ref="F2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3" s="26">
        <v>0.63</v>
      </c>
      <c r="H293" s="27">
        <v>14924</v>
      </c>
    </row>
    <row r="294" spans="1:8" ht="18" x14ac:dyDescent="0.25">
      <c r="A294" s="24" t="s">
        <v>81</v>
      </c>
      <c r="B294" s="25">
        <v>2012</v>
      </c>
      <c r="C294" s="25" t="s">
        <v>2462</v>
      </c>
      <c r="D294" s="25">
        <v>118</v>
      </c>
      <c r="E294" s="25">
        <v>7.4</v>
      </c>
      <c r="F294" s="25" t="str" cm="1">
        <f t="array" ref="F2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4" s="26">
        <v>2.34</v>
      </c>
      <c r="H294" s="27">
        <v>25941</v>
      </c>
    </row>
    <row r="295" spans="1:8" ht="18" x14ac:dyDescent="0.25">
      <c r="A295" s="24" t="s">
        <v>82</v>
      </c>
      <c r="B295" s="25">
        <v>2012</v>
      </c>
      <c r="C295" s="25" t="s">
        <v>2462</v>
      </c>
      <c r="D295" s="25">
        <v>95</v>
      </c>
      <c r="E295" s="25">
        <v>6.4</v>
      </c>
      <c r="F295" s="25" t="str" cm="1">
        <f t="array" ref="F2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5" s="26">
        <v>3.3</v>
      </c>
      <c r="H295" s="27">
        <v>57266</v>
      </c>
    </row>
    <row r="296" spans="1:8" ht="18" x14ac:dyDescent="0.25">
      <c r="A296" s="24" t="s">
        <v>83</v>
      </c>
      <c r="B296" s="25">
        <v>2012</v>
      </c>
      <c r="C296" s="25" t="s">
        <v>2462</v>
      </c>
      <c r="D296" s="25">
        <v>89</v>
      </c>
      <c r="E296" s="25">
        <v>7</v>
      </c>
      <c r="F296" s="25" t="str" cm="1">
        <f t="array" ref="F2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6" s="26">
        <v>3.33</v>
      </c>
      <c r="H296" s="27">
        <v>65400</v>
      </c>
    </row>
    <row r="297" spans="1:8" ht="18" x14ac:dyDescent="0.25">
      <c r="A297" s="24" t="s">
        <v>84</v>
      </c>
      <c r="B297" s="25">
        <v>2012</v>
      </c>
      <c r="C297" s="25" t="s">
        <v>2464</v>
      </c>
      <c r="D297" s="25">
        <v>95</v>
      </c>
      <c r="E297" s="25">
        <v>6.7</v>
      </c>
      <c r="F297" s="25" t="str" cm="1">
        <f t="array" ref="F2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7" s="26">
        <v>0.01</v>
      </c>
      <c r="H297" s="27">
        <v>10439</v>
      </c>
    </row>
    <row r="298" spans="1:8" ht="18" x14ac:dyDescent="0.25">
      <c r="A298" s="24" t="s">
        <v>2040</v>
      </c>
      <c r="B298" s="25">
        <v>2012</v>
      </c>
      <c r="C298" s="25" t="s">
        <v>2462</v>
      </c>
      <c r="D298" s="25">
        <v>88</v>
      </c>
      <c r="E298" s="25">
        <v>6.7</v>
      </c>
      <c r="F298" s="25" t="str" cm="1">
        <f t="array" ref="F2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8" s="26">
        <v>31.05</v>
      </c>
      <c r="H298" s="27">
        <v>50719</v>
      </c>
    </row>
    <row r="299" spans="1:8" ht="18" x14ac:dyDescent="0.25">
      <c r="A299" s="24" t="s">
        <v>87</v>
      </c>
      <c r="B299" s="25">
        <v>2012</v>
      </c>
      <c r="C299" s="25" t="s">
        <v>2462</v>
      </c>
      <c r="D299" s="25">
        <v>90</v>
      </c>
      <c r="E299" s="25">
        <v>4.8</v>
      </c>
      <c r="F299" s="25" t="str" cm="1">
        <f t="array" ref="F2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299" s="26">
        <v>2.46</v>
      </c>
      <c r="H299" s="27">
        <v>634</v>
      </c>
    </row>
    <row r="300" spans="1:8" ht="18" x14ac:dyDescent="0.25">
      <c r="A300" s="24" t="s">
        <v>2041</v>
      </c>
      <c r="B300" s="25">
        <v>2012</v>
      </c>
      <c r="C300" s="25" t="s">
        <v>2462</v>
      </c>
      <c r="D300" s="25">
        <v>94</v>
      </c>
      <c r="E300" s="25">
        <v>5.9</v>
      </c>
      <c r="F300" s="25" t="str" cm="1">
        <f t="array" ref="F3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0" s="26">
        <v>6.37</v>
      </c>
      <c r="H300" s="27">
        <v>12245</v>
      </c>
    </row>
    <row r="301" spans="1:8" ht="18" x14ac:dyDescent="0.25">
      <c r="A301" s="24" t="s">
        <v>90</v>
      </c>
      <c r="B301" s="25">
        <v>2012</v>
      </c>
      <c r="C301" s="25" t="s">
        <v>2463</v>
      </c>
      <c r="D301" s="25">
        <v>112</v>
      </c>
      <c r="E301" s="25">
        <v>6.1</v>
      </c>
      <c r="F301" s="25" t="str" cm="1">
        <f t="array" ref="F3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1" s="26">
        <v>0.03</v>
      </c>
      <c r="H301" s="27">
        <v>20248</v>
      </c>
    </row>
    <row r="302" spans="1:8" ht="18" x14ac:dyDescent="0.25">
      <c r="A302" s="24" t="s">
        <v>2042</v>
      </c>
      <c r="B302" s="25">
        <v>2012</v>
      </c>
      <c r="C302" s="25" t="s">
        <v>2462</v>
      </c>
      <c r="D302" s="25">
        <v>127</v>
      </c>
      <c r="E302" s="25">
        <v>7.9</v>
      </c>
      <c r="F302" s="25" t="str" cm="1">
        <f t="array" ref="F3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2" s="26">
        <v>124.99</v>
      </c>
      <c r="H302" s="27">
        <v>655630</v>
      </c>
    </row>
    <row r="303" spans="1:8" ht="18" x14ac:dyDescent="0.25">
      <c r="A303" s="24" t="s">
        <v>96</v>
      </c>
      <c r="B303" s="25">
        <v>2012</v>
      </c>
      <c r="C303" s="25" t="s">
        <v>2462</v>
      </c>
      <c r="D303" s="25">
        <v>138</v>
      </c>
      <c r="E303" s="25">
        <v>7.1</v>
      </c>
      <c r="F303" s="25" t="str" cm="1">
        <f t="array" ref="F3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3" s="26">
        <v>16.38</v>
      </c>
      <c r="H303" s="27">
        <v>183093</v>
      </c>
    </row>
    <row r="304" spans="1:8" ht="18" x14ac:dyDescent="0.25">
      <c r="A304" s="24" t="s">
        <v>98</v>
      </c>
      <c r="B304" s="25">
        <v>2012</v>
      </c>
      <c r="C304" s="25" t="s">
        <v>2463</v>
      </c>
      <c r="D304" s="25">
        <v>101</v>
      </c>
      <c r="E304" s="25">
        <v>7</v>
      </c>
      <c r="F304" s="25" t="str" cm="1">
        <f t="array" ref="F3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4" s="26">
        <v>0.3</v>
      </c>
      <c r="H304" s="27">
        <v>26538</v>
      </c>
    </row>
    <row r="305" spans="1:8" ht="18" x14ac:dyDescent="0.25">
      <c r="A305" s="24" t="s">
        <v>2043</v>
      </c>
      <c r="B305" s="25">
        <v>2012</v>
      </c>
      <c r="C305" s="25" t="s">
        <v>2462</v>
      </c>
      <c r="D305" s="25">
        <v>100</v>
      </c>
      <c r="E305" s="25">
        <v>6.1</v>
      </c>
      <c r="F305" s="25" t="str" cm="1">
        <f t="array" ref="F3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5" s="26">
        <v>13.75</v>
      </c>
      <c r="H305" s="27">
        <v>37202</v>
      </c>
    </row>
    <row r="306" spans="1:8" ht="18" x14ac:dyDescent="0.25">
      <c r="A306" s="24" t="s">
        <v>103</v>
      </c>
      <c r="B306" s="25">
        <v>2012</v>
      </c>
      <c r="C306" s="25" t="s">
        <v>2462</v>
      </c>
      <c r="D306" s="25">
        <v>83</v>
      </c>
      <c r="E306" s="25">
        <v>5.3</v>
      </c>
      <c r="F306" s="25" t="str" cm="1">
        <f t="array" ref="F3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6" s="26">
        <v>0.02</v>
      </c>
      <c r="H306" s="27">
        <v>5177</v>
      </c>
    </row>
    <row r="307" spans="1:8" ht="18" x14ac:dyDescent="0.25">
      <c r="A307" s="24" t="s">
        <v>104</v>
      </c>
      <c r="B307" s="25">
        <v>2012</v>
      </c>
      <c r="C307" s="25" t="s">
        <v>2464</v>
      </c>
      <c r="D307" s="25">
        <v>115</v>
      </c>
      <c r="E307" s="25">
        <v>7</v>
      </c>
      <c r="F307" s="25" t="str" cm="1">
        <f t="array" ref="F3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7" s="26">
        <v>2.46</v>
      </c>
      <c r="H307" s="27">
        <v>48285</v>
      </c>
    </row>
    <row r="308" spans="1:8" ht="18" x14ac:dyDescent="0.25">
      <c r="A308" s="24" t="s">
        <v>105</v>
      </c>
      <c r="B308" s="25">
        <v>2012</v>
      </c>
      <c r="C308" s="25" t="s">
        <v>2464</v>
      </c>
      <c r="D308" s="25">
        <v>92</v>
      </c>
      <c r="E308" s="25">
        <v>6.6</v>
      </c>
      <c r="F308" s="25" t="str" cm="1">
        <f t="array" ref="F3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8" s="26">
        <v>3.09</v>
      </c>
      <c r="H308" s="27">
        <v>33357</v>
      </c>
    </row>
    <row r="309" spans="1:8" ht="18" x14ac:dyDescent="0.25">
      <c r="A309" s="24" t="s">
        <v>107</v>
      </c>
      <c r="B309" s="25">
        <v>2012</v>
      </c>
      <c r="C309" s="25" t="s">
        <v>2462</v>
      </c>
      <c r="D309" s="25">
        <v>101</v>
      </c>
      <c r="E309" s="25">
        <v>6.2</v>
      </c>
      <c r="F309" s="25" t="str" cm="1">
        <f t="array" ref="F3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09" s="26">
        <v>0.1</v>
      </c>
      <c r="H309" s="27">
        <v>12939</v>
      </c>
    </row>
    <row r="310" spans="1:8" ht="18" x14ac:dyDescent="0.25">
      <c r="A310" s="24" t="s">
        <v>109</v>
      </c>
      <c r="B310" s="25">
        <v>2012</v>
      </c>
      <c r="C310" s="25" t="s">
        <v>2462</v>
      </c>
      <c r="D310" s="25">
        <v>116</v>
      </c>
      <c r="E310" s="25">
        <v>6.5</v>
      </c>
      <c r="F310" s="25" t="str" cm="1">
        <f t="array" ref="F3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0" s="26">
        <v>1.63</v>
      </c>
      <c r="H310" s="27">
        <v>14678</v>
      </c>
    </row>
    <row r="311" spans="1:8" ht="18" x14ac:dyDescent="0.25">
      <c r="A311" s="24" t="s">
        <v>113</v>
      </c>
      <c r="B311" s="25">
        <v>2012</v>
      </c>
      <c r="C311" s="25" t="s">
        <v>2462</v>
      </c>
      <c r="D311" s="25">
        <v>115</v>
      </c>
      <c r="E311" s="25">
        <v>5.5</v>
      </c>
      <c r="F311" s="25" t="str" cm="1">
        <f t="array" ref="F3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1" s="26">
        <v>292.3</v>
      </c>
      <c r="H311" s="27">
        <v>258802</v>
      </c>
    </row>
    <row r="312" spans="1:8" ht="18" x14ac:dyDescent="0.25">
      <c r="A312" s="24" t="s">
        <v>114</v>
      </c>
      <c r="B312" s="25">
        <v>2012</v>
      </c>
      <c r="C312" s="25" t="s">
        <v>2462</v>
      </c>
      <c r="D312" s="25">
        <v>101</v>
      </c>
      <c r="E312" s="25">
        <v>7.7</v>
      </c>
      <c r="F312" s="25" t="str" cm="1">
        <f t="array" ref="F3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2" s="26">
        <v>189.42</v>
      </c>
      <c r="H312" s="27">
        <v>447938</v>
      </c>
    </row>
    <row r="313" spans="1:8" ht="18" x14ac:dyDescent="0.25">
      <c r="A313" s="24" t="s">
        <v>2044</v>
      </c>
      <c r="B313" s="25">
        <v>2012</v>
      </c>
      <c r="C313" s="25" t="s">
        <v>2462</v>
      </c>
      <c r="D313" s="25">
        <v>101</v>
      </c>
      <c r="E313" s="25">
        <v>5.5</v>
      </c>
      <c r="F313" s="25" t="str" cm="1">
        <f t="array" ref="F3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3" s="26">
        <v>31.61</v>
      </c>
      <c r="H313" s="27">
        <v>80269</v>
      </c>
    </row>
    <row r="314" spans="1:8" ht="18" x14ac:dyDescent="0.25">
      <c r="A314" s="24" t="s">
        <v>117</v>
      </c>
      <c r="B314" s="25">
        <v>2012</v>
      </c>
      <c r="C314" s="25" t="s">
        <v>2462</v>
      </c>
      <c r="D314" s="25">
        <v>102</v>
      </c>
      <c r="E314" s="25">
        <v>5.7</v>
      </c>
      <c r="F314" s="25" t="str" cm="1">
        <f t="array" ref="F3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4" s="26">
        <v>35.35</v>
      </c>
      <c r="H314" s="27">
        <v>131772</v>
      </c>
    </row>
    <row r="315" spans="1:8" ht="18" x14ac:dyDescent="0.25">
      <c r="A315" s="24" t="s">
        <v>2045</v>
      </c>
      <c r="B315" s="25">
        <v>2012</v>
      </c>
      <c r="C315" s="25" t="s">
        <v>2464</v>
      </c>
      <c r="D315" s="25">
        <v>110</v>
      </c>
      <c r="E315" s="25">
        <v>5.7</v>
      </c>
      <c r="F315" s="25" t="str" cm="1">
        <f t="array" ref="F3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5" s="26">
        <v>41.15</v>
      </c>
      <c r="H315" s="27">
        <v>75050</v>
      </c>
    </row>
    <row r="316" spans="1:8" ht="18" x14ac:dyDescent="0.25">
      <c r="A316" s="24" t="s">
        <v>121</v>
      </c>
      <c r="B316" s="25">
        <v>2012</v>
      </c>
      <c r="C316" s="25" t="s">
        <v>2462</v>
      </c>
      <c r="D316" s="25">
        <v>82</v>
      </c>
      <c r="E316" s="25">
        <v>5.7</v>
      </c>
      <c r="F316" s="25" t="str" cm="1">
        <f t="array" ref="F3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6" s="26">
        <v>0.02</v>
      </c>
      <c r="H316" s="27">
        <v>3537</v>
      </c>
    </row>
    <row r="317" spans="1:8" ht="18" x14ac:dyDescent="0.25">
      <c r="A317" s="24" t="s">
        <v>2046</v>
      </c>
      <c r="B317" s="25">
        <v>2012</v>
      </c>
      <c r="C317" s="25" t="s">
        <v>2462</v>
      </c>
      <c r="D317" s="25">
        <v>99</v>
      </c>
      <c r="E317" s="25">
        <v>6.2</v>
      </c>
      <c r="F317" s="25" t="str" cm="1">
        <f t="array" ref="F3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7" s="26">
        <v>2.46</v>
      </c>
      <c r="H317" s="27">
        <v>8672</v>
      </c>
    </row>
    <row r="318" spans="1:8" ht="18" x14ac:dyDescent="0.25">
      <c r="A318" s="24" t="s">
        <v>2047</v>
      </c>
      <c r="B318" s="25">
        <v>2012</v>
      </c>
      <c r="C318" s="25" t="s">
        <v>2462</v>
      </c>
      <c r="D318" s="25">
        <v>99</v>
      </c>
      <c r="E318" s="25">
        <v>6.3</v>
      </c>
      <c r="F318" s="25" t="str" cm="1">
        <f t="array" ref="F3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8" s="26">
        <v>0.14000000000000001</v>
      </c>
      <c r="H318" s="27">
        <v>39863</v>
      </c>
    </row>
    <row r="319" spans="1:8" ht="18" x14ac:dyDescent="0.25">
      <c r="A319" s="24" t="s">
        <v>125</v>
      </c>
      <c r="B319" s="25">
        <v>2012</v>
      </c>
      <c r="C319" s="25" t="s">
        <v>2462</v>
      </c>
      <c r="D319" s="25">
        <v>116</v>
      </c>
      <c r="E319" s="25">
        <v>6.8</v>
      </c>
      <c r="F319" s="25" t="str" cm="1">
        <f t="array" ref="F3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19" s="26">
        <v>0.06</v>
      </c>
      <c r="H319" s="27">
        <v>5679</v>
      </c>
    </row>
    <row r="320" spans="1:8" ht="18" x14ac:dyDescent="0.25">
      <c r="A320" s="24" t="s">
        <v>128</v>
      </c>
      <c r="B320" s="25">
        <v>2012</v>
      </c>
      <c r="C320" s="25" t="s">
        <v>2462</v>
      </c>
      <c r="D320" s="25">
        <v>109</v>
      </c>
      <c r="E320" s="25">
        <v>7.1</v>
      </c>
      <c r="F320" s="25" t="str" cm="1">
        <f t="array" ref="F3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0" s="26">
        <v>0.97</v>
      </c>
      <c r="H320" s="27">
        <v>15764</v>
      </c>
    </row>
    <row r="321" spans="1:8" ht="18" x14ac:dyDescent="0.25">
      <c r="A321" s="24" t="s">
        <v>131</v>
      </c>
      <c r="B321" s="25">
        <v>2012</v>
      </c>
      <c r="C321" s="25" t="s">
        <v>2462</v>
      </c>
      <c r="D321" s="25">
        <v>87</v>
      </c>
      <c r="E321" s="25">
        <v>5.5</v>
      </c>
      <c r="F321" s="25" t="str" cm="1">
        <f t="array" ref="F3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1" s="26">
        <v>0.25</v>
      </c>
      <c r="H321" s="27">
        <v>8927</v>
      </c>
    </row>
    <row r="322" spans="1:8" ht="18" x14ac:dyDescent="0.25">
      <c r="A322" s="24" t="s">
        <v>133</v>
      </c>
      <c r="B322" s="25">
        <v>2012</v>
      </c>
      <c r="C322" s="25" t="s">
        <v>2462</v>
      </c>
      <c r="D322" s="25">
        <v>106</v>
      </c>
      <c r="E322" s="25">
        <v>6.1</v>
      </c>
      <c r="F322" s="25" t="str" cm="1">
        <f t="array" ref="F3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2" s="26">
        <v>2.46</v>
      </c>
      <c r="H322" s="27">
        <v>833</v>
      </c>
    </row>
    <row r="323" spans="1:8" ht="18" x14ac:dyDescent="0.25">
      <c r="A323" s="24" t="s">
        <v>134</v>
      </c>
      <c r="B323" s="25">
        <v>2012</v>
      </c>
      <c r="C323" s="25" t="s">
        <v>2462</v>
      </c>
      <c r="D323" s="25">
        <v>116</v>
      </c>
      <c r="E323" s="25">
        <v>7.1</v>
      </c>
      <c r="F323" s="25" t="str" cm="1">
        <f t="array" ref="F3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3" s="26">
        <v>6</v>
      </c>
      <c r="H323" s="27">
        <v>34134</v>
      </c>
    </row>
    <row r="324" spans="1:8" ht="18" x14ac:dyDescent="0.25">
      <c r="A324" s="24" t="s">
        <v>135</v>
      </c>
      <c r="B324" s="25">
        <v>2012</v>
      </c>
      <c r="C324" s="25" t="s">
        <v>2462</v>
      </c>
      <c r="D324" s="25">
        <v>81</v>
      </c>
      <c r="E324" s="25">
        <v>5.0999999999999996</v>
      </c>
      <c r="F324" s="25" t="str" cm="1">
        <f t="array" ref="F3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4" s="26">
        <v>2.46</v>
      </c>
      <c r="H324" s="27">
        <v>608</v>
      </c>
    </row>
    <row r="325" spans="1:8" ht="18" x14ac:dyDescent="0.25">
      <c r="A325" s="24" t="s">
        <v>2048</v>
      </c>
      <c r="B325" s="25">
        <v>2012</v>
      </c>
      <c r="C325" s="25" t="s">
        <v>2462</v>
      </c>
      <c r="D325" s="25">
        <v>85</v>
      </c>
      <c r="E325" s="25">
        <v>6.3</v>
      </c>
      <c r="F325" s="25" t="str" cm="1">
        <f t="array" ref="F3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5" s="26">
        <v>2.46</v>
      </c>
      <c r="H325" s="27">
        <v>965</v>
      </c>
    </row>
    <row r="326" spans="1:8" ht="18" x14ac:dyDescent="0.25">
      <c r="A326" s="24" t="s">
        <v>138</v>
      </c>
      <c r="B326" s="25">
        <v>2012</v>
      </c>
      <c r="C326" s="25" t="s">
        <v>2462</v>
      </c>
      <c r="D326" s="25">
        <v>101</v>
      </c>
      <c r="E326" s="25">
        <v>5.2</v>
      </c>
      <c r="F326" s="25" t="str" cm="1">
        <f t="array" ref="F3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6" s="26">
        <v>25.89</v>
      </c>
      <c r="H326" s="27">
        <v>35084</v>
      </c>
    </row>
    <row r="327" spans="1:8" ht="18" x14ac:dyDescent="0.25">
      <c r="A327" s="24" t="s">
        <v>2049</v>
      </c>
      <c r="B327" s="25">
        <v>2012</v>
      </c>
      <c r="C327" s="25" t="s">
        <v>2462</v>
      </c>
      <c r="D327" s="25">
        <v>97</v>
      </c>
      <c r="E327" s="25">
        <v>7.2</v>
      </c>
      <c r="F327" s="25" t="str" cm="1">
        <f t="array" ref="F3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7" s="26">
        <v>103.41</v>
      </c>
      <c r="H327" s="27">
        <v>188234</v>
      </c>
    </row>
    <row r="328" spans="1:8" ht="18" x14ac:dyDescent="0.25">
      <c r="A328" s="24" t="s">
        <v>140</v>
      </c>
      <c r="B328" s="25">
        <v>2012</v>
      </c>
      <c r="C328" s="25" t="s">
        <v>2462</v>
      </c>
      <c r="D328" s="25">
        <v>98</v>
      </c>
      <c r="E328" s="25">
        <v>4.8</v>
      </c>
      <c r="F328" s="25" t="str" cm="1">
        <f t="array" ref="F3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8" s="26">
        <v>0</v>
      </c>
      <c r="H328" s="27">
        <v>10840</v>
      </c>
    </row>
    <row r="329" spans="1:8" ht="18" x14ac:dyDescent="0.25">
      <c r="A329" s="24" t="s">
        <v>2050</v>
      </c>
      <c r="B329" s="25">
        <v>2012</v>
      </c>
      <c r="C329" s="25" t="s">
        <v>2462</v>
      </c>
      <c r="D329" s="25">
        <v>86</v>
      </c>
      <c r="E329" s="25">
        <v>8.1999999999999993</v>
      </c>
      <c r="F329" s="25" t="str" cm="1">
        <f t="array" ref="F3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29" s="26">
        <v>3.97</v>
      </c>
      <c r="H329" s="27">
        <v>71810</v>
      </c>
    </row>
    <row r="330" spans="1:8" ht="18" x14ac:dyDescent="0.25">
      <c r="A330" s="24" t="s">
        <v>142</v>
      </c>
      <c r="B330" s="25">
        <v>2012</v>
      </c>
      <c r="C330" s="25" t="s">
        <v>2464</v>
      </c>
      <c r="D330" s="25">
        <v>127</v>
      </c>
      <c r="E330" s="25">
        <v>7.9</v>
      </c>
      <c r="F330" s="25" t="str" cm="1">
        <f t="array" ref="F3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0" s="26">
        <v>6.74</v>
      </c>
      <c r="H330" s="27">
        <v>104312</v>
      </c>
    </row>
    <row r="331" spans="1:8" ht="18" x14ac:dyDescent="0.25">
      <c r="A331" s="24" t="s">
        <v>144</v>
      </c>
      <c r="B331" s="25">
        <v>2012</v>
      </c>
      <c r="C331" s="25" t="s">
        <v>2462</v>
      </c>
      <c r="D331" s="25">
        <v>93</v>
      </c>
      <c r="E331" s="25">
        <v>7.1</v>
      </c>
      <c r="F331" s="25" t="str" cm="1">
        <f t="array" ref="F3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1" s="26">
        <v>237.28</v>
      </c>
      <c r="H331" s="27">
        <v>432691</v>
      </c>
    </row>
    <row r="332" spans="1:8" ht="18" x14ac:dyDescent="0.25">
      <c r="A332" s="24" t="s">
        <v>2051</v>
      </c>
      <c r="B332" s="25">
        <v>2012</v>
      </c>
      <c r="C332" s="25" t="s">
        <v>2462</v>
      </c>
      <c r="D332" s="25">
        <v>86</v>
      </c>
      <c r="E332" s="25">
        <v>4.5999999999999996</v>
      </c>
      <c r="F332" s="25" t="str" cm="1">
        <f t="array" ref="F3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2" s="26">
        <v>2.46</v>
      </c>
      <c r="H332" s="27">
        <v>5625</v>
      </c>
    </row>
    <row r="333" spans="1:8" ht="18" x14ac:dyDescent="0.25">
      <c r="A333" s="24" t="s">
        <v>2052</v>
      </c>
      <c r="B333" s="25">
        <v>2012</v>
      </c>
      <c r="C333" s="25" t="s">
        <v>2463</v>
      </c>
      <c r="D333" s="25">
        <v>105</v>
      </c>
      <c r="E333" s="25">
        <v>6.4</v>
      </c>
      <c r="F333" s="25" t="str" cm="1">
        <f t="array" ref="F3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3" s="26">
        <v>45.29</v>
      </c>
      <c r="H333" s="27">
        <v>94559</v>
      </c>
    </row>
    <row r="334" spans="1:8" ht="18" x14ac:dyDescent="0.25">
      <c r="A334" s="24" t="s">
        <v>149</v>
      </c>
      <c r="B334" s="25">
        <v>2012</v>
      </c>
      <c r="C334" s="25" t="s">
        <v>2462</v>
      </c>
      <c r="D334" s="25">
        <v>130</v>
      </c>
      <c r="E334" s="25">
        <v>7</v>
      </c>
      <c r="F334" s="25" t="str" cm="1">
        <f t="array" ref="F3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4" s="26">
        <v>80.069999999999993</v>
      </c>
      <c r="H334" s="27">
        <v>357638</v>
      </c>
    </row>
    <row r="335" spans="1:8" ht="18" x14ac:dyDescent="0.25">
      <c r="A335" s="24" t="s">
        <v>151</v>
      </c>
      <c r="B335" s="25">
        <v>2012</v>
      </c>
      <c r="C335" s="25" t="s">
        <v>2462</v>
      </c>
      <c r="D335" s="25">
        <v>102</v>
      </c>
      <c r="E335" s="25">
        <v>6.2</v>
      </c>
      <c r="F335" s="25" t="str" cm="1">
        <f t="array" ref="F3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5" s="26">
        <v>0.26</v>
      </c>
      <c r="H335" s="27">
        <v>22871</v>
      </c>
    </row>
    <row r="336" spans="1:8" ht="18" x14ac:dyDescent="0.25">
      <c r="A336" s="24" t="s">
        <v>152</v>
      </c>
      <c r="B336" s="25">
        <v>2012</v>
      </c>
      <c r="C336" s="25" t="s">
        <v>2462</v>
      </c>
      <c r="D336" s="25">
        <v>93</v>
      </c>
      <c r="E336" s="25">
        <v>5.2</v>
      </c>
      <c r="F336" s="25" t="str" cm="1">
        <f t="array" ref="F3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6" s="26">
        <v>0</v>
      </c>
      <c r="H336" s="27">
        <v>2778</v>
      </c>
    </row>
    <row r="337" spans="1:8" ht="18" x14ac:dyDescent="0.25">
      <c r="A337" s="24" t="s">
        <v>158</v>
      </c>
      <c r="B337" s="25">
        <v>2012</v>
      </c>
      <c r="C337" s="25" t="s">
        <v>2462</v>
      </c>
      <c r="D337" s="25">
        <v>125</v>
      </c>
      <c r="E337" s="25">
        <v>6.4</v>
      </c>
      <c r="F337" s="25" t="str" cm="1">
        <f t="array" ref="F3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7" s="26">
        <v>5.13</v>
      </c>
      <c r="H337" s="27">
        <v>34650</v>
      </c>
    </row>
    <row r="338" spans="1:8" ht="18" x14ac:dyDescent="0.25">
      <c r="A338" s="24" t="s">
        <v>2053</v>
      </c>
      <c r="B338" s="25">
        <v>2012</v>
      </c>
      <c r="C338" s="25" t="s">
        <v>2462</v>
      </c>
      <c r="D338" s="25">
        <v>140</v>
      </c>
      <c r="E338" s="25">
        <v>7.3</v>
      </c>
      <c r="F338" s="25" t="str" cm="1">
        <f t="array" ref="F3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8" s="26">
        <v>21.38</v>
      </c>
      <c r="H338" s="27">
        <v>284662</v>
      </c>
    </row>
    <row r="339" spans="1:8" ht="18" x14ac:dyDescent="0.25">
      <c r="A339" s="24" t="s">
        <v>2054</v>
      </c>
      <c r="B339" s="25">
        <v>2012</v>
      </c>
      <c r="C339" s="25" t="s">
        <v>2462</v>
      </c>
      <c r="D339" s="25">
        <v>105</v>
      </c>
      <c r="E339" s="25">
        <v>7.4</v>
      </c>
      <c r="F339" s="25" t="str" cm="1">
        <f t="array" ref="F3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39" s="26">
        <v>0.35</v>
      </c>
      <c r="H339" s="27">
        <v>33803</v>
      </c>
    </row>
    <row r="340" spans="1:8" ht="18" x14ac:dyDescent="0.25">
      <c r="A340" s="24" t="s">
        <v>2055</v>
      </c>
      <c r="B340" s="25">
        <v>2012</v>
      </c>
      <c r="C340" s="25" t="s">
        <v>2462</v>
      </c>
      <c r="D340" s="25">
        <v>112</v>
      </c>
      <c r="E340" s="25">
        <v>5.8</v>
      </c>
      <c r="F340" s="25" t="str" cm="1">
        <f t="array" ref="F3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0" s="26">
        <v>0.59</v>
      </c>
      <c r="H340" s="27">
        <v>29712</v>
      </c>
    </row>
    <row r="341" spans="1:8" ht="18" x14ac:dyDescent="0.25">
      <c r="A341" s="24" t="s">
        <v>2056</v>
      </c>
      <c r="B341" s="25">
        <v>2012</v>
      </c>
      <c r="C341" s="25" t="s">
        <v>2462</v>
      </c>
      <c r="D341" s="25">
        <v>105</v>
      </c>
      <c r="E341" s="25">
        <v>5.7</v>
      </c>
      <c r="F341" s="25" t="str" cm="1">
        <f t="array" ref="F3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1" s="26">
        <v>13.1</v>
      </c>
      <c r="H341" s="27">
        <v>31009</v>
      </c>
    </row>
    <row r="342" spans="1:8" ht="18" x14ac:dyDescent="0.25">
      <c r="A342" s="24" t="s">
        <v>172</v>
      </c>
      <c r="B342" s="25">
        <v>2012</v>
      </c>
      <c r="C342" s="25" t="s">
        <v>2462</v>
      </c>
      <c r="D342" s="25">
        <v>83</v>
      </c>
      <c r="E342" s="25">
        <v>4.8</v>
      </c>
      <c r="F342" s="25" t="str" cm="1">
        <f t="array" ref="F3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2" s="26">
        <v>2.46</v>
      </c>
      <c r="H342" s="27">
        <v>9764</v>
      </c>
    </row>
    <row r="343" spans="1:8" ht="18" x14ac:dyDescent="0.25">
      <c r="A343" s="24" t="s">
        <v>173</v>
      </c>
      <c r="B343" s="25">
        <v>2012</v>
      </c>
      <c r="C343" s="25" t="s">
        <v>2462</v>
      </c>
      <c r="D343" s="25">
        <v>111</v>
      </c>
      <c r="E343" s="25">
        <v>6.5</v>
      </c>
      <c r="F343" s="25" t="str" cm="1">
        <f t="array" ref="F3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3" s="26">
        <v>2.29</v>
      </c>
      <c r="H343" s="27">
        <v>5923</v>
      </c>
    </row>
    <row r="344" spans="1:8" ht="18" x14ac:dyDescent="0.25">
      <c r="A344" s="24" t="s">
        <v>177</v>
      </c>
      <c r="B344" s="25">
        <v>2012</v>
      </c>
      <c r="C344" s="25" t="s">
        <v>2462</v>
      </c>
      <c r="D344" s="25">
        <v>107</v>
      </c>
      <c r="E344" s="25">
        <v>6.5</v>
      </c>
      <c r="F344" s="25" t="str" cm="1">
        <f t="array" ref="F3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4" s="26">
        <v>3.35</v>
      </c>
      <c r="H344" s="27">
        <v>14636</v>
      </c>
    </row>
    <row r="345" spans="1:8" ht="18" x14ac:dyDescent="0.25">
      <c r="A345" s="24" t="s">
        <v>183</v>
      </c>
      <c r="B345" s="25">
        <v>2012</v>
      </c>
      <c r="C345" s="25" t="s">
        <v>2462</v>
      </c>
      <c r="D345" s="25">
        <v>115</v>
      </c>
      <c r="E345" s="25">
        <v>6.3</v>
      </c>
      <c r="F345" s="25" t="str" cm="1">
        <f t="array" ref="F3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5" s="26">
        <v>2.46</v>
      </c>
      <c r="H345" s="27">
        <v>1750</v>
      </c>
    </row>
    <row r="346" spans="1:8" ht="18" x14ac:dyDescent="0.25">
      <c r="A346" s="24" t="s">
        <v>186</v>
      </c>
      <c r="B346" s="25">
        <v>2012</v>
      </c>
      <c r="C346" s="25" t="s">
        <v>2462</v>
      </c>
      <c r="D346" s="25">
        <v>106</v>
      </c>
      <c r="E346" s="25">
        <v>6.8</v>
      </c>
      <c r="F346" s="25" t="str" cm="1">
        <f t="array" ref="F3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6" s="26">
        <v>1.94</v>
      </c>
      <c r="H346" s="27">
        <v>78058</v>
      </c>
    </row>
    <row r="347" spans="1:8" ht="18" x14ac:dyDescent="0.25">
      <c r="A347" s="24" t="s">
        <v>187</v>
      </c>
      <c r="B347" s="25">
        <v>2012</v>
      </c>
      <c r="C347" s="25" t="s">
        <v>2462</v>
      </c>
      <c r="D347" s="25">
        <v>107</v>
      </c>
      <c r="E347" s="25">
        <v>6.4</v>
      </c>
      <c r="F347" s="25" t="str" cm="1">
        <f t="array" ref="F3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7" s="26">
        <v>0.03</v>
      </c>
      <c r="H347" s="27">
        <v>620</v>
      </c>
    </row>
    <row r="348" spans="1:8" ht="18" x14ac:dyDescent="0.25">
      <c r="A348" s="24" t="s">
        <v>2057</v>
      </c>
      <c r="B348" s="25">
        <v>2012</v>
      </c>
      <c r="C348" s="25" t="s">
        <v>2462</v>
      </c>
      <c r="D348" s="25">
        <v>94</v>
      </c>
      <c r="E348" s="25">
        <v>4.8</v>
      </c>
      <c r="F348" s="25" t="str" cm="1">
        <f t="array" ref="F3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8" s="26">
        <v>0.02</v>
      </c>
      <c r="H348" s="27">
        <v>11957</v>
      </c>
    </row>
    <row r="349" spans="1:8" ht="18" x14ac:dyDescent="0.25">
      <c r="A349" s="24" t="s">
        <v>198</v>
      </c>
      <c r="B349" s="25">
        <v>2012</v>
      </c>
      <c r="C349" s="25" t="s">
        <v>2463</v>
      </c>
      <c r="D349" s="25">
        <v>118</v>
      </c>
      <c r="E349" s="25">
        <v>6.5</v>
      </c>
      <c r="F349" s="25" t="str" cm="1">
        <f t="array" ref="F3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49" s="26">
        <v>0.08</v>
      </c>
      <c r="H349" s="27">
        <v>45373</v>
      </c>
    </row>
    <row r="350" spans="1:8" ht="18" x14ac:dyDescent="0.25">
      <c r="A350" s="24" t="s">
        <v>203</v>
      </c>
      <c r="B350" s="25">
        <v>2012</v>
      </c>
      <c r="C350" s="25" t="s">
        <v>2462</v>
      </c>
      <c r="D350" s="25">
        <v>106</v>
      </c>
      <c r="E350" s="25">
        <v>6.6</v>
      </c>
      <c r="F350" s="25" t="str" cm="1">
        <f t="array" ref="F3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0" s="26">
        <v>7.6</v>
      </c>
      <c r="H350" s="27">
        <v>39477</v>
      </c>
    </row>
    <row r="351" spans="1:8" ht="18" x14ac:dyDescent="0.25">
      <c r="A351" s="24" t="s">
        <v>204</v>
      </c>
      <c r="B351" s="25">
        <v>2012</v>
      </c>
      <c r="C351" s="25" t="s">
        <v>2464</v>
      </c>
      <c r="D351" s="25">
        <v>130</v>
      </c>
      <c r="E351" s="25">
        <v>7.4</v>
      </c>
      <c r="F351" s="25" t="str" cm="1">
        <f t="array" ref="F3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1" s="26">
        <v>21.59</v>
      </c>
      <c r="H351" s="27">
        <v>186279</v>
      </c>
    </row>
    <row r="352" spans="1:8" ht="18" x14ac:dyDescent="0.25">
      <c r="A352" s="24" t="s">
        <v>205</v>
      </c>
      <c r="B352" s="25">
        <v>2012</v>
      </c>
      <c r="C352" s="25" t="s">
        <v>2462</v>
      </c>
      <c r="D352" s="25">
        <v>95</v>
      </c>
      <c r="E352" s="25">
        <v>6.4</v>
      </c>
      <c r="F352" s="25" t="str" cm="1">
        <f t="array" ref="F3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2" s="26">
        <v>0.21</v>
      </c>
      <c r="H352" s="27">
        <v>6759</v>
      </c>
    </row>
    <row r="353" spans="1:8" ht="18" x14ac:dyDescent="0.25">
      <c r="A353" s="24" t="s">
        <v>206</v>
      </c>
      <c r="B353" s="25">
        <v>2012</v>
      </c>
      <c r="C353" s="25" t="s">
        <v>2462</v>
      </c>
      <c r="D353" s="25">
        <v>134</v>
      </c>
      <c r="E353" s="25">
        <v>6.2</v>
      </c>
      <c r="F353" s="25" t="str" cm="1">
        <f t="array" ref="F3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3" s="26">
        <v>67.540000000000006</v>
      </c>
      <c r="H353" s="27">
        <v>148234</v>
      </c>
    </row>
    <row r="354" spans="1:8" ht="18" x14ac:dyDescent="0.25">
      <c r="A354" s="24" t="s">
        <v>2058</v>
      </c>
      <c r="B354" s="25">
        <v>2012</v>
      </c>
      <c r="C354" s="25" t="s">
        <v>2462</v>
      </c>
      <c r="D354" s="25">
        <v>85</v>
      </c>
      <c r="E354" s="25">
        <v>5.7</v>
      </c>
      <c r="F354" s="25" t="str" cm="1">
        <f t="array" ref="F3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4" s="26">
        <v>2.46</v>
      </c>
      <c r="H354" s="27">
        <v>763</v>
      </c>
    </row>
    <row r="355" spans="1:8" ht="18" x14ac:dyDescent="0.25">
      <c r="A355" s="24" t="s">
        <v>220</v>
      </c>
      <c r="B355" s="25">
        <v>2012</v>
      </c>
      <c r="C355" s="25" t="s">
        <v>2463</v>
      </c>
      <c r="D355" s="25">
        <v>92</v>
      </c>
      <c r="E355" s="25">
        <v>6.2</v>
      </c>
      <c r="F355" s="25" t="str" cm="1">
        <f t="array" ref="F3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5" s="26">
        <v>139.85</v>
      </c>
      <c r="H355" s="27">
        <v>318048</v>
      </c>
    </row>
    <row r="356" spans="1:8" ht="18" x14ac:dyDescent="0.25">
      <c r="A356" s="24" t="s">
        <v>223</v>
      </c>
      <c r="B356" s="25">
        <v>2012</v>
      </c>
      <c r="C356" s="25" t="s">
        <v>2462</v>
      </c>
      <c r="D356" s="25">
        <v>115</v>
      </c>
      <c r="E356" s="25">
        <v>7.5</v>
      </c>
      <c r="F356" s="25" t="str" cm="1">
        <f t="array" ref="F3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6" s="26">
        <v>7.44</v>
      </c>
      <c r="H356" s="27">
        <v>77619</v>
      </c>
    </row>
    <row r="357" spans="1:8" ht="18" x14ac:dyDescent="0.25">
      <c r="A357" s="24" t="s">
        <v>2059</v>
      </c>
      <c r="B357" s="25">
        <v>2012</v>
      </c>
      <c r="C357" s="25" t="s">
        <v>2462</v>
      </c>
      <c r="D357" s="25">
        <v>93</v>
      </c>
      <c r="E357" s="25">
        <v>5.6</v>
      </c>
      <c r="F357" s="25" t="str" cm="1">
        <f t="array" ref="F3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7" s="26">
        <v>2.46</v>
      </c>
      <c r="H357" s="27">
        <v>7697</v>
      </c>
    </row>
    <row r="358" spans="1:8" ht="18" x14ac:dyDescent="0.25">
      <c r="A358" s="24" t="s">
        <v>241</v>
      </c>
      <c r="B358" s="25">
        <v>2012</v>
      </c>
      <c r="C358" s="25" t="s">
        <v>2462</v>
      </c>
      <c r="D358" s="25">
        <v>101</v>
      </c>
      <c r="E358" s="25">
        <v>7.6</v>
      </c>
      <c r="F358" s="25" t="str" cm="1">
        <f t="array" ref="F3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8" s="26">
        <v>2.42</v>
      </c>
      <c r="H358" s="27">
        <v>5800</v>
      </c>
    </row>
    <row r="359" spans="1:8" ht="18" x14ac:dyDescent="0.25">
      <c r="A359" s="24" t="s">
        <v>2060</v>
      </c>
      <c r="B359" s="25">
        <v>2012</v>
      </c>
      <c r="C359" s="25" t="s">
        <v>2463</v>
      </c>
      <c r="D359" s="25">
        <v>158</v>
      </c>
      <c r="E359" s="25">
        <v>7.5</v>
      </c>
      <c r="F359" s="25" t="str" cm="1">
        <f t="array" ref="F3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59" s="26">
        <v>148.81</v>
      </c>
      <c r="H359" s="27">
        <v>341279</v>
      </c>
    </row>
    <row r="360" spans="1:8" ht="18" x14ac:dyDescent="0.25">
      <c r="A360" s="24" t="s">
        <v>2061</v>
      </c>
      <c r="B360" s="25">
        <v>2012</v>
      </c>
      <c r="C360" s="25" t="s">
        <v>2463</v>
      </c>
      <c r="D360" s="25">
        <v>118</v>
      </c>
      <c r="E360" s="25">
        <v>5.6</v>
      </c>
      <c r="F360" s="25" t="str" cm="1">
        <f t="array" ref="F3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0" s="26">
        <v>2.46</v>
      </c>
      <c r="H360" s="27">
        <v>2140</v>
      </c>
    </row>
    <row r="361" spans="1:8" ht="18" x14ac:dyDescent="0.25">
      <c r="A361" s="24" t="s">
        <v>248</v>
      </c>
      <c r="B361" s="25">
        <v>2012</v>
      </c>
      <c r="C361" s="25" t="s">
        <v>2462</v>
      </c>
      <c r="D361" s="25">
        <v>101</v>
      </c>
      <c r="E361" s="25">
        <v>6.3</v>
      </c>
      <c r="F361" s="25" t="str" cm="1">
        <f t="array" ref="F3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1" s="26">
        <v>0.01</v>
      </c>
      <c r="H361" s="27">
        <v>16786</v>
      </c>
    </row>
    <row r="362" spans="1:8" ht="18" x14ac:dyDescent="0.25">
      <c r="A362" s="24" t="s">
        <v>250</v>
      </c>
      <c r="B362" s="25">
        <v>2012</v>
      </c>
      <c r="C362" s="25" t="s">
        <v>2463</v>
      </c>
      <c r="D362" s="25">
        <v>89</v>
      </c>
      <c r="E362" s="25">
        <v>5.9</v>
      </c>
      <c r="F362" s="25" t="str" cm="1">
        <f t="array" ref="F3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2" s="26">
        <v>0.05</v>
      </c>
      <c r="H362" s="27">
        <v>6065</v>
      </c>
    </row>
    <row r="363" spans="1:8" ht="18" x14ac:dyDescent="0.25">
      <c r="A363" s="24" t="s">
        <v>252</v>
      </c>
      <c r="B363" s="25">
        <v>2012</v>
      </c>
      <c r="C363" s="25" t="s">
        <v>2463</v>
      </c>
      <c r="D363" s="25">
        <v>108</v>
      </c>
      <c r="E363" s="25">
        <v>5.7</v>
      </c>
      <c r="F363" s="25" t="str" cm="1">
        <f t="array" ref="F3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3" s="26">
        <v>2.46</v>
      </c>
      <c r="H363" s="27">
        <v>15076</v>
      </c>
    </row>
    <row r="364" spans="1:8" ht="18" x14ac:dyDescent="0.25">
      <c r="A364" s="24" t="s">
        <v>264</v>
      </c>
      <c r="B364" s="25">
        <v>2012</v>
      </c>
      <c r="C364" s="25" t="s">
        <v>2462</v>
      </c>
      <c r="D364" s="25">
        <v>115</v>
      </c>
      <c r="E364" s="25">
        <v>6.9</v>
      </c>
      <c r="F364" s="25" t="str" cm="1">
        <f t="array" ref="F3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4" s="26">
        <v>0.01</v>
      </c>
      <c r="H364" s="27">
        <v>2367</v>
      </c>
    </row>
    <row r="365" spans="1:8" ht="18" x14ac:dyDescent="0.25">
      <c r="A365" s="24" t="s">
        <v>266</v>
      </c>
      <c r="B365" s="25">
        <v>2012</v>
      </c>
      <c r="C365" s="25" t="s">
        <v>2463</v>
      </c>
      <c r="D365" s="25">
        <v>117</v>
      </c>
      <c r="E365" s="25">
        <v>6</v>
      </c>
      <c r="F365" s="25" t="str" cm="1">
        <f t="array" ref="F3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5" s="26">
        <v>0.61</v>
      </c>
      <c r="H365" s="27">
        <v>4915</v>
      </c>
    </row>
    <row r="366" spans="1:8" ht="18" x14ac:dyDescent="0.25">
      <c r="A366" s="24" t="s">
        <v>276</v>
      </c>
      <c r="B366" s="25">
        <v>2012</v>
      </c>
      <c r="C366" s="25" t="s">
        <v>2462</v>
      </c>
      <c r="D366" s="25">
        <v>85</v>
      </c>
      <c r="E366" s="25">
        <v>5.9</v>
      </c>
      <c r="F366" s="25" t="str" cm="1">
        <f t="array" ref="F3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6" s="26">
        <v>2.46</v>
      </c>
      <c r="H366" s="27">
        <v>3748</v>
      </c>
    </row>
    <row r="367" spans="1:8" ht="18" x14ac:dyDescent="0.25">
      <c r="A367" s="24" t="s">
        <v>278</v>
      </c>
      <c r="B367" s="25">
        <v>2012</v>
      </c>
      <c r="C367" s="25" t="s">
        <v>2462</v>
      </c>
      <c r="D367" s="25">
        <v>99</v>
      </c>
      <c r="E367" s="25">
        <v>7.4</v>
      </c>
      <c r="F367" s="25" t="str" cm="1">
        <f t="array" ref="F3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7" s="26">
        <v>1.07</v>
      </c>
      <c r="H367" s="27">
        <v>28439</v>
      </c>
    </row>
    <row r="368" spans="1:8" ht="18" x14ac:dyDescent="0.25">
      <c r="A368" s="24" t="s">
        <v>290</v>
      </c>
      <c r="B368" s="25">
        <v>2012</v>
      </c>
      <c r="C368" s="25" t="s">
        <v>2462</v>
      </c>
      <c r="D368" s="25">
        <v>115</v>
      </c>
      <c r="E368" s="25">
        <v>8.3000000000000007</v>
      </c>
      <c r="F368" s="25" t="str" cm="1">
        <f t="array" ref="F3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8" s="26">
        <v>0.69</v>
      </c>
      <c r="H368" s="27">
        <v>353227</v>
      </c>
    </row>
    <row r="369" spans="1:8" ht="18" x14ac:dyDescent="0.25">
      <c r="A369" s="24" t="s">
        <v>2062</v>
      </c>
      <c r="B369" s="25">
        <v>2012</v>
      </c>
      <c r="C369" s="25" t="s">
        <v>2462</v>
      </c>
      <c r="D369" s="25">
        <v>97</v>
      </c>
      <c r="E369" s="25">
        <v>7.2</v>
      </c>
      <c r="F369" s="25" t="str" cm="1">
        <f t="array" ref="F3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69" s="26">
        <v>0.08</v>
      </c>
      <c r="H369" s="27">
        <v>91038</v>
      </c>
    </row>
    <row r="370" spans="1:8" ht="18" x14ac:dyDescent="0.25">
      <c r="A370" s="24" t="s">
        <v>296</v>
      </c>
      <c r="B370" s="25">
        <v>2012</v>
      </c>
      <c r="C370" s="25" t="s">
        <v>2462</v>
      </c>
      <c r="D370" s="25">
        <v>127</v>
      </c>
      <c r="E370" s="25">
        <v>7.3</v>
      </c>
      <c r="F370" s="25" t="str" cm="1">
        <f t="array" ref="F3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0" s="26">
        <v>0.01</v>
      </c>
      <c r="H370" s="27">
        <v>17233</v>
      </c>
    </row>
    <row r="371" spans="1:8" ht="18" x14ac:dyDescent="0.25">
      <c r="A371" s="24" t="s">
        <v>299</v>
      </c>
      <c r="B371" s="25">
        <v>2012</v>
      </c>
      <c r="C371" s="25" t="s">
        <v>2462</v>
      </c>
      <c r="D371" s="25">
        <v>110</v>
      </c>
      <c r="E371" s="25">
        <v>6</v>
      </c>
      <c r="F371" s="25" t="str" cm="1">
        <f t="array" ref="F3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1" s="26">
        <v>0.05</v>
      </c>
      <c r="H371" s="27">
        <v>2008</v>
      </c>
    </row>
    <row r="372" spans="1:8" ht="18" x14ac:dyDescent="0.25">
      <c r="A372" s="24" t="s">
        <v>2063</v>
      </c>
      <c r="B372" s="25">
        <v>2012</v>
      </c>
      <c r="C372" s="25" t="s">
        <v>2462</v>
      </c>
      <c r="D372" s="25">
        <v>112</v>
      </c>
      <c r="E372" s="25">
        <v>6.4</v>
      </c>
      <c r="F372" s="25" t="str" cm="1">
        <f t="array" ref="F3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2" s="26">
        <v>1.06</v>
      </c>
      <c r="H372" s="27">
        <v>29284</v>
      </c>
    </row>
    <row r="373" spans="1:8" ht="18" x14ac:dyDescent="0.25">
      <c r="A373" s="24" t="s">
        <v>328</v>
      </c>
      <c r="B373" s="25">
        <v>2012</v>
      </c>
      <c r="C373" s="25" t="s">
        <v>2462</v>
      </c>
      <c r="D373" s="25">
        <v>104</v>
      </c>
      <c r="E373" s="25">
        <v>7.5</v>
      </c>
      <c r="F373" s="25" t="str" cm="1">
        <f t="array" ref="F3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3" s="26">
        <v>0.28000000000000003</v>
      </c>
      <c r="H373" s="27">
        <v>11471</v>
      </c>
    </row>
    <row r="374" spans="1:8" ht="18" x14ac:dyDescent="0.25">
      <c r="A374" s="24" t="s">
        <v>331</v>
      </c>
      <c r="B374" s="25">
        <v>2012</v>
      </c>
      <c r="C374" s="25" t="s">
        <v>2462</v>
      </c>
      <c r="D374" s="25">
        <v>94</v>
      </c>
      <c r="E374" s="25">
        <v>5.8</v>
      </c>
      <c r="F374" s="25" t="str" cm="1">
        <f t="array" ref="F3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4" s="26">
        <v>2.46</v>
      </c>
      <c r="H374" s="27">
        <v>5360</v>
      </c>
    </row>
    <row r="375" spans="1:8" ht="18" x14ac:dyDescent="0.25">
      <c r="A375" s="24" t="s">
        <v>349</v>
      </c>
      <c r="B375" s="25">
        <v>2012</v>
      </c>
      <c r="C375" s="25" t="s">
        <v>2462</v>
      </c>
      <c r="D375" s="25">
        <v>97</v>
      </c>
      <c r="E375" s="25">
        <v>7.1</v>
      </c>
      <c r="F375" s="25" t="str" cm="1">
        <f t="array" ref="F3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5" s="26">
        <v>0</v>
      </c>
      <c r="H375" s="27">
        <v>3227</v>
      </c>
    </row>
    <row r="376" spans="1:8" ht="18" x14ac:dyDescent="0.25">
      <c r="A376" s="24" t="s">
        <v>358</v>
      </c>
      <c r="B376" s="25">
        <v>2012</v>
      </c>
      <c r="C376" s="25" t="s">
        <v>2462</v>
      </c>
      <c r="D376" s="25">
        <v>113</v>
      </c>
      <c r="E376" s="25">
        <v>7.1</v>
      </c>
      <c r="F376" s="25" t="str" cm="1">
        <f t="array" ref="F3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6" s="26">
        <v>0.71</v>
      </c>
      <c r="H376" s="27">
        <v>11860</v>
      </c>
    </row>
    <row r="377" spans="1:8" ht="18" x14ac:dyDescent="0.25">
      <c r="A377" s="24" t="s">
        <v>389</v>
      </c>
      <c r="B377" s="25">
        <v>2012</v>
      </c>
      <c r="C377" s="25" t="s">
        <v>2463</v>
      </c>
      <c r="D377" s="25">
        <v>98</v>
      </c>
      <c r="E377" s="25">
        <v>7.5</v>
      </c>
      <c r="F377" s="25" t="str" cm="1">
        <f t="array" ref="F3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7" s="26">
        <v>1.35</v>
      </c>
      <c r="H377" s="27">
        <v>21183</v>
      </c>
    </row>
    <row r="378" spans="1:8" ht="18" x14ac:dyDescent="0.25">
      <c r="A378" s="24" t="s">
        <v>413</v>
      </c>
      <c r="B378" s="25">
        <v>2012</v>
      </c>
      <c r="C378" s="25" t="s">
        <v>2462</v>
      </c>
      <c r="D378" s="25">
        <v>102</v>
      </c>
      <c r="E378" s="25">
        <v>7.1</v>
      </c>
      <c r="F378" s="25" t="str" cm="1">
        <f t="array" ref="F3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8" s="26">
        <v>0.15</v>
      </c>
      <c r="H378" s="27">
        <v>5399</v>
      </c>
    </row>
    <row r="379" spans="1:8" ht="18" x14ac:dyDescent="0.25">
      <c r="A379" s="24" t="s">
        <v>2064</v>
      </c>
      <c r="B379" s="25">
        <v>2012</v>
      </c>
      <c r="C379" s="25" t="s">
        <v>2462</v>
      </c>
      <c r="D379" s="25">
        <v>89</v>
      </c>
      <c r="E379" s="25">
        <v>5.8</v>
      </c>
      <c r="F379" s="25" t="str" cm="1">
        <f t="array" ref="F3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79" s="26">
        <v>57.01</v>
      </c>
      <c r="H379" s="27">
        <v>26569</v>
      </c>
    </row>
    <row r="380" spans="1:8" ht="18" x14ac:dyDescent="0.25">
      <c r="A380" s="24" t="s">
        <v>2065</v>
      </c>
      <c r="B380" s="25">
        <v>2012</v>
      </c>
      <c r="C380" s="25" t="s">
        <v>2463</v>
      </c>
      <c r="D380" s="25">
        <v>101</v>
      </c>
      <c r="E380" s="25">
        <v>6.4</v>
      </c>
      <c r="F380" s="25" t="str" cm="1">
        <f t="array" ref="F3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0" s="26">
        <v>0.25</v>
      </c>
      <c r="H380" s="27">
        <v>6051</v>
      </c>
    </row>
    <row r="381" spans="1:8" ht="18" x14ac:dyDescent="0.25">
      <c r="A381" s="24" t="s">
        <v>543</v>
      </c>
      <c r="B381" s="25">
        <v>2012</v>
      </c>
      <c r="C381" s="25" t="s">
        <v>2462</v>
      </c>
      <c r="D381" s="25">
        <v>86</v>
      </c>
      <c r="E381" s="25">
        <v>7.3</v>
      </c>
      <c r="F381" s="25" t="str" cm="1">
        <f t="array" ref="F3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1" s="26">
        <v>0.15</v>
      </c>
      <c r="H381" s="27">
        <v>17273</v>
      </c>
    </row>
    <row r="382" spans="1:8" ht="18" x14ac:dyDescent="0.25">
      <c r="A382" s="24" t="s">
        <v>555</v>
      </c>
      <c r="B382" s="25">
        <v>2012</v>
      </c>
      <c r="C382" s="25" t="s">
        <v>2462</v>
      </c>
      <c r="D382" s="25">
        <v>101</v>
      </c>
      <c r="E382" s="25">
        <v>6.6</v>
      </c>
      <c r="F382" s="25" t="str" cm="1">
        <f t="array" ref="F3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2" s="26">
        <v>2.46</v>
      </c>
      <c r="H382" s="27">
        <v>778</v>
      </c>
    </row>
    <row r="383" spans="1:8" ht="18" x14ac:dyDescent="0.25">
      <c r="A383" s="24" t="s">
        <v>601</v>
      </c>
      <c r="B383" s="25">
        <v>2012</v>
      </c>
      <c r="C383" s="25" t="s">
        <v>2462</v>
      </c>
      <c r="D383" s="25">
        <v>89</v>
      </c>
      <c r="E383" s="25">
        <v>7.6</v>
      </c>
      <c r="F383" s="25" t="str" cm="1">
        <f t="array" ref="F3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3" s="26">
        <v>0.01</v>
      </c>
      <c r="H383" s="27">
        <v>1618</v>
      </c>
    </row>
    <row r="384" spans="1:8" ht="18" x14ac:dyDescent="0.25">
      <c r="A384" s="24" t="s">
        <v>657</v>
      </c>
      <c r="B384" s="25">
        <v>2012</v>
      </c>
      <c r="C384" s="25" t="s">
        <v>2464</v>
      </c>
      <c r="D384" s="25">
        <v>110</v>
      </c>
      <c r="E384" s="25">
        <v>7.1</v>
      </c>
      <c r="F384" s="25" t="str" cm="1">
        <f t="array" ref="F3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4" s="26">
        <v>15.02</v>
      </c>
      <c r="H384" s="27">
        <v>270090</v>
      </c>
    </row>
    <row r="385" spans="1:8" ht="18" x14ac:dyDescent="0.25">
      <c r="A385" s="24" t="s">
        <v>2066</v>
      </c>
      <c r="B385" s="25">
        <v>2012</v>
      </c>
      <c r="C385" s="25" t="s">
        <v>2462</v>
      </c>
      <c r="D385" s="25">
        <v>79</v>
      </c>
      <c r="E385" s="25">
        <v>6.6</v>
      </c>
      <c r="F385" s="25" t="str" cm="1">
        <f t="array" ref="F3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5" s="26">
        <v>0.1</v>
      </c>
      <c r="H385" s="27">
        <v>2597</v>
      </c>
    </row>
    <row r="386" spans="1:8" ht="18" x14ac:dyDescent="0.25">
      <c r="A386" s="24" t="s">
        <v>815</v>
      </c>
      <c r="B386" s="25">
        <v>2012</v>
      </c>
      <c r="C386" s="25" t="s">
        <v>2462</v>
      </c>
      <c r="D386" s="25">
        <v>80</v>
      </c>
      <c r="E386" s="25">
        <v>7.8</v>
      </c>
      <c r="F386" s="25" t="str" cm="1">
        <f t="array" ref="F3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6" s="26">
        <v>0.28999999999999998</v>
      </c>
      <c r="H386" s="27">
        <v>21783</v>
      </c>
    </row>
    <row r="387" spans="1:8" ht="18" x14ac:dyDescent="0.25">
      <c r="A387" s="24" t="s">
        <v>2067</v>
      </c>
      <c r="B387" s="25">
        <v>2012</v>
      </c>
      <c r="C387" s="25" t="s">
        <v>2462</v>
      </c>
      <c r="D387" s="25">
        <v>79</v>
      </c>
      <c r="E387" s="25">
        <v>6.9</v>
      </c>
      <c r="F387" s="25" t="str" cm="1">
        <f t="array" ref="F3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7" s="26">
        <v>0.02</v>
      </c>
      <c r="H387" s="27">
        <v>844</v>
      </c>
    </row>
    <row r="388" spans="1:8" ht="18" x14ac:dyDescent="0.25">
      <c r="A388" s="24" t="s">
        <v>2068</v>
      </c>
      <c r="B388" s="25">
        <v>2012</v>
      </c>
      <c r="C388" s="25" t="s">
        <v>2462</v>
      </c>
      <c r="D388" s="25">
        <v>136</v>
      </c>
      <c r="E388" s="25">
        <v>7.6</v>
      </c>
      <c r="F388" s="25" t="str" cm="1">
        <f t="array" ref="F3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8" s="26">
        <v>7.0000000000000007E-2</v>
      </c>
      <c r="H388" s="27">
        <v>7383</v>
      </c>
    </row>
    <row r="389" spans="1:8" ht="18" x14ac:dyDescent="0.25">
      <c r="A389" s="24" t="s">
        <v>936</v>
      </c>
      <c r="B389" s="25">
        <v>2012</v>
      </c>
      <c r="C389" s="25" t="s">
        <v>2462</v>
      </c>
      <c r="D389" s="25">
        <v>65</v>
      </c>
      <c r="E389" s="25">
        <v>6</v>
      </c>
      <c r="F389" s="25" t="str" cm="1">
        <f t="array" ref="F3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89" s="26">
        <v>2.46</v>
      </c>
      <c r="H389" s="27">
        <v>573</v>
      </c>
    </row>
    <row r="390" spans="1:8" ht="18" x14ac:dyDescent="0.25">
      <c r="A390" s="24" t="s">
        <v>2069</v>
      </c>
      <c r="B390" s="25">
        <v>2012</v>
      </c>
      <c r="C390" s="25" t="s">
        <v>2462</v>
      </c>
      <c r="D390" s="25">
        <v>106</v>
      </c>
      <c r="E390" s="25">
        <v>7.8</v>
      </c>
      <c r="F390" s="25" t="str" cm="1">
        <f t="array" ref="F3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0" s="26">
        <v>0.09</v>
      </c>
      <c r="H390" s="27">
        <v>6412</v>
      </c>
    </row>
    <row r="391" spans="1:8" ht="18" x14ac:dyDescent="0.25">
      <c r="A391" s="24" t="s">
        <v>1028</v>
      </c>
      <c r="B391" s="25">
        <v>2012</v>
      </c>
      <c r="C391" s="25" t="s">
        <v>2462</v>
      </c>
      <c r="D391" s="25">
        <v>102</v>
      </c>
      <c r="E391" s="25">
        <v>6.1</v>
      </c>
      <c r="F391" s="25" t="str" cm="1">
        <f t="array" ref="F3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1" s="26">
        <v>0.11</v>
      </c>
      <c r="H391" s="27">
        <v>1622</v>
      </c>
    </row>
    <row r="392" spans="1:8" ht="18" x14ac:dyDescent="0.25">
      <c r="A392" s="24" t="s">
        <v>1030</v>
      </c>
      <c r="B392" s="25">
        <v>2012</v>
      </c>
      <c r="C392" s="25" t="s">
        <v>2463</v>
      </c>
      <c r="D392" s="25">
        <v>103</v>
      </c>
      <c r="E392" s="25">
        <v>6.2</v>
      </c>
      <c r="F392" s="25" t="str" cm="1">
        <f t="array" ref="F3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2" s="26">
        <v>2.46</v>
      </c>
      <c r="H392" s="27">
        <v>27667</v>
      </c>
    </row>
    <row r="393" spans="1:8" ht="18" x14ac:dyDescent="0.25">
      <c r="A393" s="24" t="s">
        <v>2070</v>
      </c>
      <c r="B393" s="25">
        <v>2012</v>
      </c>
      <c r="C393" s="25" t="s">
        <v>2462</v>
      </c>
      <c r="D393" s="25">
        <v>89</v>
      </c>
      <c r="E393" s="25">
        <v>6.5</v>
      </c>
      <c r="F393" s="25" t="str" cm="1">
        <f t="array" ref="F3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3" s="26">
        <v>0.06</v>
      </c>
      <c r="H393" s="27">
        <v>242</v>
      </c>
    </row>
    <row r="394" spans="1:8" ht="18" x14ac:dyDescent="0.25">
      <c r="A394" s="24" t="s">
        <v>1103</v>
      </c>
      <c r="B394" s="25">
        <v>2012</v>
      </c>
      <c r="C394" s="25" t="s">
        <v>2462</v>
      </c>
      <c r="D394" s="25">
        <v>128</v>
      </c>
      <c r="E394" s="25">
        <v>6.3</v>
      </c>
      <c r="F394" s="25" t="str" cm="1">
        <f t="array" ref="F3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4" s="26">
        <v>0.26</v>
      </c>
      <c r="H394" s="27">
        <v>13589</v>
      </c>
    </row>
    <row r="395" spans="1:8" ht="18" x14ac:dyDescent="0.25">
      <c r="A395" s="24" t="s">
        <v>1122</v>
      </c>
      <c r="B395" s="25">
        <v>2012</v>
      </c>
      <c r="C395" s="25" t="s">
        <v>2464</v>
      </c>
      <c r="D395" s="25">
        <v>86</v>
      </c>
      <c r="E395" s="25">
        <v>7.4</v>
      </c>
      <c r="F395" s="25" t="str" cm="1">
        <f t="array" ref="F3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5" s="26">
        <v>4.0599999999999996</v>
      </c>
      <c r="H395" s="27">
        <v>91435</v>
      </c>
    </row>
    <row r="396" spans="1:8" ht="18" x14ac:dyDescent="0.25">
      <c r="A396" s="24" t="s">
        <v>2071</v>
      </c>
      <c r="B396" s="25">
        <v>2012</v>
      </c>
      <c r="C396" s="25" t="s">
        <v>2462</v>
      </c>
      <c r="D396" s="25">
        <v>99</v>
      </c>
      <c r="E396" s="25">
        <v>7.6</v>
      </c>
      <c r="F396" s="25" t="str" cm="1">
        <f t="array" ref="F3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6" s="26">
        <v>0.03</v>
      </c>
      <c r="H396" s="27">
        <v>13655</v>
      </c>
    </row>
    <row r="397" spans="1:8" ht="18" x14ac:dyDescent="0.25">
      <c r="A397" s="24" t="s">
        <v>1399</v>
      </c>
      <c r="B397" s="25">
        <v>2012</v>
      </c>
      <c r="C397" s="25" t="s">
        <v>2462</v>
      </c>
      <c r="D397" s="25">
        <v>85</v>
      </c>
      <c r="E397" s="25">
        <v>7</v>
      </c>
      <c r="F397" s="25" t="str" cm="1">
        <f t="array" ref="F3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7" s="26">
        <v>2.46</v>
      </c>
      <c r="H397" s="27">
        <v>555</v>
      </c>
    </row>
    <row r="398" spans="1:8" ht="18" x14ac:dyDescent="0.25">
      <c r="A398" s="24" t="s">
        <v>1533</v>
      </c>
      <c r="B398" s="25">
        <v>2012</v>
      </c>
      <c r="C398" s="25" t="s">
        <v>2462</v>
      </c>
      <c r="D398" s="25">
        <v>89</v>
      </c>
      <c r="E398" s="25">
        <v>6.4</v>
      </c>
      <c r="F398" s="25" t="str" cm="1">
        <f t="array" ref="F3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8" s="26">
        <v>0.02</v>
      </c>
      <c r="H398" s="27">
        <v>3476</v>
      </c>
    </row>
    <row r="399" spans="1:8" ht="18" x14ac:dyDescent="0.25">
      <c r="A399" s="24" t="s">
        <v>1537</v>
      </c>
      <c r="B399" s="25">
        <v>2012</v>
      </c>
      <c r="C399" s="25" t="s">
        <v>2462</v>
      </c>
      <c r="D399" s="25">
        <v>90</v>
      </c>
      <c r="E399" s="25">
        <v>7.6</v>
      </c>
      <c r="F399" s="25" t="str" cm="1">
        <f t="array" ref="F3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399" s="26">
        <v>2.46</v>
      </c>
      <c r="H399" s="27">
        <v>853</v>
      </c>
    </row>
    <row r="400" spans="1:8" ht="18" x14ac:dyDescent="0.25">
      <c r="A400" s="24" t="s">
        <v>1628</v>
      </c>
      <c r="B400" s="25">
        <v>2012</v>
      </c>
      <c r="C400" s="25" t="s">
        <v>2462</v>
      </c>
      <c r="D400" s="25">
        <v>105</v>
      </c>
      <c r="E400" s="25">
        <v>5.2</v>
      </c>
      <c r="F400" s="25" t="str" cm="1">
        <f t="array" ref="F4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0" s="26">
        <v>2.46</v>
      </c>
      <c r="H400" s="27">
        <v>1806</v>
      </c>
    </row>
    <row r="401" spans="1:8" ht="18" x14ac:dyDescent="0.25">
      <c r="A401" s="24" t="s">
        <v>2072</v>
      </c>
      <c r="B401" s="25">
        <v>2012</v>
      </c>
      <c r="C401" s="25" t="s">
        <v>2463</v>
      </c>
      <c r="D401" s="25">
        <v>91</v>
      </c>
      <c r="E401" s="25">
        <v>6.7</v>
      </c>
      <c r="F401" s="25" t="str" cm="1">
        <f t="array" ref="F4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1" s="26">
        <v>12.5</v>
      </c>
      <c r="H401" s="27">
        <v>8184</v>
      </c>
    </row>
    <row r="402" spans="1:8" ht="18" x14ac:dyDescent="0.25">
      <c r="A402" s="24" t="s">
        <v>17</v>
      </c>
      <c r="B402" s="25">
        <v>2013</v>
      </c>
      <c r="C402" s="25" t="s">
        <v>2462</v>
      </c>
      <c r="D402" s="25">
        <v>22</v>
      </c>
      <c r="E402" s="25">
        <v>5.7</v>
      </c>
      <c r="F402" s="25" t="str" cm="1">
        <f t="array" ref="F4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2" s="26">
        <v>2.46</v>
      </c>
      <c r="H402" s="27">
        <v>3947</v>
      </c>
    </row>
    <row r="403" spans="1:8" ht="18" x14ac:dyDescent="0.25">
      <c r="A403" s="24" t="s">
        <v>19</v>
      </c>
      <c r="B403" s="25">
        <v>2013</v>
      </c>
      <c r="C403" s="25" t="s">
        <v>2462</v>
      </c>
      <c r="D403" s="25">
        <v>60</v>
      </c>
      <c r="E403" s="25">
        <v>6.6</v>
      </c>
      <c r="F403" s="25" t="str" cm="1">
        <f t="array" ref="F4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3" s="26">
        <v>2.46</v>
      </c>
      <c r="H403" s="27">
        <v>3829</v>
      </c>
    </row>
    <row r="404" spans="1:8" ht="18" x14ac:dyDescent="0.25">
      <c r="A404" s="24" t="s">
        <v>93</v>
      </c>
      <c r="B404" s="25">
        <v>2013</v>
      </c>
      <c r="C404" s="25" t="s">
        <v>2462</v>
      </c>
      <c r="D404" s="25">
        <v>113</v>
      </c>
      <c r="E404" s="25">
        <v>6.7</v>
      </c>
      <c r="F404" s="25" t="str" cm="1">
        <f t="array" ref="F4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4" s="26">
        <v>46</v>
      </c>
      <c r="H404" s="27">
        <v>220922</v>
      </c>
    </row>
    <row r="405" spans="1:8" ht="18" x14ac:dyDescent="0.25">
      <c r="A405" s="24" t="s">
        <v>112</v>
      </c>
      <c r="B405" s="25">
        <v>2013</v>
      </c>
      <c r="C405" s="25" t="s">
        <v>2462</v>
      </c>
      <c r="D405" s="25">
        <v>100</v>
      </c>
      <c r="E405" s="25">
        <v>6.2</v>
      </c>
      <c r="F405" s="25" t="str" cm="1">
        <f t="array" ref="F4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5" s="26">
        <v>71.63</v>
      </c>
      <c r="H405" s="27">
        <v>189272</v>
      </c>
    </row>
    <row r="406" spans="1:8" ht="18" x14ac:dyDescent="0.25">
      <c r="A406" s="24" t="s">
        <v>119</v>
      </c>
      <c r="B406" s="25">
        <v>2013</v>
      </c>
      <c r="C406" s="25" t="s">
        <v>2463</v>
      </c>
      <c r="D406" s="25">
        <v>106</v>
      </c>
      <c r="E406" s="25">
        <v>7.1</v>
      </c>
      <c r="F406" s="25" t="str" cm="1">
        <f t="array" ref="F4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6" s="26">
        <v>32.17</v>
      </c>
      <c r="H406" s="27">
        <v>195383</v>
      </c>
    </row>
    <row r="407" spans="1:8" ht="18" x14ac:dyDescent="0.25">
      <c r="A407" s="24" t="s">
        <v>150</v>
      </c>
      <c r="B407" s="25">
        <v>2013</v>
      </c>
      <c r="C407" s="25" t="s">
        <v>2462</v>
      </c>
      <c r="D407" s="25">
        <v>104</v>
      </c>
      <c r="E407" s="25">
        <v>5.0999999999999996</v>
      </c>
      <c r="F407" s="25" t="str" cm="1">
        <f t="array" ref="F4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7" s="26">
        <v>2.46</v>
      </c>
      <c r="H407" s="27">
        <v>4904</v>
      </c>
    </row>
    <row r="408" spans="1:8" ht="18" x14ac:dyDescent="0.25">
      <c r="A408" s="24" t="s">
        <v>153</v>
      </c>
      <c r="B408" s="25">
        <v>2013</v>
      </c>
      <c r="C408" s="25" t="s">
        <v>2462</v>
      </c>
      <c r="D408" s="25">
        <v>97</v>
      </c>
      <c r="E408" s="25">
        <v>6.3</v>
      </c>
      <c r="F408" s="25" t="str" cm="1">
        <f t="array" ref="F4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8" s="26">
        <v>17.41</v>
      </c>
      <c r="H408" s="27">
        <v>78813</v>
      </c>
    </row>
    <row r="409" spans="1:8" ht="18" x14ac:dyDescent="0.25">
      <c r="A409" s="24" t="s">
        <v>154</v>
      </c>
      <c r="B409" s="25">
        <v>2013</v>
      </c>
      <c r="C409" s="25" t="s">
        <v>2462</v>
      </c>
      <c r="D409" s="25">
        <v>109</v>
      </c>
      <c r="E409" s="25">
        <v>6.1</v>
      </c>
      <c r="F409" s="25" t="str" cm="1">
        <f t="array" ref="F4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09" s="26">
        <v>19.7</v>
      </c>
      <c r="H409" s="27">
        <v>82711</v>
      </c>
    </row>
    <row r="410" spans="1:8" ht="18" x14ac:dyDescent="0.25">
      <c r="A410" s="24" t="s">
        <v>155</v>
      </c>
      <c r="B410" s="25">
        <v>2013</v>
      </c>
      <c r="C410" s="25" t="s">
        <v>2462</v>
      </c>
      <c r="D410" s="25">
        <v>89</v>
      </c>
      <c r="E410" s="25">
        <v>5.6</v>
      </c>
      <c r="F410" s="25" t="str" cm="1">
        <f t="array" ref="F4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0" s="26">
        <v>2.46</v>
      </c>
      <c r="H410" s="27">
        <v>20680</v>
      </c>
    </row>
    <row r="411" spans="1:8" ht="18" x14ac:dyDescent="0.25">
      <c r="A411" s="24" t="s">
        <v>156</v>
      </c>
      <c r="B411" s="25">
        <v>2013</v>
      </c>
      <c r="C411" s="25" t="s">
        <v>2462</v>
      </c>
      <c r="D411" s="25">
        <v>124</v>
      </c>
      <c r="E411" s="25">
        <v>7</v>
      </c>
      <c r="F411" s="25" t="str" cm="1">
        <f t="array" ref="F4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1" s="26">
        <v>89.02</v>
      </c>
      <c r="H411" s="27">
        <v>545192</v>
      </c>
    </row>
    <row r="412" spans="1:8" ht="18" x14ac:dyDescent="0.25">
      <c r="A412" s="24" t="s">
        <v>38</v>
      </c>
      <c r="B412" s="25">
        <v>2013</v>
      </c>
      <c r="C412" s="25" t="s">
        <v>2462</v>
      </c>
      <c r="D412" s="25">
        <v>125</v>
      </c>
      <c r="E412" s="25">
        <v>5.8</v>
      </c>
      <c r="F412" s="25" t="str" cm="1">
        <f t="array" ref="F4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2" s="26">
        <v>26.63</v>
      </c>
      <c r="H412" s="27">
        <v>117722</v>
      </c>
    </row>
    <row r="413" spans="1:8" ht="18" x14ac:dyDescent="0.25">
      <c r="A413" s="24" t="s">
        <v>157</v>
      </c>
      <c r="B413" s="25">
        <v>2013</v>
      </c>
      <c r="C413" s="25" t="s">
        <v>2462</v>
      </c>
      <c r="D413" s="25">
        <v>130</v>
      </c>
      <c r="E413" s="25">
        <v>7.1</v>
      </c>
      <c r="F413" s="25" t="str" cm="1">
        <f t="array" ref="F4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3" s="26">
        <v>409.01</v>
      </c>
      <c r="H413" s="27">
        <v>884835</v>
      </c>
    </row>
    <row r="414" spans="1:8" ht="18" x14ac:dyDescent="0.25">
      <c r="A414" s="24" t="s">
        <v>159</v>
      </c>
      <c r="B414" s="25">
        <v>2013</v>
      </c>
      <c r="C414" s="25" t="s">
        <v>2462</v>
      </c>
      <c r="D414" s="25">
        <v>88</v>
      </c>
      <c r="E414" s="25">
        <v>6.1</v>
      </c>
      <c r="F414" s="25" t="str" cm="1">
        <f t="array" ref="F4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4" s="26">
        <v>55.7</v>
      </c>
      <c r="H414" s="27">
        <v>214163</v>
      </c>
    </row>
    <row r="415" spans="1:8" ht="18" x14ac:dyDescent="0.25">
      <c r="A415" s="24" t="s">
        <v>160</v>
      </c>
      <c r="B415" s="25">
        <v>2013</v>
      </c>
      <c r="C415" s="25" t="s">
        <v>2462</v>
      </c>
      <c r="D415" s="25">
        <v>115</v>
      </c>
      <c r="E415" s="25">
        <v>6.6</v>
      </c>
      <c r="F415" s="25" t="str" cm="1">
        <f t="array" ref="F4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5" s="26">
        <v>71.349999999999994</v>
      </c>
      <c r="H415" s="27">
        <v>114866</v>
      </c>
    </row>
    <row r="416" spans="1:8" ht="18" x14ac:dyDescent="0.25">
      <c r="A416" s="24" t="s">
        <v>161</v>
      </c>
      <c r="B416" s="25">
        <v>2013</v>
      </c>
      <c r="C416" s="25" t="s">
        <v>2462</v>
      </c>
      <c r="D416" s="25">
        <v>118</v>
      </c>
      <c r="E416" s="25">
        <v>6.2</v>
      </c>
      <c r="F416" s="25" t="str" cm="1">
        <f t="array" ref="F4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6" s="26">
        <v>17.62</v>
      </c>
      <c r="H416" s="27">
        <v>127783</v>
      </c>
    </row>
    <row r="417" spans="1:8" ht="18" x14ac:dyDescent="0.25">
      <c r="A417" s="24" t="s">
        <v>162</v>
      </c>
      <c r="B417" s="25">
        <v>2013</v>
      </c>
      <c r="C417" s="25" t="s">
        <v>2462</v>
      </c>
      <c r="D417" s="25">
        <v>93</v>
      </c>
      <c r="E417" s="25">
        <v>5.8</v>
      </c>
      <c r="F417" s="25" t="str" cm="1">
        <f t="array" ref="F4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7" s="26">
        <v>25.68</v>
      </c>
      <c r="H417" s="27">
        <v>76650</v>
      </c>
    </row>
    <row r="418" spans="1:8" ht="18" x14ac:dyDescent="0.25">
      <c r="A418" s="24" t="s">
        <v>164</v>
      </c>
      <c r="B418" s="25">
        <v>2013</v>
      </c>
      <c r="C418" s="25" t="s">
        <v>2462</v>
      </c>
      <c r="D418" s="25">
        <v>110</v>
      </c>
      <c r="E418" s="25">
        <v>6.2</v>
      </c>
      <c r="F418" s="25" t="str" cm="1">
        <f t="array" ref="F4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8" s="26">
        <v>2.46</v>
      </c>
      <c r="H418" s="27">
        <v>1791</v>
      </c>
    </row>
    <row r="419" spans="1:8" ht="18" x14ac:dyDescent="0.25">
      <c r="A419" s="24" t="s">
        <v>2073</v>
      </c>
      <c r="B419" s="25">
        <v>2013</v>
      </c>
      <c r="C419" s="25" t="s">
        <v>2462</v>
      </c>
      <c r="D419" s="25">
        <v>104</v>
      </c>
      <c r="E419" s="25">
        <v>6.6</v>
      </c>
      <c r="F419" s="25" t="str" cm="1">
        <f t="array" ref="F4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19" s="26">
        <v>0.06</v>
      </c>
      <c r="H419" s="27">
        <v>3114</v>
      </c>
    </row>
    <row r="420" spans="1:8" ht="18" x14ac:dyDescent="0.25">
      <c r="A420" s="24" t="s">
        <v>2074</v>
      </c>
      <c r="B420" s="25">
        <v>2013</v>
      </c>
      <c r="C420" s="25" t="s">
        <v>2462</v>
      </c>
      <c r="D420" s="25">
        <v>97</v>
      </c>
      <c r="E420" s="25">
        <v>5.7</v>
      </c>
      <c r="F420" s="25" t="str" cm="1">
        <f t="array" ref="F4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0" s="26">
        <v>0.03</v>
      </c>
      <c r="H420" s="27">
        <v>38878</v>
      </c>
    </row>
    <row r="421" spans="1:8" ht="18" x14ac:dyDescent="0.25">
      <c r="A421" s="24" t="s">
        <v>175</v>
      </c>
      <c r="B421" s="25">
        <v>2013</v>
      </c>
      <c r="C421" s="25" t="s">
        <v>2462</v>
      </c>
      <c r="D421" s="25">
        <v>118</v>
      </c>
      <c r="E421" s="25">
        <v>6.4</v>
      </c>
      <c r="F421" s="25" t="str" cm="1">
        <f t="array" ref="F4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1" s="26">
        <v>10.88</v>
      </c>
      <c r="H421" s="27">
        <v>69619</v>
      </c>
    </row>
    <row r="422" spans="1:8" ht="18" x14ac:dyDescent="0.25">
      <c r="A422" s="24" t="s">
        <v>176</v>
      </c>
      <c r="B422" s="25">
        <v>2013</v>
      </c>
      <c r="C422" s="25" t="s">
        <v>2462</v>
      </c>
      <c r="D422" s="25">
        <v>85</v>
      </c>
      <c r="E422" s="25">
        <v>5.7</v>
      </c>
      <c r="F422" s="25" t="str" cm="1">
        <f t="array" ref="F4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2" s="26">
        <v>64.47</v>
      </c>
      <c r="H422" s="27">
        <v>235921</v>
      </c>
    </row>
    <row r="423" spans="1:8" ht="18" x14ac:dyDescent="0.25">
      <c r="A423" s="24" t="s">
        <v>179</v>
      </c>
      <c r="B423" s="25">
        <v>2013</v>
      </c>
      <c r="C423" s="25" t="s">
        <v>2462</v>
      </c>
      <c r="D423" s="25">
        <v>112</v>
      </c>
      <c r="E423" s="25">
        <v>5.9</v>
      </c>
      <c r="F423" s="25" t="str" cm="1">
        <f t="array" ref="F4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3" s="26">
        <v>0</v>
      </c>
      <c r="H423" s="27">
        <v>11895</v>
      </c>
    </row>
    <row r="424" spans="1:8" ht="18" x14ac:dyDescent="0.25">
      <c r="A424" s="24" t="s">
        <v>180</v>
      </c>
      <c r="B424" s="25">
        <v>2013</v>
      </c>
      <c r="C424" s="25" t="s">
        <v>2463</v>
      </c>
      <c r="D424" s="25">
        <v>95</v>
      </c>
      <c r="E424" s="25">
        <v>5.3</v>
      </c>
      <c r="F424" s="25" t="str" cm="1">
        <f t="array" ref="F4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4" s="26">
        <v>2.46</v>
      </c>
      <c r="H424" s="27">
        <v>46683</v>
      </c>
    </row>
    <row r="425" spans="1:8" ht="18" x14ac:dyDescent="0.25">
      <c r="A425" s="24" t="s">
        <v>181</v>
      </c>
      <c r="B425" s="25">
        <v>2013</v>
      </c>
      <c r="C425" s="25" t="s">
        <v>2462</v>
      </c>
      <c r="D425" s="25">
        <v>98</v>
      </c>
      <c r="E425" s="25">
        <v>7.2</v>
      </c>
      <c r="F425" s="25" t="str" cm="1">
        <f t="array" ref="F4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5" s="26">
        <v>187.17</v>
      </c>
      <c r="H425" s="27">
        <v>227354</v>
      </c>
    </row>
    <row r="426" spans="1:8" ht="18" x14ac:dyDescent="0.25">
      <c r="A426" s="24" t="s">
        <v>184</v>
      </c>
      <c r="B426" s="25">
        <v>2013</v>
      </c>
      <c r="C426" s="25" t="s">
        <v>2462</v>
      </c>
      <c r="D426" s="25">
        <v>96</v>
      </c>
      <c r="E426" s="25">
        <v>6.5</v>
      </c>
      <c r="F426" s="25" t="str" cm="1">
        <f t="array" ref="F4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6" s="26">
        <v>0.44</v>
      </c>
      <c r="H426" s="27">
        <v>34639</v>
      </c>
    </row>
    <row r="427" spans="1:8" ht="18" x14ac:dyDescent="0.25">
      <c r="A427" s="24" t="s">
        <v>185</v>
      </c>
      <c r="B427" s="25">
        <v>2013</v>
      </c>
      <c r="C427" s="25" t="s">
        <v>2462</v>
      </c>
      <c r="D427" s="25">
        <v>88</v>
      </c>
      <c r="E427" s="25">
        <v>5.3</v>
      </c>
      <c r="F427" s="25" t="str" cm="1">
        <f t="array" ref="F4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7" s="26">
        <v>0.04</v>
      </c>
      <c r="H427" s="27">
        <v>3842</v>
      </c>
    </row>
    <row r="428" spans="1:8" ht="18" x14ac:dyDescent="0.25">
      <c r="A428" s="24" t="s">
        <v>188</v>
      </c>
      <c r="B428" s="25">
        <v>2013</v>
      </c>
      <c r="C428" s="25" t="s">
        <v>2462</v>
      </c>
      <c r="D428" s="25">
        <v>108</v>
      </c>
      <c r="E428" s="25">
        <v>5.7</v>
      </c>
      <c r="F428" s="25" t="str" cm="1">
        <f t="array" ref="F4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8" s="26">
        <v>18</v>
      </c>
      <c r="H428" s="27">
        <v>35935</v>
      </c>
    </row>
    <row r="429" spans="1:8" ht="18" x14ac:dyDescent="0.25">
      <c r="A429" s="24" t="s">
        <v>189</v>
      </c>
      <c r="B429" s="25">
        <v>2013</v>
      </c>
      <c r="C429" s="25" t="s">
        <v>2462</v>
      </c>
      <c r="D429" s="25">
        <v>104</v>
      </c>
      <c r="E429" s="25">
        <v>7.2</v>
      </c>
      <c r="F429" s="25" t="str" cm="1">
        <f t="array" ref="F4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29" s="26">
        <v>268.49</v>
      </c>
      <c r="H429" s="27">
        <v>380814</v>
      </c>
    </row>
    <row r="430" spans="1:8" ht="18" x14ac:dyDescent="0.25">
      <c r="A430" s="24" t="s">
        <v>190</v>
      </c>
      <c r="B430" s="25">
        <v>2013</v>
      </c>
      <c r="C430" s="25" t="s">
        <v>2462</v>
      </c>
      <c r="D430" s="25">
        <v>117</v>
      </c>
      <c r="E430" s="25">
        <v>6.6</v>
      </c>
      <c r="F430" s="25" t="str" cm="1">
        <f t="array" ref="F4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0" s="26">
        <v>159.58000000000001</v>
      </c>
      <c r="H430" s="27">
        <v>179148</v>
      </c>
    </row>
    <row r="431" spans="1:8" ht="18" x14ac:dyDescent="0.25">
      <c r="A431" s="24" t="s">
        <v>191</v>
      </c>
      <c r="B431" s="25">
        <v>2013</v>
      </c>
      <c r="C431" s="25" t="s">
        <v>2462</v>
      </c>
      <c r="D431" s="25">
        <v>90</v>
      </c>
      <c r="E431" s="25">
        <v>5.7</v>
      </c>
      <c r="F431" s="25" t="str" cm="1">
        <f t="array" ref="F4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1" s="26">
        <v>0.78</v>
      </c>
      <c r="H431" s="27">
        <v>116647</v>
      </c>
    </row>
    <row r="432" spans="1:8" ht="18" x14ac:dyDescent="0.25">
      <c r="A432" s="24" t="s">
        <v>192</v>
      </c>
      <c r="B432" s="25">
        <v>2013</v>
      </c>
      <c r="C432" s="25" t="s">
        <v>2462</v>
      </c>
      <c r="D432" s="25">
        <v>93</v>
      </c>
      <c r="E432" s="25">
        <v>6.2</v>
      </c>
      <c r="F432" s="25" t="str" cm="1">
        <f t="array" ref="F4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2" s="26">
        <v>0.36</v>
      </c>
      <c r="H432" s="27">
        <v>42263</v>
      </c>
    </row>
    <row r="433" spans="1:8" ht="18" x14ac:dyDescent="0.25">
      <c r="A433" s="24" t="s">
        <v>194</v>
      </c>
      <c r="B433" s="25">
        <v>2013</v>
      </c>
      <c r="C433" s="25" t="s">
        <v>2462</v>
      </c>
      <c r="D433" s="25">
        <v>143</v>
      </c>
      <c r="E433" s="25">
        <v>7.2</v>
      </c>
      <c r="F433" s="25" t="str" cm="1">
        <f t="array" ref="F4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3" s="26">
        <v>144.84</v>
      </c>
      <c r="H433" s="27">
        <v>580687</v>
      </c>
    </row>
    <row r="434" spans="1:8" ht="18" x14ac:dyDescent="0.25">
      <c r="A434" s="24" t="s">
        <v>195</v>
      </c>
      <c r="B434" s="25">
        <v>2013</v>
      </c>
      <c r="C434" s="25" t="s">
        <v>2462</v>
      </c>
      <c r="D434" s="25">
        <v>90</v>
      </c>
      <c r="E434" s="25">
        <v>5.6</v>
      </c>
      <c r="F434" s="25" t="str" cm="1">
        <f t="array" ref="F4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4" s="26">
        <v>21.78</v>
      </c>
      <c r="H434" s="27">
        <v>51421</v>
      </c>
    </row>
    <row r="435" spans="1:8" ht="18" x14ac:dyDescent="0.25">
      <c r="A435" s="24" t="s">
        <v>196</v>
      </c>
      <c r="B435" s="25">
        <v>2013</v>
      </c>
      <c r="C435" s="25" t="s">
        <v>2462</v>
      </c>
      <c r="D435" s="25">
        <v>129</v>
      </c>
      <c r="E435" s="25">
        <v>6.4</v>
      </c>
      <c r="F435" s="25" t="str" cm="1">
        <f t="array" ref="F4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5" s="26">
        <v>49.88</v>
      </c>
      <c r="H435" s="27">
        <v>226373</v>
      </c>
    </row>
    <row r="436" spans="1:8" ht="18" x14ac:dyDescent="0.25">
      <c r="A436" s="24" t="s">
        <v>199</v>
      </c>
      <c r="B436" s="25">
        <v>2013</v>
      </c>
      <c r="C436" s="25" t="s">
        <v>2462</v>
      </c>
      <c r="D436" s="25">
        <v>124</v>
      </c>
      <c r="E436" s="25">
        <v>6.1</v>
      </c>
      <c r="F436" s="25" t="str" cm="1">
        <f t="array" ref="F4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6" s="26">
        <v>19.45</v>
      </c>
      <c r="H436" s="27">
        <v>90333</v>
      </c>
    </row>
    <row r="437" spans="1:8" ht="18" x14ac:dyDescent="0.25">
      <c r="A437" s="24" t="s">
        <v>2075</v>
      </c>
      <c r="B437" s="25">
        <v>2013</v>
      </c>
      <c r="C437" s="25" t="s">
        <v>2463</v>
      </c>
      <c r="D437" s="25">
        <v>101</v>
      </c>
      <c r="E437" s="25">
        <v>6</v>
      </c>
      <c r="F437" s="25" t="str" cm="1">
        <f t="array" ref="F4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7" s="26">
        <v>0.02</v>
      </c>
      <c r="H437" s="27">
        <v>7265</v>
      </c>
    </row>
    <row r="438" spans="1:8" ht="18" x14ac:dyDescent="0.25">
      <c r="A438" s="24" t="s">
        <v>201</v>
      </c>
      <c r="B438" s="25">
        <v>2013</v>
      </c>
      <c r="C438" s="25" t="s">
        <v>2462</v>
      </c>
      <c r="D438" s="25">
        <v>96</v>
      </c>
      <c r="E438" s="25">
        <v>5.6</v>
      </c>
      <c r="F438" s="25" t="str" cm="1">
        <f t="array" ref="F4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8" s="26">
        <v>33.619999999999997</v>
      </c>
      <c r="H438" s="27">
        <v>141557</v>
      </c>
    </row>
    <row r="439" spans="1:8" ht="18" x14ac:dyDescent="0.25">
      <c r="A439" s="24" t="s">
        <v>207</v>
      </c>
      <c r="B439" s="25">
        <v>2013</v>
      </c>
      <c r="C439" s="25" t="s">
        <v>2462</v>
      </c>
      <c r="D439" s="25">
        <v>101</v>
      </c>
      <c r="E439" s="25">
        <v>6.9</v>
      </c>
      <c r="F439" s="25" t="str" cm="1">
        <f t="array" ref="F4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39" s="26">
        <v>2.3199999999999998</v>
      </c>
      <c r="H439" s="27">
        <v>116844</v>
      </c>
    </row>
    <row r="440" spans="1:8" ht="18" x14ac:dyDescent="0.25">
      <c r="A440" s="24" t="s">
        <v>210</v>
      </c>
      <c r="B440" s="25">
        <v>2013</v>
      </c>
      <c r="C440" s="25" t="s">
        <v>2462</v>
      </c>
      <c r="D440" s="25">
        <v>109</v>
      </c>
      <c r="E440" s="25">
        <v>6.6</v>
      </c>
      <c r="F440" s="25" t="str" cm="1">
        <f t="array" ref="F4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0" s="26">
        <v>93.05</v>
      </c>
      <c r="H440" s="27">
        <v>464416</v>
      </c>
    </row>
    <row r="441" spans="1:8" ht="18" x14ac:dyDescent="0.25">
      <c r="A441" s="24" t="s">
        <v>211</v>
      </c>
      <c r="B441" s="25">
        <v>2013</v>
      </c>
      <c r="C441" s="25" t="s">
        <v>2462</v>
      </c>
      <c r="D441" s="25">
        <v>116</v>
      </c>
      <c r="E441" s="25">
        <v>7</v>
      </c>
      <c r="F441" s="25" t="str" cm="1">
        <f t="array" ref="F4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1" s="26">
        <v>202.36</v>
      </c>
      <c r="H441" s="27">
        <v>703455</v>
      </c>
    </row>
    <row r="442" spans="1:8" ht="18" x14ac:dyDescent="0.25">
      <c r="A442" s="24" t="s">
        <v>212</v>
      </c>
      <c r="B442" s="25">
        <v>2013</v>
      </c>
      <c r="C442" s="25" t="s">
        <v>2462</v>
      </c>
      <c r="D442" s="25">
        <v>100</v>
      </c>
      <c r="E442" s="25">
        <v>4.8</v>
      </c>
      <c r="F442" s="25" t="str" cm="1">
        <f t="array" ref="F4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2" s="26">
        <v>60.52</v>
      </c>
      <c r="H442" s="27">
        <v>206990</v>
      </c>
    </row>
    <row r="443" spans="1:8" ht="18" x14ac:dyDescent="0.25">
      <c r="A443" s="24" t="s">
        <v>213</v>
      </c>
      <c r="B443" s="25">
        <v>2013</v>
      </c>
      <c r="C443" s="25" t="s">
        <v>2462</v>
      </c>
      <c r="D443" s="25">
        <v>115</v>
      </c>
      <c r="E443" s="25">
        <v>7.2</v>
      </c>
      <c r="F443" s="25" t="str" cm="1">
        <f t="array" ref="F4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3" s="26">
        <v>117.72</v>
      </c>
      <c r="H443" s="27">
        <v>692563</v>
      </c>
    </row>
    <row r="444" spans="1:8" ht="18" x14ac:dyDescent="0.25">
      <c r="A444" s="24" t="s">
        <v>214</v>
      </c>
      <c r="B444" s="25">
        <v>2013</v>
      </c>
      <c r="C444" s="25" t="s">
        <v>2462</v>
      </c>
      <c r="D444" s="25">
        <v>105</v>
      </c>
      <c r="E444" s="25">
        <v>6.4</v>
      </c>
      <c r="F444" s="25" t="str" cm="1">
        <f t="array" ref="F4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4" s="26">
        <v>2.46</v>
      </c>
      <c r="H444" s="27">
        <v>66177</v>
      </c>
    </row>
    <row r="445" spans="1:8" ht="18" x14ac:dyDescent="0.25">
      <c r="A445" s="24" t="s">
        <v>215</v>
      </c>
      <c r="B445" s="25">
        <v>2013</v>
      </c>
      <c r="C445" s="25" t="s">
        <v>2462</v>
      </c>
      <c r="D445" s="25">
        <v>116</v>
      </c>
      <c r="E445" s="25">
        <v>6.8</v>
      </c>
      <c r="F445" s="25" t="str" cm="1">
        <f t="array" ref="F4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5" s="26">
        <v>2.27</v>
      </c>
      <c r="H445" s="27">
        <v>51849</v>
      </c>
    </row>
    <row r="446" spans="1:8" ht="18" x14ac:dyDescent="0.25">
      <c r="A446" s="24" t="s">
        <v>2076</v>
      </c>
      <c r="B446" s="25">
        <v>2013</v>
      </c>
      <c r="C446" s="25" t="s">
        <v>2462</v>
      </c>
      <c r="D446" s="25">
        <v>130</v>
      </c>
      <c r="E446" s="25">
        <v>5.8</v>
      </c>
      <c r="F446" s="25" t="str" cm="1">
        <f t="array" ref="F4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6" s="26">
        <v>31.17</v>
      </c>
      <c r="H446" s="27">
        <v>137709</v>
      </c>
    </row>
    <row r="447" spans="1:8" ht="18" x14ac:dyDescent="0.25">
      <c r="A447" s="24" t="s">
        <v>2077</v>
      </c>
      <c r="B447" s="25">
        <v>2013</v>
      </c>
      <c r="C447" s="25" t="s">
        <v>2462</v>
      </c>
      <c r="D447" s="25">
        <v>96</v>
      </c>
      <c r="E447" s="25">
        <v>6.4</v>
      </c>
      <c r="F447" s="25" t="str" cm="1">
        <f t="array" ref="F4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7" s="26">
        <v>0.39</v>
      </c>
      <c r="H447" s="27">
        <v>22537</v>
      </c>
    </row>
    <row r="448" spans="1:8" ht="18" x14ac:dyDescent="0.25">
      <c r="A448" s="24" t="s">
        <v>2078</v>
      </c>
      <c r="B448" s="25">
        <v>2013</v>
      </c>
      <c r="C448" s="25" t="s">
        <v>2462</v>
      </c>
      <c r="D448" s="25">
        <v>98</v>
      </c>
      <c r="E448" s="25">
        <v>5.2</v>
      </c>
      <c r="F448" s="25" t="str" cm="1">
        <f t="array" ref="F4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8" s="26">
        <v>67.349999999999994</v>
      </c>
      <c r="H448" s="27">
        <v>212742</v>
      </c>
    </row>
    <row r="449" spans="1:8" ht="18" x14ac:dyDescent="0.25">
      <c r="A449" s="24" t="s">
        <v>221</v>
      </c>
      <c r="B449" s="25">
        <v>2013</v>
      </c>
      <c r="C449" s="25" t="s">
        <v>2462</v>
      </c>
      <c r="D449" s="25">
        <v>131</v>
      </c>
      <c r="E449" s="25">
        <v>6.9</v>
      </c>
      <c r="F449" s="25" t="str" cm="1">
        <f t="array" ref="F4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49" s="26">
        <v>101.8</v>
      </c>
      <c r="H449" s="27">
        <v>521597</v>
      </c>
    </row>
    <row r="450" spans="1:8" ht="18" x14ac:dyDescent="0.25">
      <c r="A450" s="24" t="s">
        <v>222</v>
      </c>
      <c r="B450" s="25">
        <v>2013</v>
      </c>
      <c r="C450" s="25" t="s">
        <v>2462</v>
      </c>
      <c r="D450" s="25">
        <v>128</v>
      </c>
      <c r="E450" s="25">
        <v>6</v>
      </c>
      <c r="F450" s="25" t="str" cm="1">
        <f t="array" ref="F4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0" s="26">
        <v>16.13</v>
      </c>
      <c r="H450" s="27">
        <v>101843</v>
      </c>
    </row>
    <row r="451" spans="1:8" ht="18" x14ac:dyDescent="0.25">
      <c r="A451" s="24" t="s">
        <v>224</v>
      </c>
      <c r="B451" s="25">
        <v>2013</v>
      </c>
      <c r="C451" s="25" t="s">
        <v>2462</v>
      </c>
      <c r="D451" s="25">
        <v>97</v>
      </c>
      <c r="E451" s="25">
        <v>6.4</v>
      </c>
      <c r="F451" s="25" t="str" cm="1">
        <f t="array" ref="F4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1" s="26">
        <v>0.13</v>
      </c>
      <c r="H451" s="27">
        <v>74378</v>
      </c>
    </row>
    <row r="452" spans="1:8" ht="18" x14ac:dyDescent="0.25">
      <c r="A452" s="24" t="s">
        <v>2079</v>
      </c>
      <c r="B452" s="25">
        <v>2013</v>
      </c>
      <c r="C452" s="25" t="s">
        <v>2462</v>
      </c>
      <c r="D452" s="25">
        <v>180</v>
      </c>
      <c r="E452" s="25">
        <v>7.7</v>
      </c>
      <c r="F452" s="25" t="str" cm="1">
        <f t="array" ref="F4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2" s="26">
        <v>2.2000000000000002</v>
      </c>
      <c r="H452" s="27">
        <v>160138</v>
      </c>
    </row>
    <row r="453" spans="1:8" ht="18" x14ac:dyDescent="0.25">
      <c r="A453" s="24" t="s">
        <v>226</v>
      </c>
      <c r="B453" s="25">
        <v>2013</v>
      </c>
      <c r="C453" s="25" t="s">
        <v>2462</v>
      </c>
      <c r="D453" s="25">
        <v>96</v>
      </c>
      <c r="E453" s="25">
        <v>5.6</v>
      </c>
      <c r="F453" s="25" t="str" cm="1">
        <f t="array" ref="F4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3" s="26">
        <v>0.04</v>
      </c>
      <c r="H453" s="27">
        <v>5769</v>
      </c>
    </row>
    <row r="454" spans="1:8" ht="18" x14ac:dyDescent="0.25">
      <c r="A454" s="24" t="s">
        <v>227</v>
      </c>
      <c r="B454" s="25">
        <v>2013</v>
      </c>
      <c r="C454" s="25" t="s">
        <v>2463</v>
      </c>
      <c r="D454" s="25">
        <v>96</v>
      </c>
      <c r="E454" s="25">
        <v>6.4</v>
      </c>
      <c r="F454" s="25" t="str" cm="1">
        <f t="array" ref="F4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4" s="26">
        <v>83.03</v>
      </c>
      <c r="H454" s="27">
        <v>107226</v>
      </c>
    </row>
    <row r="455" spans="1:8" ht="18" x14ac:dyDescent="0.25">
      <c r="A455" s="24" t="s">
        <v>228</v>
      </c>
      <c r="B455" s="25">
        <v>2013</v>
      </c>
      <c r="C455" s="25" t="s">
        <v>2464</v>
      </c>
      <c r="D455" s="25">
        <v>98</v>
      </c>
      <c r="E455" s="25">
        <v>5.6</v>
      </c>
      <c r="F455" s="25" t="str" cm="1">
        <f t="array" ref="F4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5" s="26">
        <v>2.46</v>
      </c>
      <c r="H455" s="27">
        <v>15112</v>
      </c>
    </row>
    <row r="456" spans="1:8" ht="18" x14ac:dyDescent="0.25">
      <c r="A456" s="24" t="s">
        <v>231</v>
      </c>
      <c r="B456" s="25">
        <v>2013</v>
      </c>
      <c r="C456" s="25" t="s">
        <v>2462</v>
      </c>
      <c r="D456" s="25">
        <v>90</v>
      </c>
      <c r="E456" s="25">
        <v>5.6</v>
      </c>
      <c r="F456" s="25" t="str" cm="1">
        <f t="array" ref="F4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6" s="26">
        <v>5.84</v>
      </c>
      <c r="H456" s="27">
        <v>90724</v>
      </c>
    </row>
    <row r="457" spans="1:8" ht="18" x14ac:dyDescent="0.25">
      <c r="A457" s="24" t="s">
        <v>232</v>
      </c>
      <c r="B457" s="25">
        <v>2013</v>
      </c>
      <c r="C457" s="25" t="s">
        <v>2463</v>
      </c>
      <c r="D457" s="25">
        <v>132</v>
      </c>
      <c r="E457" s="25">
        <v>7.7</v>
      </c>
      <c r="F457" s="25" t="str" cm="1">
        <f t="array" ref="F4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7" s="26">
        <v>228.78</v>
      </c>
      <c r="H457" s="27">
        <v>493469</v>
      </c>
    </row>
    <row r="458" spans="1:8" ht="18" x14ac:dyDescent="0.25">
      <c r="A458" s="24" t="s">
        <v>235</v>
      </c>
      <c r="B458" s="25">
        <v>2013</v>
      </c>
      <c r="C458" s="25" t="s">
        <v>2462</v>
      </c>
      <c r="D458" s="25">
        <v>93</v>
      </c>
      <c r="E458" s="25">
        <v>6.4</v>
      </c>
      <c r="F458" s="25" t="str" cm="1">
        <f t="array" ref="F4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8" s="26">
        <v>0.65</v>
      </c>
      <c r="H458" s="27">
        <v>17134</v>
      </c>
    </row>
    <row r="459" spans="1:8" ht="18" x14ac:dyDescent="0.25">
      <c r="A459" s="24" t="s">
        <v>237</v>
      </c>
      <c r="B459" s="25">
        <v>2013</v>
      </c>
      <c r="C459" s="25" t="s">
        <v>2463</v>
      </c>
      <c r="D459" s="25">
        <v>153</v>
      </c>
      <c r="E459" s="25">
        <v>8.1</v>
      </c>
      <c r="F459" s="25" t="str" cm="1">
        <f t="array" ref="F4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59" s="26">
        <v>61</v>
      </c>
      <c r="H459" s="27">
        <v>779283</v>
      </c>
    </row>
    <row r="460" spans="1:8" ht="18" x14ac:dyDescent="0.25">
      <c r="A460" s="24" t="s">
        <v>238</v>
      </c>
      <c r="B460" s="25">
        <v>2013</v>
      </c>
      <c r="C460" s="25" t="s">
        <v>2462</v>
      </c>
      <c r="D460" s="25">
        <v>90</v>
      </c>
      <c r="E460" s="25">
        <v>4.4000000000000004</v>
      </c>
      <c r="F460" s="25" t="str" cm="1">
        <f t="array" ref="F4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0" s="26">
        <v>10.49</v>
      </c>
      <c r="H460" s="27">
        <v>24988</v>
      </c>
    </row>
    <row r="461" spans="1:8" ht="18" x14ac:dyDescent="0.25">
      <c r="A461" s="24" t="s">
        <v>2080</v>
      </c>
      <c r="B461" s="25">
        <v>2013</v>
      </c>
      <c r="C461" s="25" t="s">
        <v>2462</v>
      </c>
      <c r="D461" s="25">
        <v>103</v>
      </c>
      <c r="E461" s="25">
        <v>6.3</v>
      </c>
      <c r="F461" s="25" t="str" cm="1">
        <f t="array" ref="F4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1" s="26">
        <v>0.01</v>
      </c>
      <c r="H461" s="27">
        <v>29443</v>
      </c>
    </row>
    <row r="462" spans="1:8" ht="18" x14ac:dyDescent="0.25">
      <c r="A462" s="24" t="s">
        <v>2081</v>
      </c>
      <c r="B462" s="25">
        <v>2013</v>
      </c>
      <c r="C462" s="25" t="s">
        <v>2462</v>
      </c>
      <c r="D462" s="25">
        <v>112</v>
      </c>
      <c r="E462" s="25">
        <v>7.4</v>
      </c>
      <c r="F462" s="25" t="str" cm="1">
        <f t="array" ref="F4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2" s="26">
        <v>0.09</v>
      </c>
      <c r="H462" s="27">
        <v>8739</v>
      </c>
    </row>
    <row r="463" spans="1:8" ht="18" x14ac:dyDescent="0.25">
      <c r="A463" s="24" t="s">
        <v>2082</v>
      </c>
      <c r="B463" s="25">
        <v>2013</v>
      </c>
      <c r="C463" s="25" t="s">
        <v>2462</v>
      </c>
      <c r="D463" s="25">
        <v>100</v>
      </c>
      <c r="E463" s="25">
        <v>5.6</v>
      </c>
      <c r="F463" s="25" t="str" cm="1">
        <f t="array" ref="F4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3" s="26">
        <v>2.46</v>
      </c>
      <c r="H463" s="27">
        <v>4242</v>
      </c>
    </row>
    <row r="464" spans="1:8" ht="18" x14ac:dyDescent="0.25">
      <c r="A464" s="24" t="s">
        <v>244</v>
      </c>
      <c r="B464" s="25">
        <v>2013</v>
      </c>
      <c r="C464" s="25" t="s">
        <v>2462</v>
      </c>
      <c r="D464" s="25">
        <v>112</v>
      </c>
      <c r="E464" s="25">
        <v>6.2</v>
      </c>
      <c r="F464" s="25" t="str" cm="1">
        <f t="array" ref="F4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4" s="26">
        <v>0.32</v>
      </c>
      <c r="H464" s="27">
        <v>36106</v>
      </c>
    </row>
    <row r="465" spans="1:8" ht="18" x14ac:dyDescent="0.25">
      <c r="A465" s="24" t="s">
        <v>2083</v>
      </c>
      <c r="B465" s="25">
        <v>2013</v>
      </c>
      <c r="C465" s="25" t="s">
        <v>2462</v>
      </c>
      <c r="D465" s="25">
        <v>111</v>
      </c>
      <c r="E465" s="25">
        <v>6.8</v>
      </c>
      <c r="F465" s="25" t="str" cm="1">
        <f t="array" ref="F4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5" s="26">
        <v>2.46</v>
      </c>
      <c r="H465" s="27">
        <v>20487</v>
      </c>
    </row>
    <row r="466" spans="1:8" ht="18" x14ac:dyDescent="0.25">
      <c r="A466" s="24" t="s">
        <v>2084</v>
      </c>
      <c r="B466" s="25">
        <v>2013</v>
      </c>
      <c r="C466" s="25" t="s">
        <v>2462</v>
      </c>
      <c r="D466" s="25">
        <v>116</v>
      </c>
      <c r="E466" s="25">
        <v>6.6</v>
      </c>
      <c r="F466" s="25" t="str" cm="1">
        <f t="array" ref="F4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6" s="26">
        <v>53.26</v>
      </c>
      <c r="H466" s="27">
        <v>178272</v>
      </c>
    </row>
    <row r="467" spans="1:8" ht="18" x14ac:dyDescent="0.25">
      <c r="A467" s="24" t="s">
        <v>251</v>
      </c>
      <c r="B467" s="25">
        <v>2013</v>
      </c>
      <c r="C467" s="25" t="s">
        <v>2462</v>
      </c>
      <c r="D467" s="25">
        <v>81</v>
      </c>
      <c r="E467" s="25">
        <v>5.7</v>
      </c>
      <c r="F467" s="25" t="str" cm="1">
        <f t="array" ref="F4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7" s="26">
        <v>0.03</v>
      </c>
      <c r="H467" s="27">
        <v>2083</v>
      </c>
    </row>
    <row r="468" spans="1:8" ht="18" x14ac:dyDescent="0.25">
      <c r="A468" s="24" t="s">
        <v>253</v>
      </c>
      <c r="B468" s="25">
        <v>2013</v>
      </c>
      <c r="C468" s="25" t="s">
        <v>2464</v>
      </c>
      <c r="D468" s="25">
        <v>84</v>
      </c>
      <c r="E468" s="25">
        <v>3.5</v>
      </c>
      <c r="F468" s="25" t="str" cm="1">
        <f t="array" ref="F4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8" s="26">
        <v>2.46</v>
      </c>
      <c r="H468" s="27">
        <v>4236</v>
      </c>
    </row>
    <row r="469" spans="1:8" ht="18" x14ac:dyDescent="0.25">
      <c r="A469" s="24" t="s">
        <v>256</v>
      </c>
      <c r="B469" s="25">
        <v>2013</v>
      </c>
      <c r="C469" s="25" t="s">
        <v>2462</v>
      </c>
      <c r="D469" s="25">
        <v>95</v>
      </c>
      <c r="E469" s="25">
        <v>7</v>
      </c>
      <c r="F469" s="25" t="str" cm="1">
        <f t="array" ref="F4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69" s="26">
        <v>6.85</v>
      </c>
      <c r="H469" s="27">
        <v>159585</v>
      </c>
    </row>
    <row r="470" spans="1:8" ht="18" x14ac:dyDescent="0.25">
      <c r="A470" s="24" t="s">
        <v>2085</v>
      </c>
      <c r="B470" s="25">
        <v>2013</v>
      </c>
      <c r="C470" s="25" t="s">
        <v>2463</v>
      </c>
      <c r="D470" s="25">
        <v>98</v>
      </c>
      <c r="E470" s="25">
        <v>5.5</v>
      </c>
      <c r="F470" s="25" t="str" cm="1">
        <f t="array" ref="F4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0" s="26">
        <v>0.02</v>
      </c>
      <c r="H470" s="27">
        <v>38504</v>
      </c>
    </row>
    <row r="471" spans="1:8" ht="18" x14ac:dyDescent="0.25">
      <c r="A471" s="24" t="s">
        <v>258</v>
      </c>
      <c r="B471" s="25">
        <v>2013</v>
      </c>
      <c r="C471" s="25" t="s">
        <v>2462</v>
      </c>
      <c r="D471" s="25">
        <v>101</v>
      </c>
      <c r="E471" s="25">
        <v>6.4</v>
      </c>
      <c r="F471" s="25" t="str" cm="1">
        <f t="array" ref="F4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1" s="26">
        <v>0.06</v>
      </c>
      <c r="H471" s="27">
        <v>31666</v>
      </c>
    </row>
    <row r="472" spans="1:8" ht="18" x14ac:dyDescent="0.25">
      <c r="A472" s="24" t="s">
        <v>2086</v>
      </c>
      <c r="B472" s="25">
        <v>2013</v>
      </c>
      <c r="C472" s="25" t="s">
        <v>2464</v>
      </c>
      <c r="D472" s="25">
        <v>116</v>
      </c>
      <c r="E472" s="25">
        <v>6.7</v>
      </c>
      <c r="F472" s="25" t="str" cm="1">
        <f t="array" ref="F4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2" s="26">
        <v>11.33</v>
      </c>
      <c r="H472" s="27">
        <v>122719</v>
      </c>
    </row>
    <row r="473" spans="1:8" ht="18" x14ac:dyDescent="0.25">
      <c r="A473" s="24" t="s">
        <v>261</v>
      </c>
      <c r="B473" s="25">
        <v>2013</v>
      </c>
      <c r="C473" s="25" t="s">
        <v>2462</v>
      </c>
      <c r="D473" s="25">
        <v>106</v>
      </c>
      <c r="E473" s="25">
        <v>6.5</v>
      </c>
      <c r="F473" s="25" t="str" cm="1">
        <f t="array" ref="F4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3" s="26">
        <v>83.59</v>
      </c>
      <c r="H473" s="27">
        <v>185468</v>
      </c>
    </row>
    <row r="474" spans="1:8" ht="18" x14ac:dyDescent="0.25">
      <c r="A474" s="24" t="s">
        <v>2087</v>
      </c>
      <c r="B474" s="25">
        <v>2013</v>
      </c>
      <c r="C474" s="25" t="s">
        <v>2463</v>
      </c>
      <c r="D474" s="25">
        <v>106</v>
      </c>
      <c r="E474" s="25">
        <v>5.7</v>
      </c>
      <c r="F474" s="25" t="str" cm="1">
        <f t="array" ref="F4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4" s="26">
        <v>68.56</v>
      </c>
      <c r="H474" s="27">
        <v>123363</v>
      </c>
    </row>
    <row r="475" spans="1:8" ht="18" x14ac:dyDescent="0.25">
      <c r="A475" s="24" t="s">
        <v>267</v>
      </c>
      <c r="B475" s="25">
        <v>2013</v>
      </c>
      <c r="C475" s="25" t="s">
        <v>2462</v>
      </c>
      <c r="D475" s="25">
        <v>85</v>
      </c>
      <c r="E475" s="25">
        <v>7.5</v>
      </c>
      <c r="F475" s="25" t="str" cm="1">
        <f t="array" ref="F4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5" s="26">
        <v>16.100000000000001</v>
      </c>
      <c r="H475" s="27">
        <v>84827</v>
      </c>
    </row>
    <row r="476" spans="1:8" ht="18" x14ac:dyDescent="0.25">
      <c r="A476" s="24" t="s">
        <v>268</v>
      </c>
      <c r="B476" s="25">
        <v>2013</v>
      </c>
      <c r="C476" s="25" t="s">
        <v>2462</v>
      </c>
      <c r="D476" s="25">
        <v>134</v>
      </c>
      <c r="E476" s="25">
        <v>7.8</v>
      </c>
      <c r="F476" s="25" t="str" cm="1">
        <f t="array" ref="F4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6" s="26">
        <v>107.1</v>
      </c>
      <c r="H476" s="27">
        <v>483422</v>
      </c>
    </row>
    <row r="477" spans="1:8" ht="18" x14ac:dyDescent="0.25">
      <c r="A477" s="24" t="s">
        <v>269</v>
      </c>
      <c r="B477" s="25">
        <v>2013</v>
      </c>
      <c r="C477" s="25" t="s">
        <v>2462</v>
      </c>
      <c r="D477" s="25">
        <v>103</v>
      </c>
      <c r="E477" s="25">
        <v>7.4</v>
      </c>
      <c r="F477" s="25" t="str" cm="1">
        <f t="array" ref="F4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7" s="26">
        <v>21.5</v>
      </c>
      <c r="H477" s="27">
        <v>155158</v>
      </c>
    </row>
    <row r="478" spans="1:8" ht="18" x14ac:dyDescent="0.25">
      <c r="A478" s="24" t="s">
        <v>270</v>
      </c>
      <c r="B478" s="25">
        <v>2013</v>
      </c>
      <c r="C478" s="25" t="s">
        <v>2462</v>
      </c>
      <c r="D478" s="25">
        <v>91</v>
      </c>
      <c r="E478" s="25">
        <v>7.7</v>
      </c>
      <c r="F478" s="25" t="str" cm="1">
        <f t="array" ref="F4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8" s="26">
        <v>274.08999999999997</v>
      </c>
      <c r="H478" s="27">
        <v>851272</v>
      </c>
    </row>
    <row r="479" spans="1:8" ht="18" x14ac:dyDescent="0.25">
      <c r="A479" s="24" t="s">
        <v>2088</v>
      </c>
      <c r="B479" s="25">
        <v>2013</v>
      </c>
      <c r="C479" s="25" t="s">
        <v>2463</v>
      </c>
      <c r="D479" s="25">
        <v>111</v>
      </c>
      <c r="E479" s="25">
        <v>6.7</v>
      </c>
      <c r="F479" s="25" t="str" cm="1">
        <f t="array" ref="F4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79" s="26">
        <v>2.46</v>
      </c>
      <c r="H479" s="27">
        <v>13096</v>
      </c>
    </row>
    <row r="480" spans="1:8" ht="18" x14ac:dyDescent="0.25">
      <c r="A480" s="24" t="s">
        <v>272</v>
      </c>
      <c r="B480" s="25">
        <v>2013</v>
      </c>
      <c r="C480" s="25" t="s">
        <v>2462</v>
      </c>
      <c r="D480" s="25">
        <v>131</v>
      </c>
      <c r="E480" s="25">
        <v>6.3</v>
      </c>
      <c r="F480" s="25" t="str" cm="1">
        <f t="array" ref="F4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0" s="26">
        <v>73.099999999999994</v>
      </c>
      <c r="H480" s="27">
        <v>232787</v>
      </c>
    </row>
    <row r="481" spans="1:8" ht="18" x14ac:dyDescent="0.25">
      <c r="A481" s="24" t="s">
        <v>273</v>
      </c>
      <c r="B481" s="25">
        <v>2013</v>
      </c>
      <c r="C481" s="25" t="s">
        <v>2463</v>
      </c>
      <c r="D481" s="25">
        <v>105</v>
      </c>
      <c r="E481" s="25">
        <v>5.9</v>
      </c>
      <c r="F481" s="25" t="str" cm="1">
        <f t="array" ref="F4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1" s="26">
        <v>0.08</v>
      </c>
      <c r="H481" s="27">
        <v>21893</v>
      </c>
    </row>
    <row r="482" spans="1:8" ht="18" x14ac:dyDescent="0.25">
      <c r="A482" s="24" t="s">
        <v>274</v>
      </c>
      <c r="B482" s="25">
        <v>2013</v>
      </c>
      <c r="C482" s="25" t="s">
        <v>2462</v>
      </c>
      <c r="D482" s="25">
        <v>82</v>
      </c>
      <c r="E482" s="25">
        <v>5.7</v>
      </c>
      <c r="F482" s="25" t="str" cm="1">
        <f t="array" ref="F4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2" s="26">
        <v>2.46</v>
      </c>
      <c r="H482" s="27">
        <v>1239</v>
      </c>
    </row>
    <row r="483" spans="1:8" ht="18" x14ac:dyDescent="0.25">
      <c r="A483" s="24" t="s">
        <v>275</v>
      </c>
      <c r="B483" s="25">
        <v>2013</v>
      </c>
      <c r="C483" s="25" t="s">
        <v>2462</v>
      </c>
      <c r="D483" s="25">
        <v>119</v>
      </c>
      <c r="E483" s="25">
        <v>6.4</v>
      </c>
      <c r="F483" s="25" t="str" cm="1">
        <f t="array" ref="F4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3" s="26">
        <v>42.03</v>
      </c>
      <c r="H483" s="27">
        <v>175373</v>
      </c>
    </row>
    <row r="484" spans="1:8" ht="18" x14ac:dyDescent="0.25">
      <c r="A484" s="24" t="s">
        <v>277</v>
      </c>
      <c r="B484" s="25">
        <v>2013</v>
      </c>
      <c r="C484" s="25" t="s">
        <v>2462</v>
      </c>
      <c r="D484" s="25">
        <v>88</v>
      </c>
      <c r="E484" s="25">
        <v>5.6</v>
      </c>
      <c r="F484" s="25" t="str" cm="1">
        <f t="array" ref="F4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4" s="26">
        <v>19.32</v>
      </c>
      <c r="H484" s="27">
        <v>65277</v>
      </c>
    </row>
    <row r="485" spans="1:8" ht="18" x14ac:dyDescent="0.25">
      <c r="A485" s="24" t="s">
        <v>279</v>
      </c>
      <c r="B485" s="25">
        <v>2013</v>
      </c>
      <c r="C485" s="25" t="s">
        <v>2462</v>
      </c>
      <c r="D485" s="25">
        <v>131</v>
      </c>
      <c r="E485" s="25">
        <v>5.7</v>
      </c>
      <c r="F485" s="25" t="str" cm="1">
        <f t="array" ref="F4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5" s="26">
        <v>1.01</v>
      </c>
      <c r="H485" s="27">
        <v>17512</v>
      </c>
    </row>
    <row r="486" spans="1:8" ht="18" x14ac:dyDescent="0.25">
      <c r="A486" s="24" t="s">
        <v>280</v>
      </c>
      <c r="B486" s="25">
        <v>2013</v>
      </c>
      <c r="C486" s="25" t="s">
        <v>2463</v>
      </c>
      <c r="D486" s="25">
        <v>101</v>
      </c>
      <c r="E486" s="25">
        <v>5.8</v>
      </c>
      <c r="F486" s="25" t="str" cm="1">
        <f t="array" ref="F4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6" s="26">
        <v>0.04</v>
      </c>
      <c r="H486" s="27">
        <v>1746</v>
      </c>
    </row>
    <row r="487" spans="1:8" ht="18" x14ac:dyDescent="0.25">
      <c r="A487" s="24" t="s">
        <v>2089</v>
      </c>
      <c r="B487" s="25">
        <v>2013</v>
      </c>
      <c r="C487" s="25" t="s">
        <v>2462</v>
      </c>
      <c r="D487" s="25">
        <v>89</v>
      </c>
      <c r="E487" s="25">
        <v>5.6</v>
      </c>
      <c r="F487" s="25" t="str" cm="1">
        <f t="array" ref="F4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7" s="26">
        <v>2.46</v>
      </c>
      <c r="H487" s="27">
        <v>12237</v>
      </c>
    </row>
    <row r="488" spans="1:8" ht="18" x14ac:dyDescent="0.25">
      <c r="A488" s="24" t="s">
        <v>284</v>
      </c>
      <c r="B488" s="25">
        <v>2013</v>
      </c>
      <c r="C488" s="25" t="s">
        <v>2462</v>
      </c>
      <c r="D488" s="25">
        <v>97</v>
      </c>
      <c r="E488" s="25">
        <v>6.4</v>
      </c>
      <c r="F488" s="25" t="str" cm="1">
        <f t="array" ref="F4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8" s="26">
        <v>2.46</v>
      </c>
      <c r="H488" s="27">
        <v>30544</v>
      </c>
    </row>
    <row r="489" spans="1:8" ht="18" x14ac:dyDescent="0.25">
      <c r="A489" s="24" t="s">
        <v>285</v>
      </c>
      <c r="B489" s="25">
        <v>2013</v>
      </c>
      <c r="C489" s="25" t="s">
        <v>2462</v>
      </c>
      <c r="D489" s="25">
        <v>126</v>
      </c>
      <c r="E489" s="25">
        <v>6.7</v>
      </c>
      <c r="F489" s="25" t="str" cm="1">
        <f t="array" ref="F4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89" s="26">
        <v>132.56</v>
      </c>
      <c r="H489" s="27">
        <v>484887</v>
      </c>
    </row>
    <row r="490" spans="1:8" ht="18" x14ac:dyDescent="0.25">
      <c r="A490" s="24" t="s">
        <v>286</v>
      </c>
      <c r="B490" s="25">
        <v>2013</v>
      </c>
      <c r="C490" s="25" t="s">
        <v>2462</v>
      </c>
      <c r="D490" s="25">
        <v>111</v>
      </c>
      <c r="E490" s="25">
        <v>6.3</v>
      </c>
      <c r="F490" s="25" t="str" cm="1">
        <f t="array" ref="F4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0" s="26">
        <v>36.92</v>
      </c>
      <c r="H490" s="27">
        <v>121445</v>
      </c>
    </row>
    <row r="491" spans="1:8" ht="18" x14ac:dyDescent="0.25">
      <c r="A491" s="24" t="s">
        <v>288</v>
      </c>
      <c r="B491" s="25">
        <v>2013</v>
      </c>
      <c r="C491" s="25" t="s">
        <v>2462</v>
      </c>
      <c r="D491" s="25">
        <v>86</v>
      </c>
      <c r="E491" s="25">
        <v>5</v>
      </c>
      <c r="F491" s="25" t="str" cm="1">
        <f t="array" ref="F4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1" s="26">
        <v>2.46</v>
      </c>
      <c r="H491" s="27">
        <v>3720</v>
      </c>
    </row>
    <row r="492" spans="1:8" ht="18" x14ac:dyDescent="0.25">
      <c r="A492" s="24" t="s">
        <v>19</v>
      </c>
      <c r="B492" s="25">
        <v>2013</v>
      </c>
      <c r="C492" s="25" t="s">
        <v>2462</v>
      </c>
      <c r="D492" s="25">
        <v>131</v>
      </c>
      <c r="E492" s="25">
        <v>7.8</v>
      </c>
      <c r="F492" s="25" t="str" cm="1">
        <f t="array" ref="F4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2" s="26">
        <v>0.09</v>
      </c>
      <c r="H492" s="27">
        <v>126029</v>
      </c>
    </row>
    <row r="493" spans="1:8" ht="18" x14ac:dyDescent="0.25">
      <c r="A493" s="24" t="s">
        <v>289</v>
      </c>
      <c r="B493" s="25">
        <v>2013</v>
      </c>
      <c r="C493" s="25" t="s">
        <v>2462</v>
      </c>
      <c r="D493" s="25">
        <v>132</v>
      </c>
      <c r="E493" s="25">
        <v>7.2</v>
      </c>
      <c r="F493" s="25" t="str" cm="1">
        <f t="array" ref="F4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3" s="26">
        <v>116.63</v>
      </c>
      <c r="H493" s="27">
        <v>118627</v>
      </c>
    </row>
    <row r="494" spans="1:8" ht="18" x14ac:dyDescent="0.25">
      <c r="A494" s="24" t="s">
        <v>291</v>
      </c>
      <c r="B494" s="25">
        <v>2013</v>
      </c>
      <c r="C494" s="25" t="s">
        <v>2462</v>
      </c>
      <c r="D494" s="25">
        <v>110</v>
      </c>
      <c r="E494" s="25">
        <v>6.9</v>
      </c>
      <c r="F494" s="25" t="str" cm="1">
        <f t="array" ref="F4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4" s="26">
        <v>2.11</v>
      </c>
      <c r="H494" s="27">
        <v>9220</v>
      </c>
    </row>
    <row r="495" spans="1:8" ht="18" x14ac:dyDescent="0.25">
      <c r="A495" s="24" t="s">
        <v>292</v>
      </c>
      <c r="B495" s="25">
        <v>2013</v>
      </c>
      <c r="C495" s="25" t="s">
        <v>2462</v>
      </c>
      <c r="D495" s="25">
        <v>130</v>
      </c>
      <c r="E495" s="25">
        <v>7.7</v>
      </c>
      <c r="F495" s="25" t="str" cm="1">
        <f t="array" ref="F4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5" s="26">
        <v>1.33</v>
      </c>
      <c r="H495" s="27">
        <v>50354</v>
      </c>
    </row>
    <row r="496" spans="1:8" ht="18" x14ac:dyDescent="0.25">
      <c r="A496" s="24" t="s">
        <v>293</v>
      </c>
      <c r="B496" s="25">
        <v>2013</v>
      </c>
      <c r="C496" s="25" t="s">
        <v>2462</v>
      </c>
      <c r="D496" s="25">
        <v>90</v>
      </c>
      <c r="E496" s="25">
        <v>6.9</v>
      </c>
      <c r="F496" s="25" t="str" cm="1">
        <f t="array" ref="F4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6" s="26">
        <v>0.15</v>
      </c>
      <c r="H496" s="27">
        <v>32716</v>
      </c>
    </row>
    <row r="497" spans="1:8" ht="18" x14ac:dyDescent="0.25">
      <c r="A497" s="24" t="s">
        <v>2090</v>
      </c>
      <c r="B497" s="25">
        <v>2013</v>
      </c>
      <c r="C497" s="25" t="s">
        <v>2462</v>
      </c>
      <c r="D497" s="25">
        <v>141</v>
      </c>
      <c r="E497" s="25">
        <v>7.1</v>
      </c>
      <c r="F497" s="25" t="str" cm="1">
        <f t="array" ref="F4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7" s="26">
        <v>8.32</v>
      </c>
      <c r="H497" s="27">
        <v>28796</v>
      </c>
    </row>
    <row r="498" spans="1:8" ht="18" x14ac:dyDescent="0.25">
      <c r="A498" s="24" t="s">
        <v>297</v>
      </c>
      <c r="B498" s="25">
        <v>2013</v>
      </c>
      <c r="C498" s="25" t="s">
        <v>2462</v>
      </c>
      <c r="D498" s="25">
        <v>150</v>
      </c>
      <c r="E498" s="25">
        <v>6.4</v>
      </c>
      <c r="F498" s="25" t="str" cm="1">
        <f t="array" ref="F4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8" s="26">
        <v>89.3</v>
      </c>
      <c r="H498" s="27">
        <v>241951</v>
      </c>
    </row>
    <row r="499" spans="1:8" ht="18" x14ac:dyDescent="0.25">
      <c r="A499" s="24" t="s">
        <v>300</v>
      </c>
      <c r="B499" s="25">
        <v>2013</v>
      </c>
      <c r="C499" s="25" t="s">
        <v>2464</v>
      </c>
      <c r="D499" s="25">
        <v>146</v>
      </c>
      <c r="E499" s="25">
        <v>7.5</v>
      </c>
      <c r="F499" s="25" t="str" cm="1">
        <f t="array" ref="F4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499" s="26">
        <v>424.67</v>
      </c>
      <c r="H499" s="27">
        <v>697677</v>
      </c>
    </row>
    <row r="500" spans="1:8" ht="18" x14ac:dyDescent="0.25">
      <c r="A500" s="24" t="s">
        <v>301</v>
      </c>
      <c r="B500" s="25">
        <v>2013</v>
      </c>
      <c r="C500" s="25" t="s">
        <v>2462</v>
      </c>
      <c r="D500" s="25">
        <v>86</v>
      </c>
      <c r="E500" s="25">
        <v>5.6</v>
      </c>
      <c r="F500" s="25" t="str" cm="1">
        <f t="array" ref="F5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0" s="26">
        <v>2.46</v>
      </c>
      <c r="H500" s="27">
        <v>2460</v>
      </c>
    </row>
    <row r="501" spans="1:8" ht="18" x14ac:dyDescent="0.25">
      <c r="A501" s="24" t="s">
        <v>2091</v>
      </c>
      <c r="B501" s="25">
        <v>2013</v>
      </c>
      <c r="C501" s="25" t="s">
        <v>2462</v>
      </c>
      <c r="D501" s="25">
        <v>134</v>
      </c>
      <c r="E501" s="25">
        <v>8.1</v>
      </c>
      <c r="F501" s="25" t="str" cm="1">
        <f t="array" ref="F5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1" s="26">
        <v>56.67</v>
      </c>
      <c r="H501" s="27">
        <v>728764</v>
      </c>
    </row>
    <row r="502" spans="1:8" ht="18" x14ac:dyDescent="0.25">
      <c r="A502" s="24" t="s">
        <v>2092</v>
      </c>
      <c r="B502" s="25">
        <v>2013</v>
      </c>
      <c r="C502" s="25" t="s">
        <v>2462</v>
      </c>
      <c r="D502" s="25">
        <v>180</v>
      </c>
      <c r="E502" s="25">
        <v>8.1999999999999993</v>
      </c>
      <c r="F502" s="25" t="str" cm="1">
        <f t="array" ref="F5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2" s="26">
        <v>116.9</v>
      </c>
      <c r="H502" s="27">
        <v>1526302</v>
      </c>
    </row>
    <row r="503" spans="1:8" ht="18" x14ac:dyDescent="0.25">
      <c r="A503" s="24" t="s">
        <v>306</v>
      </c>
      <c r="B503" s="25">
        <v>2013</v>
      </c>
      <c r="C503" s="25" t="s">
        <v>2462</v>
      </c>
      <c r="D503" s="25">
        <v>121</v>
      </c>
      <c r="E503" s="25">
        <v>7.2</v>
      </c>
      <c r="F503" s="25" t="str" cm="1">
        <f t="array" ref="F5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3" s="26">
        <v>37.74</v>
      </c>
      <c r="H503" s="27">
        <v>94109</v>
      </c>
    </row>
    <row r="504" spans="1:8" ht="18" x14ac:dyDescent="0.25">
      <c r="A504" s="24" t="s">
        <v>307</v>
      </c>
      <c r="B504" s="25">
        <v>2013</v>
      </c>
      <c r="C504" s="25" t="s">
        <v>2462</v>
      </c>
      <c r="D504" s="25">
        <v>117</v>
      </c>
      <c r="E504" s="25">
        <v>7.9</v>
      </c>
      <c r="F504" s="25" t="str" cm="1">
        <f t="array" ref="F5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4" s="26">
        <v>27.3</v>
      </c>
      <c r="H504" s="27">
        <v>510005</v>
      </c>
    </row>
    <row r="505" spans="1:8" ht="18" x14ac:dyDescent="0.25">
      <c r="A505" s="24" t="s">
        <v>2093</v>
      </c>
      <c r="B505" s="25">
        <v>2013</v>
      </c>
      <c r="C505" s="25" t="s">
        <v>2462</v>
      </c>
      <c r="D505" s="25">
        <v>114</v>
      </c>
      <c r="E505" s="25">
        <v>6.6</v>
      </c>
      <c r="F505" s="25" t="str" cm="1">
        <f t="array" ref="F5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5" s="26">
        <v>61.74</v>
      </c>
      <c r="H505" s="27">
        <v>250362</v>
      </c>
    </row>
    <row r="506" spans="1:8" ht="18" x14ac:dyDescent="0.25">
      <c r="A506" s="24" t="s">
        <v>309</v>
      </c>
      <c r="B506" s="25">
        <v>2013</v>
      </c>
      <c r="C506" s="25" t="s">
        <v>2464</v>
      </c>
      <c r="D506" s="25">
        <v>115</v>
      </c>
      <c r="E506" s="25">
        <v>6.7</v>
      </c>
      <c r="F506" s="25" t="str" cm="1">
        <f t="array" ref="F5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6" s="26">
        <v>25.13</v>
      </c>
      <c r="H506" s="27">
        <v>253965</v>
      </c>
    </row>
    <row r="507" spans="1:8" ht="18" x14ac:dyDescent="0.25">
      <c r="A507" s="24" t="s">
        <v>311</v>
      </c>
      <c r="B507" s="25">
        <v>2013</v>
      </c>
      <c r="C507" s="25" t="s">
        <v>2462</v>
      </c>
      <c r="D507" s="25">
        <v>93</v>
      </c>
      <c r="E507" s="25">
        <v>5.9</v>
      </c>
      <c r="F507" s="25" t="str" cm="1">
        <f t="array" ref="F5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7" s="26">
        <v>0.09</v>
      </c>
      <c r="H507" s="27">
        <v>5993</v>
      </c>
    </row>
    <row r="508" spans="1:8" ht="18" x14ac:dyDescent="0.25">
      <c r="A508" s="24" t="s">
        <v>2094</v>
      </c>
      <c r="B508" s="25">
        <v>2013</v>
      </c>
      <c r="C508" s="25" t="s">
        <v>2463</v>
      </c>
      <c r="D508" s="25">
        <v>90</v>
      </c>
      <c r="E508" s="25">
        <v>5.7</v>
      </c>
      <c r="F508" s="25" t="str" cm="1">
        <f t="array" ref="F5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8" s="26">
        <v>2.46</v>
      </c>
      <c r="H508" s="27">
        <v>9603</v>
      </c>
    </row>
    <row r="509" spans="1:8" ht="18" x14ac:dyDescent="0.25">
      <c r="A509" s="24" t="s">
        <v>313</v>
      </c>
      <c r="B509" s="25">
        <v>2013</v>
      </c>
      <c r="C509" s="25" t="s">
        <v>2462</v>
      </c>
      <c r="D509" s="25">
        <v>102</v>
      </c>
      <c r="E509" s="25">
        <v>7.4</v>
      </c>
      <c r="F509" s="25" t="str" cm="1">
        <f t="array" ref="F5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09" s="26">
        <v>400.74</v>
      </c>
      <c r="H509" s="27">
        <v>650846</v>
      </c>
    </row>
    <row r="510" spans="1:8" ht="18" x14ac:dyDescent="0.25">
      <c r="A510" s="24" t="s">
        <v>314</v>
      </c>
      <c r="B510" s="25">
        <v>2013</v>
      </c>
      <c r="C510" s="25" t="s">
        <v>2462</v>
      </c>
      <c r="D510" s="25">
        <v>126</v>
      </c>
      <c r="E510" s="25">
        <v>8</v>
      </c>
      <c r="F510" s="25" t="str" cm="1">
        <f t="array" ref="F5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0" s="26">
        <v>25.57</v>
      </c>
      <c r="H510" s="27">
        <v>651996</v>
      </c>
    </row>
    <row r="511" spans="1:8" ht="18" x14ac:dyDescent="0.25">
      <c r="A511" s="24" t="s">
        <v>315</v>
      </c>
      <c r="B511" s="25">
        <v>2013</v>
      </c>
      <c r="C511" s="25" t="s">
        <v>2462</v>
      </c>
      <c r="D511" s="25">
        <v>113</v>
      </c>
      <c r="E511" s="25">
        <v>5.6</v>
      </c>
      <c r="F511" s="25" t="str" cm="1">
        <f t="array" ref="F5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1" s="26">
        <v>0.33</v>
      </c>
      <c r="H511" s="27">
        <v>20774</v>
      </c>
    </row>
    <row r="512" spans="1:8" ht="18" x14ac:dyDescent="0.25">
      <c r="A512" s="24" t="s">
        <v>2095</v>
      </c>
      <c r="B512" s="25">
        <v>2013</v>
      </c>
      <c r="C512" s="25" t="s">
        <v>2463</v>
      </c>
      <c r="D512" s="25">
        <v>108</v>
      </c>
      <c r="E512" s="25">
        <v>7.5</v>
      </c>
      <c r="F512" s="25" t="str" cm="1">
        <f t="array" ref="F5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2" s="26">
        <v>0.49</v>
      </c>
      <c r="H512" s="27">
        <v>5695</v>
      </c>
    </row>
    <row r="513" spans="1:8" ht="18" x14ac:dyDescent="0.25">
      <c r="A513" s="24" t="s">
        <v>318</v>
      </c>
      <c r="B513" s="25">
        <v>2013</v>
      </c>
      <c r="C513" s="25" t="s">
        <v>2462</v>
      </c>
      <c r="D513" s="25">
        <v>96</v>
      </c>
      <c r="E513" s="25">
        <v>7.9</v>
      </c>
      <c r="F513" s="25" t="str" cm="1">
        <f t="array" ref="F5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3" s="26">
        <v>1.01</v>
      </c>
      <c r="H513" s="27">
        <v>90770</v>
      </c>
    </row>
    <row r="514" spans="1:8" ht="18" x14ac:dyDescent="0.25">
      <c r="A514" s="24" t="s">
        <v>319</v>
      </c>
      <c r="B514" s="25">
        <v>2013</v>
      </c>
      <c r="C514" s="25" t="s">
        <v>2462</v>
      </c>
      <c r="D514" s="25">
        <v>80</v>
      </c>
      <c r="E514" s="25">
        <v>8</v>
      </c>
      <c r="F514" s="25" t="str" cm="1">
        <f t="array" ref="F5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4" s="26">
        <v>2.46</v>
      </c>
      <c r="H514" s="27">
        <v>4609</v>
      </c>
    </row>
    <row r="515" spans="1:8" ht="18" x14ac:dyDescent="0.25">
      <c r="A515" s="24" t="s">
        <v>320</v>
      </c>
      <c r="B515" s="25">
        <v>2013</v>
      </c>
      <c r="C515" s="25" t="s">
        <v>2462</v>
      </c>
      <c r="D515" s="25">
        <v>100</v>
      </c>
      <c r="E515" s="25">
        <v>5.8</v>
      </c>
      <c r="F515" s="25" t="str" cm="1">
        <f t="array" ref="F5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5" s="26">
        <v>35.270000000000003</v>
      </c>
      <c r="H515" s="27">
        <v>146370</v>
      </c>
    </row>
    <row r="516" spans="1:8" ht="18" x14ac:dyDescent="0.25">
      <c r="A516" s="24" t="s">
        <v>321</v>
      </c>
      <c r="B516" s="25">
        <v>2013</v>
      </c>
      <c r="C516" s="25" t="s">
        <v>2462</v>
      </c>
      <c r="D516" s="25">
        <v>90</v>
      </c>
      <c r="E516" s="25">
        <v>6.5</v>
      </c>
      <c r="F516" s="25" t="str" cm="1">
        <f t="array" ref="F5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6" s="26">
        <v>24.48</v>
      </c>
      <c r="H516" s="27">
        <v>245105</v>
      </c>
    </row>
    <row r="517" spans="1:8" ht="18" x14ac:dyDescent="0.25">
      <c r="A517" s="24" t="s">
        <v>322</v>
      </c>
      <c r="B517" s="25">
        <v>2013</v>
      </c>
      <c r="C517" s="25" t="s">
        <v>2463</v>
      </c>
      <c r="D517" s="25">
        <v>110</v>
      </c>
      <c r="E517" s="25">
        <v>5.3</v>
      </c>
      <c r="F517" s="25" t="str" cm="1">
        <f t="array" ref="F5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7" s="26">
        <v>0.02</v>
      </c>
      <c r="H517" s="27">
        <v>4158</v>
      </c>
    </row>
    <row r="518" spans="1:8" ht="18" x14ac:dyDescent="0.25">
      <c r="A518" s="24" t="s">
        <v>323</v>
      </c>
      <c r="B518" s="25">
        <v>2013</v>
      </c>
      <c r="C518" s="25" t="s">
        <v>2463</v>
      </c>
      <c r="D518" s="25">
        <v>123</v>
      </c>
      <c r="E518" s="25">
        <v>7.8</v>
      </c>
      <c r="F518" s="25" t="str" cm="1">
        <f t="array" ref="F5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8" s="26">
        <v>15.32</v>
      </c>
      <c r="H518" s="27">
        <v>374882</v>
      </c>
    </row>
    <row r="519" spans="1:8" ht="18" x14ac:dyDescent="0.25">
      <c r="A519" s="24" t="s">
        <v>2096</v>
      </c>
      <c r="B519" s="25">
        <v>2013</v>
      </c>
      <c r="C519" s="25" t="s">
        <v>2462</v>
      </c>
      <c r="D519" s="25">
        <v>100</v>
      </c>
      <c r="E519" s="25">
        <v>5.4</v>
      </c>
      <c r="F519" s="25" t="str" cm="1">
        <f t="array" ref="F5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19" s="26">
        <v>1</v>
      </c>
      <c r="H519" s="27">
        <v>7103</v>
      </c>
    </row>
    <row r="520" spans="1:8" ht="18" x14ac:dyDescent="0.25">
      <c r="A520" s="24" t="s">
        <v>325</v>
      </c>
      <c r="B520" s="25">
        <v>2013</v>
      </c>
      <c r="C520" s="25" t="s">
        <v>2462</v>
      </c>
      <c r="D520" s="25">
        <v>98</v>
      </c>
      <c r="E520" s="25">
        <v>5.7</v>
      </c>
      <c r="F520" s="25" t="str" cm="1">
        <f t="array" ref="F5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0" s="26">
        <v>0.17</v>
      </c>
      <c r="H520" s="27">
        <v>11259</v>
      </c>
    </row>
    <row r="521" spans="1:8" ht="18" x14ac:dyDescent="0.25">
      <c r="A521" s="24" t="s">
        <v>326</v>
      </c>
      <c r="B521" s="25">
        <v>2013</v>
      </c>
      <c r="C521" s="25" t="s">
        <v>2463</v>
      </c>
      <c r="D521" s="25">
        <v>117</v>
      </c>
      <c r="E521" s="25">
        <v>5.4</v>
      </c>
      <c r="F521" s="25" t="str" cm="1">
        <f t="array" ref="F5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1" s="26">
        <v>16.97</v>
      </c>
      <c r="H521" s="27">
        <v>104548</v>
      </c>
    </row>
    <row r="522" spans="1:8" ht="18" x14ac:dyDescent="0.25">
      <c r="A522" s="24" t="s">
        <v>327</v>
      </c>
      <c r="B522" s="25">
        <v>2013</v>
      </c>
      <c r="C522" s="25" t="s">
        <v>2462</v>
      </c>
      <c r="D522" s="25">
        <v>123</v>
      </c>
      <c r="E522" s="25">
        <v>8.1</v>
      </c>
      <c r="F522" s="25" t="str" cm="1">
        <f t="array" ref="F5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2" s="26">
        <v>26.95</v>
      </c>
      <c r="H522" s="27">
        <v>502776</v>
      </c>
    </row>
    <row r="523" spans="1:8" ht="18" x14ac:dyDescent="0.25">
      <c r="A523" s="24" t="s">
        <v>330</v>
      </c>
      <c r="B523" s="25">
        <v>2013</v>
      </c>
      <c r="C523" s="25" t="s">
        <v>2462</v>
      </c>
      <c r="D523" s="25">
        <v>113</v>
      </c>
      <c r="E523" s="25">
        <v>6.4</v>
      </c>
      <c r="F523" s="25" t="str" cm="1">
        <f t="array" ref="F5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3" s="26">
        <v>29.81</v>
      </c>
      <c r="H523" s="27">
        <v>62293</v>
      </c>
    </row>
    <row r="524" spans="1:8" ht="18" x14ac:dyDescent="0.25">
      <c r="A524" s="24" t="s">
        <v>333</v>
      </c>
      <c r="B524" s="25">
        <v>2013</v>
      </c>
      <c r="C524" s="25" t="s">
        <v>2462</v>
      </c>
      <c r="D524" s="25">
        <v>92</v>
      </c>
      <c r="E524" s="25">
        <v>6.5</v>
      </c>
      <c r="F524" s="25" t="str" cm="1">
        <f t="array" ref="F5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4" s="26">
        <v>102</v>
      </c>
      <c r="H524" s="27">
        <v>97499</v>
      </c>
    </row>
    <row r="525" spans="1:8" ht="18" x14ac:dyDescent="0.25">
      <c r="A525" s="24" t="s">
        <v>2097</v>
      </c>
      <c r="B525" s="25">
        <v>2013</v>
      </c>
      <c r="C525" s="25" t="s">
        <v>2462</v>
      </c>
      <c r="D525" s="25">
        <v>130</v>
      </c>
      <c r="E525" s="25">
        <v>6.3</v>
      </c>
      <c r="F525" s="25" t="str" cm="1">
        <f t="array" ref="F5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5" s="26">
        <v>234.91</v>
      </c>
      <c r="H525" s="27">
        <v>212755</v>
      </c>
    </row>
    <row r="526" spans="1:8" ht="18" x14ac:dyDescent="0.25">
      <c r="A526" s="24" t="s">
        <v>2098</v>
      </c>
      <c r="B526" s="25">
        <v>2013</v>
      </c>
      <c r="C526" s="25" t="s">
        <v>2462</v>
      </c>
      <c r="D526" s="25">
        <v>95</v>
      </c>
      <c r="E526" s="25">
        <v>4.9000000000000004</v>
      </c>
      <c r="F526" s="25" t="str" cm="1">
        <f t="array" ref="F5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6" s="26">
        <v>2.46</v>
      </c>
      <c r="H526" s="27">
        <v>13892</v>
      </c>
    </row>
    <row r="527" spans="1:8" ht="18" x14ac:dyDescent="0.25">
      <c r="A527" s="24" t="s">
        <v>336</v>
      </c>
      <c r="B527" s="25">
        <v>2013</v>
      </c>
      <c r="C527" s="25" t="s">
        <v>2462</v>
      </c>
      <c r="D527" s="25">
        <v>122</v>
      </c>
      <c r="E527" s="25">
        <v>6.4</v>
      </c>
      <c r="F527" s="25" t="str" cm="1">
        <f t="array" ref="F5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7" s="26">
        <v>0.14000000000000001</v>
      </c>
      <c r="H527" s="27">
        <v>19670</v>
      </c>
    </row>
    <row r="528" spans="1:8" ht="18" x14ac:dyDescent="0.25">
      <c r="A528" s="24" t="s">
        <v>342</v>
      </c>
      <c r="B528" s="25">
        <v>2013</v>
      </c>
      <c r="C528" s="25" t="s">
        <v>2462</v>
      </c>
      <c r="D528" s="25">
        <v>105</v>
      </c>
      <c r="E528" s="25">
        <v>6.6</v>
      </c>
      <c r="F528" s="25" t="str" cm="1">
        <f t="array" ref="F5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8" s="26">
        <v>63.91</v>
      </c>
      <c r="H528" s="27">
        <v>135805</v>
      </c>
    </row>
    <row r="529" spans="1:8" ht="18" x14ac:dyDescent="0.25">
      <c r="A529" s="24" t="s">
        <v>344</v>
      </c>
      <c r="B529" s="25">
        <v>2013</v>
      </c>
      <c r="C529" s="25" t="s">
        <v>2463</v>
      </c>
      <c r="D529" s="25">
        <v>100</v>
      </c>
      <c r="E529" s="25">
        <v>6.5</v>
      </c>
      <c r="F529" s="25" t="str" cm="1">
        <f t="array" ref="F5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29" s="26">
        <v>20.16</v>
      </c>
      <c r="H529" s="27">
        <v>127333</v>
      </c>
    </row>
    <row r="530" spans="1:8" ht="18" x14ac:dyDescent="0.25">
      <c r="A530" s="24" t="s">
        <v>2099</v>
      </c>
      <c r="B530" s="25">
        <v>2013</v>
      </c>
      <c r="C530" s="25" t="s">
        <v>2463</v>
      </c>
      <c r="D530" s="25">
        <v>93</v>
      </c>
      <c r="E530" s="25">
        <v>6.7</v>
      </c>
      <c r="F530" s="25" t="str" cm="1">
        <f t="array" ref="F5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0" s="26">
        <v>2.96</v>
      </c>
      <c r="H530" s="27">
        <v>32670</v>
      </c>
    </row>
    <row r="531" spans="1:8" ht="18" x14ac:dyDescent="0.25">
      <c r="A531" s="24" t="s">
        <v>347</v>
      </c>
      <c r="B531" s="25">
        <v>2013</v>
      </c>
      <c r="C531" s="25" t="s">
        <v>2464</v>
      </c>
      <c r="D531" s="25">
        <v>91</v>
      </c>
      <c r="E531" s="25">
        <v>7.3</v>
      </c>
      <c r="F531" s="25" t="str" cm="1">
        <f t="array" ref="F5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1" s="26">
        <v>0.01</v>
      </c>
      <c r="H531" s="27">
        <v>12643</v>
      </c>
    </row>
    <row r="532" spans="1:8" ht="18" x14ac:dyDescent="0.25">
      <c r="A532" s="24" t="s">
        <v>2100</v>
      </c>
      <c r="B532" s="25">
        <v>2013</v>
      </c>
      <c r="C532" s="25" t="s">
        <v>2462</v>
      </c>
      <c r="D532" s="25">
        <v>118</v>
      </c>
      <c r="E532" s="25">
        <v>7</v>
      </c>
      <c r="F532" s="25" t="str" cm="1">
        <f t="array" ref="F5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2" s="26">
        <v>0.04</v>
      </c>
      <c r="H532" s="27">
        <v>3481</v>
      </c>
    </row>
    <row r="533" spans="1:8" ht="18" x14ac:dyDescent="0.25">
      <c r="A533" s="24" t="s">
        <v>2101</v>
      </c>
      <c r="B533" s="25">
        <v>2013</v>
      </c>
      <c r="C533" s="25" t="s">
        <v>2463</v>
      </c>
      <c r="D533" s="25">
        <v>91</v>
      </c>
      <c r="E533" s="25">
        <v>7.4</v>
      </c>
      <c r="F533" s="25" t="str" cm="1">
        <f t="array" ref="F5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3" s="26">
        <v>4.95</v>
      </c>
      <c r="H533" s="27">
        <v>13824</v>
      </c>
    </row>
    <row r="534" spans="1:8" ht="18" x14ac:dyDescent="0.25">
      <c r="A534" s="24" t="s">
        <v>359</v>
      </c>
      <c r="B534" s="25">
        <v>2013</v>
      </c>
      <c r="C534" s="25" t="s">
        <v>2462</v>
      </c>
      <c r="D534" s="25">
        <v>97</v>
      </c>
      <c r="E534" s="25">
        <v>7</v>
      </c>
      <c r="F534" s="25" t="str" cm="1">
        <f t="array" ref="F5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4" s="26">
        <v>0.03</v>
      </c>
      <c r="H534" s="27">
        <v>114087</v>
      </c>
    </row>
    <row r="535" spans="1:8" ht="18" x14ac:dyDescent="0.25">
      <c r="A535" s="24" t="s">
        <v>2102</v>
      </c>
      <c r="B535" s="25">
        <v>2013</v>
      </c>
      <c r="C535" s="25" t="s">
        <v>2463</v>
      </c>
      <c r="D535" s="25">
        <v>97</v>
      </c>
      <c r="E535" s="25">
        <v>6.1</v>
      </c>
      <c r="F535" s="25" t="str" cm="1">
        <f t="array" ref="F5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5" s="26">
        <v>0</v>
      </c>
      <c r="H535" s="27">
        <v>9994</v>
      </c>
    </row>
    <row r="536" spans="1:8" ht="18" x14ac:dyDescent="0.25">
      <c r="A536" s="24" t="s">
        <v>2103</v>
      </c>
      <c r="B536" s="25">
        <v>2013</v>
      </c>
      <c r="C536" s="25" t="s">
        <v>2462</v>
      </c>
      <c r="D536" s="25">
        <v>107</v>
      </c>
      <c r="E536" s="25">
        <v>6.5</v>
      </c>
      <c r="F536" s="25" t="str" cm="1">
        <f t="array" ref="F5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6" s="26">
        <v>0.15</v>
      </c>
      <c r="H536" s="27">
        <v>1256</v>
      </c>
    </row>
    <row r="537" spans="1:8" ht="18" x14ac:dyDescent="0.25">
      <c r="A537" s="24" t="s">
        <v>2104</v>
      </c>
      <c r="B537" s="25">
        <v>2013</v>
      </c>
      <c r="C537" s="25" t="s">
        <v>2462</v>
      </c>
      <c r="D537" s="25">
        <v>143</v>
      </c>
      <c r="E537" s="25">
        <v>7.1</v>
      </c>
      <c r="F537" s="25" t="str" cm="1">
        <f t="array" ref="F5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7" s="26">
        <v>291.05</v>
      </c>
      <c r="H537" s="27">
        <v>800031</v>
      </c>
    </row>
    <row r="538" spans="1:8" ht="18" x14ac:dyDescent="0.25">
      <c r="A538" s="24" t="s">
        <v>369</v>
      </c>
      <c r="B538" s="25">
        <v>2013</v>
      </c>
      <c r="C538" s="25" t="s">
        <v>2462</v>
      </c>
      <c r="D538" s="25">
        <v>80</v>
      </c>
      <c r="E538" s="25">
        <v>5.0999999999999996</v>
      </c>
      <c r="F538" s="25" t="str" cm="1">
        <f t="array" ref="F5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8" s="26">
        <v>2.46</v>
      </c>
      <c r="H538" s="27">
        <v>1159</v>
      </c>
    </row>
    <row r="539" spans="1:8" ht="18" x14ac:dyDescent="0.25">
      <c r="A539" s="24" t="s">
        <v>2105</v>
      </c>
      <c r="B539" s="25">
        <v>2013</v>
      </c>
      <c r="C539" s="25" t="s">
        <v>2462</v>
      </c>
      <c r="D539" s="25">
        <v>90</v>
      </c>
      <c r="E539" s="25">
        <v>6.3</v>
      </c>
      <c r="F539" s="25" t="str" cm="1">
        <f t="array" ref="F5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39" s="26">
        <v>0.06</v>
      </c>
      <c r="H539" s="27">
        <v>25723</v>
      </c>
    </row>
    <row r="540" spans="1:8" ht="18" x14ac:dyDescent="0.25">
      <c r="A540" s="24" t="s">
        <v>374</v>
      </c>
      <c r="B540" s="25">
        <v>2013</v>
      </c>
      <c r="C540" s="25" t="s">
        <v>2462</v>
      </c>
      <c r="D540" s="25">
        <v>95</v>
      </c>
      <c r="E540" s="25">
        <v>6.5</v>
      </c>
      <c r="F540" s="25" t="str" cm="1">
        <f t="array" ref="F5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0" s="26">
        <v>0.02</v>
      </c>
      <c r="H540" s="27">
        <v>3878</v>
      </c>
    </row>
    <row r="541" spans="1:8" ht="18" x14ac:dyDescent="0.25">
      <c r="A541" s="24" t="s">
        <v>379</v>
      </c>
      <c r="B541" s="25">
        <v>2013</v>
      </c>
      <c r="C541" s="25" t="s">
        <v>2462</v>
      </c>
      <c r="D541" s="25">
        <v>104</v>
      </c>
      <c r="E541" s="25">
        <v>5.8</v>
      </c>
      <c r="F541" s="25" t="str" cm="1">
        <f t="array" ref="F5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1" s="26">
        <v>2.19</v>
      </c>
      <c r="H541" s="27">
        <v>79532</v>
      </c>
    </row>
    <row r="542" spans="1:8" ht="18" x14ac:dyDescent="0.25">
      <c r="A542" s="24" t="s">
        <v>386</v>
      </c>
      <c r="B542" s="25">
        <v>2013</v>
      </c>
      <c r="C542" s="25" t="s">
        <v>2464</v>
      </c>
      <c r="D542" s="25">
        <v>104</v>
      </c>
      <c r="E542" s="25">
        <v>6.4</v>
      </c>
      <c r="F542" s="25" t="str" cm="1">
        <f t="array" ref="F5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2" s="26">
        <v>1.03</v>
      </c>
      <c r="H542" s="27">
        <v>40584</v>
      </c>
    </row>
    <row r="543" spans="1:8" ht="18" x14ac:dyDescent="0.25">
      <c r="A543" s="24" t="s">
        <v>387</v>
      </c>
      <c r="B543" s="25">
        <v>2013</v>
      </c>
      <c r="C543" s="25" t="s">
        <v>2462</v>
      </c>
      <c r="D543" s="25">
        <v>138</v>
      </c>
      <c r="E543" s="25">
        <v>7.2</v>
      </c>
      <c r="F543" s="25" t="str" cm="1">
        <f t="array" ref="F5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3" s="26">
        <v>150.12</v>
      </c>
      <c r="H543" s="27">
        <v>494957</v>
      </c>
    </row>
    <row r="544" spans="1:8" ht="18" x14ac:dyDescent="0.25">
      <c r="A544" s="24" t="s">
        <v>391</v>
      </c>
      <c r="B544" s="25">
        <v>2013</v>
      </c>
      <c r="C544" s="25" t="s">
        <v>2462</v>
      </c>
      <c r="D544" s="25">
        <v>99</v>
      </c>
      <c r="E544" s="25">
        <v>6.5</v>
      </c>
      <c r="F544" s="25" t="str" cm="1">
        <f t="array" ref="F5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4" s="26">
        <v>0.05</v>
      </c>
      <c r="H544" s="27">
        <v>9006</v>
      </c>
    </row>
    <row r="545" spans="1:8" ht="18" x14ac:dyDescent="0.25">
      <c r="A545" s="24" t="s">
        <v>392</v>
      </c>
      <c r="B545" s="25">
        <v>2013</v>
      </c>
      <c r="C545" s="25" t="s">
        <v>2462</v>
      </c>
      <c r="D545" s="25">
        <v>121</v>
      </c>
      <c r="E545" s="25">
        <v>6.6</v>
      </c>
      <c r="F545" s="25" t="str" cm="1">
        <f t="array" ref="F5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5" s="26">
        <v>2.46</v>
      </c>
      <c r="H545" s="27">
        <v>8377</v>
      </c>
    </row>
    <row r="546" spans="1:8" ht="18" x14ac:dyDescent="0.25">
      <c r="A546" s="24" t="s">
        <v>393</v>
      </c>
      <c r="B546" s="25">
        <v>2013</v>
      </c>
      <c r="C546" s="25" t="s">
        <v>2464</v>
      </c>
      <c r="D546" s="25">
        <v>90</v>
      </c>
      <c r="E546" s="25">
        <v>5.9</v>
      </c>
      <c r="F546" s="25" t="str" cm="1">
        <f t="array" ref="F5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6" s="26">
        <v>0.02</v>
      </c>
      <c r="H546" s="27">
        <v>19450</v>
      </c>
    </row>
    <row r="547" spans="1:8" ht="18" x14ac:dyDescent="0.25">
      <c r="A547" s="24" t="s">
        <v>394</v>
      </c>
      <c r="B547" s="25">
        <v>2013</v>
      </c>
      <c r="C547" s="25" t="s">
        <v>2462</v>
      </c>
      <c r="D547" s="25">
        <v>106</v>
      </c>
      <c r="E547" s="25">
        <v>6.9</v>
      </c>
      <c r="F547" s="25" t="str" cm="1">
        <f t="array" ref="F5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7" s="26">
        <v>6.26</v>
      </c>
      <c r="H547" s="27">
        <v>82971</v>
      </c>
    </row>
    <row r="548" spans="1:8" ht="18" x14ac:dyDescent="0.25">
      <c r="A548" s="24" t="s">
        <v>396</v>
      </c>
      <c r="B548" s="25">
        <v>2013</v>
      </c>
      <c r="C548" s="25" t="s">
        <v>2462</v>
      </c>
      <c r="D548" s="25">
        <v>126</v>
      </c>
      <c r="E548" s="25">
        <v>7.1</v>
      </c>
      <c r="F548" s="25" t="str" cm="1">
        <f t="array" ref="F5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8" s="26">
        <v>4.5599999999999996</v>
      </c>
      <c r="H548" s="27">
        <v>380549</v>
      </c>
    </row>
    <row r="549" spans="1:8" ht="18" x14ac:dyDescent="0.25">
      <c r="A549" s="24" t="s">
        <v>397</v>
      </c>
      <c r="B549" s="25">
        <v>2013</v>
      </c>
      <c r="C549" s="25" t="s">
        <v>2462</v>
      </c>
      <c r="D549" s="25">
        <v>122</v>
      </c>
      <c r="E549" s="25">
        <v>6.1</v>
      </c>
      <c r="F549" s="25" t="str" cm="1">
        <f t="array" ref="F5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49" s="26">
        <v>2.46</v>
      </c>
      <c r="H549" s="27">
        <v>9003</v>
      </c>
    </row>
    <row r="550" spans="1:8" ht="18" x14ac:dyDescent="0.25">
      <c r="A550" s="24" t="s">
        <v>399</v>
      </c>
      <c r="B550" s="25">
        <v>2013</v>
      </c>
      <c r="C550" s="25" t="s">
        <v>2462</v>
      </c>
      <c r="D550" s="25">
        <v>93</v>
      </c>
      <c r="E550" s="25">
        <v>7</v>
      </c>
      <c r="F550" s="25" t="str" cm="1">
        <f t="array" ref="F5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0" s="26">
        <v>17.54</v>
      </c>
      <c r="H550" s="27">
        <v>65430</v>
      </c>
    </row>
    <row r="551" spans="1:8" ht="18" x14ac:dyDescent="0.25">
      <c r="A551" s="24" t="s">
        <v>402</v>
      </c>
      <c r="B551" s="25">
        <v>2013</v>
      </c>
      <c r="C551" s="25" t="s">
        <v>2462</v>
      </c>
      <c r="D551" s="25">
        <v>110</v>
      </c>
      <c r="E551" s="25">
        <v>5.9</v>
      </c>
      <c r="F551" s="25" t="str" cm="1">
        <f t="array" ref="F5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1" s="26">
        <v>2.46</v>
      </c>
      <c r="H551" s="27">
        <v>10477</v>
      </c>
    </row>
    <row r="552" spans="1:8" ht="18" x14ac:dyDescent="0.25">
      <c r="A552" s="24" t="s">
        <v>403</v>
      </c>
      <c r="B552" s="25">
        <v>2013</v>
      </c>
      <c r="C552" s="25" t="s">
        <v>2464</v>
      </c>
      <c r="D552" s="25">
        <v>128</v>
      </c>
      <c r="E552" s="25">
        <v>6.2</v>
      </c>
      <c r="F552" s="25" t="str" cm="1">
        <f t="array" ref="F5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2" s="26">
        <v>3.25</v>
      </c>
      <c r="H552" s="27">
        <v>42344</v>
      </c>
    </row>
    <row r="553" spans="1:8" ht="18" x14ac:dyDescent="0.25">
      <c r="A553" s="24" t="s">
        <v>404</v>
      </c>
      <c r="B553" s="25">
        <v>2013</v>
      </c>
      <c r="C553" s="25" t="s">
        <v>2462</v>
      </c>
      <c r="D553" s="25">
        <v>103</v>
      </c>
      <c r="E553" s="25">
        <v>7.2</v>
      </c>
      <c r="F553" s="25" t="str" cm="1">
        <f t="array" ref="F5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3" s="26">
        <v>0.14000000000000001</v>
      </c>
      <c r="H553" s="27">
        <v>2484</v>
      </c>
    </row>
    <row r="554" spans="1:8" ht="18" x14ac:dyDescent="0.25">
      <c r="A554" s="24" t="s">
        <v>405</v>
      </c>
      <c r="B554" s="25">
        <v>2013</v>
      </c>
      <c r="C554" s="25" t="s">
        <v>2463</v>
      </c>
      <c r="D554" s="25">
        <v>97</v>
      </c>
      <c r="E554" s="25">
        <v>6.3</v>
      </c>
      <c r="F554" s="25" t="str" cm="1">
        <f t="array" ref="F5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4" s="26">
        <v>2.15</v>
      </c>
      <c r="H554" s="27">
        <v>22813</v>
      </c>
    </row>
    <row r="555" spans="1:8" ht="18" x14ac:dyDescent="0.25">
      <c r="A555" s="24" t="s">
        <v>2106</v>
      </c>
      <c r="B555" s="25">
        <v>2013</v>
      </c>
      <c r="C555" s="25" t="s">
        <v>2463</v>
      </c>
      <c r="D555" s="25">
        <v>82</v>
      </c>
      <c r="E555" s="25">
        <v>7.2</v>
      </c>
      <c r="F555" s="25" t="str" cm="1">
        <f t="array" ref="F5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5" s="26">
        <v>0.2</v>
      </c>
      <c r="H555" s="27">
        <v>4723</v>
      </c>
    </row>
    <row r="556" spans="1:8" ht="18" x14ac:dyDescent="0.25">
      <c r="A556" s="24" t="s">
        <v>407</v>
      </c>
      <c r="B556" s="25">
        <v>2013</v>
      </c>
      <c r="C556" s="25" t="s">
        <v>2462</v>
      </c>
      <c r="D556" s="25">
        <v>85</v>
      </c>
      <c r="E556" s="25">
        <v>5.4</v>
      </c>
      <c r="F556" s="25" t="str" cm="1">
        <f t="array" ref="F5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6" s="26">
        <v>2.46</v>
      </c>
      <c r="H556" s="27">
        <v>10022</v>
      </c>
    </row>
    <row r="557" spans="1:8" ht="18" x14ac:dyDescent="0.25">
      <c r="A557" s="24" t="s">
        <v>2107</v>
      </c>
      <c r="B557" s="25">
        <v>2013</v>
      </c>
      <c r="C557" s="25" t="s">
        <v>2464</v>
      </c>
      <c r="D557" s="25">
        <v>86</v>
      </c>
      <c r="E557" s="25">
        <v>6.2</v>
      </c>
      <c r="F557" s="25" t="str" cm="1">
        <f t="array" ref="F5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7" s="26">
        <v>2.46</v>
      </c>
      <c r="H557" s="27">
        <v>2373</v>
      </c>
    </row>
    <row r="558" spans="1:8" ht="18" x14ac:dyDescent="0.25">
      <c r="A558" s="24" t="s">
        <v>410</v>
      </c>
      <c r="B558" s="25">
        <v>2013</v>
      </c>
      <c r="C558" s="25" t="s">
        <v>2462</v>
      </c>
      <c r="D558" s="25">
        <v>117</v>
      </c>
      <c r="E558" s="25">
        <v>6.1</v>
      </c>
      <c r="F558" s="25" t="str" cm="1">
        <f t="array" ref="F5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8" s="26">
        <v>0.02</v>
      </c>
      <c r="H558" s="27">
        <v>3068</v>
      </c>
    </row>
    <row r="559" spans="1:8" ht="18" x14ac:dyDescent="0.25">
      <c r="A559" s="24" t="s">
        <v>411</v>
      </c>
      <c r="B559" s="25">
        <v>2013</v>
      </c>
      <c r="C559" s="25" t="s">
        <v>2462</v>
      </c>
      <c r="D559" s="25">
        <v>101</v>
      </c>
      <c r="E559" s="25">
        <v>7.2</v>
      </c>
      <c r="F559" s="25" t="str" cm="1">
        <f t="array" ref="F5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59" s="26">
        <v>2.46</v>
      </c>
      <c r="H559" s="27">
        <v>1270</v>
      </c>
    </row>
    <row r="560" spans="1:8" ht="18" x14ac:dyDescent="0.25">
      <c r="A560" s="24" t="s">
        <v>2108</v>
      </c>
      <c r="B560" s="25">
        <v>2013</v>
      </c>
      <c r="C560" s="25" t="s">
        <v>2462</v>
      </c>
      <c r="D560" s="25">
        <v>86</v>
      </c>
      <c r="E560" s="25">
        <v>5.6</v>
      </c>
      <c r="F560" s="25" t="str" cm="1">
        <f t="array" ref="F5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0" s="26">
        <v>0.09</v>
      </c>
      <c r="H560" s="27">
        <v>21298</v>
      </c>
    </row>
    <row r="561" spans="1:8" ht="18" x14ac:dyDescent="0.25">
      <c r="A561" s="24" t="s">
        <v>414</v>
      </c>
      <c r="B561" s="25">
        <v>2013</v>
      </c>
      <c r="C561" s="25" t="s">
        <v>2462</v>
      </c>
      <c r="D561" s="25">
        <v>124</v>
      </c>
      <c r="E561" s="25">
        <v>7.3</v>
      </c>
      <c r="F561" s="25" t="str" cm="1">
        <f t="array" ref="F5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1" s="26">
        <v>0.38</v>
      </c>
      <c r="H561" s="27">
        <v>7825</v>
      </c>
    </row>
    <row r="562" spans="1:8" ht="18" x14ac:dyDescent="0.25">
      <c r="A562" s="24" t="s">
        <v>416</v>
      </c>
      <c r="B562" s="25">
        <v>2013</v>
      </c>
      <c r="C562" s="25" t="s">
        <v>2462</v>
      </c>
      <c r="D562" s="25">
        <v>103</v>
      </c>
      <c r="E562" s="25">
        <v>6.8</v>
      </c>
      <c r="F562" s="25" t="str" cm="1">
        <f t="array" ref="F5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2" s="26">
        <v>0.09</v>
      </c>
      <c r="H562" s="27">
        <v>12975</v>
      </c>
    </row>
    <row r="563" spans="1:8" ht="18" x14ac:dyDescent="0.25">
      <c r="A563" s="24" t="s">
        <v>2109</v>
      </c>
      <c r="B563" s="25">
        <v>2013</v>
      </c>
      <c r="C563" s="25" t="s">
        <v>2462</v>
      </c>
      <c r="D563" s="25">
        <v>108</v>
      </c>
      <c r="E563" s="25">
        <v>6.4</v>
      </c>
      <c r="F563" s="25" t="str" cm="1">
        <f t="array" ref="F5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3" s="26">
        <v>2.46</v>
      </c>
      <c r="H563" s="27">
        <v>92</v>
      </c>
    </row>
    <row r="564" spans="1:8" ht="18" x14ac:dyDescent="0.25">
      <c r="A564" s="24" t="s">
        <v>421</v>
      </c>
      <c r="B564" s="25">
        <v>2013</v>
      </c>
      <c r="C564" s="25" t="s">
        <v>2462</v>
      </c>
      <c r="D564" s="25">
        <v>120</v>
      </c>
      <c r="E564" s="25">
        <v>6.6</v>
      </c>
      <c r="F564" s="25" t="str" cm="1">
        <f t="array" ref="F5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4" s="26">
        <v>2.0099999999999998</v>
      </c>
      <c r="H564" s="27">
        <v>33273</v>
      </c>
    </row>
    <row r="565" spans="1:8" ht="18" x14ac:dyDescent="0.25">
      <c r="A565" s="24" t="s">
        <v>422</v>
      </c>
      <c r="B565" s="25">
        <v>2013</v>
      </c>
      <c r="C565" s="25" t="s">
        <v>2462</v>
      </c>
      <c r="D565" s="25">
        <v>93</v>
      </c>
      <c r="E565" s="25">
        <v>6.4</v>
      </c>
      <c r="F565" s="25" t="str" cm="1">
        <f t="array" ref="F5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5" s="26">
        <v>2.2200000000000002</v>
      </c>
      <c r="H565" s="27">
        <v>8642</v>
      </c>
    </row>
    <row r="566" spans="1:8" ht="18" x14ac:dyDescent="0.25">
      <c r="A566" s="24" t="s">
        <v>425</v>
      </c>
      <c r="B566" s="25">
        <v>2013</v>
      </c>
      <c r="C566" s="25" t="s">
        <v>2462</v>
      </c>
      <c r="D566" s="25">
        <v>111</v>
      </c>
      <c r="E566" s="25">
        <v>6.1</v>
      </c>
      <c r="F566" s="25" t="str" cm="1">
        <f t="array" ref="F5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6" s="26">
        <v>1.23</v>
      </c>
      <c r="H566" s="27">
        <v>10318</v>
      </c>
    </row>
    <row r="567" spans="1:8" ht="18" x14ac:dyDescent="0.25">
      <c r="A567" s="24" t="s">
        <v>427</v>
      </c>
      <c r="B567" s="25">
        <v>2013</v>
      </c>
      <c r="C567" s="25" t="s">
        <v>2463</v>
      </c>
      <c r="D567" s="25">
        <v>127</v>
      </c>
      <c r="E567" s="25">
        <v>6.5</v>
      </c>
      <c r="F567" s="25" t="str" cm="1">
        <f t="array" ref="F5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7" s="26">
        <v>0.04</v>
      </c>
      <c r="H567" s="27">
        <v>20827</v>
      </c>
    </row>
    <row r="568" spans="1:8" ht="18" x14ac:dyDescent="0.25">
      <c r="A568" s="24" t="s">
        <v>2110</v>
      </c>
      <c r="B568" s="25">
        <v>2013</v>
      </c>
      <c r="C568" s="25" t="s">
        <v>2462</v>
      </c>
      <c r="D568" s="25">
        <v>95</v>
      </c>
      <c r="E568" s="25">
        <v>7.5</v>
      </c>
      <c r="F568" s="25" t="str" cm="1">
        <f t="array" ref="F5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8" s="26">
        <v>2.46</v>
      </c>
      <c r="H568" s="27">
        <v>148</v>
      </c>
    </row>
    <row r="569" spans="1:8" ht="18" x14ac:dyDescent="0.25">
      <c r="A569" s="24" t="s">
        <v>439</v>
      </c>
      <c r="B569" s="25">
        <v>2013</v>
      </c>
      <c r="C569" s="25" t="s">
        <v>2462</v>
      </c>
      <c r="D569" s="25">
        <v>116</v>
      </c>
      <c r="E569" s="25">
        <v>7.1</v>
      </c>
      <c r="F569" s="25" t="str" cm="1">
        <f t="array" ref="F5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69" s="26">
        <v>4.4400000000000004</v>
      </c>
      <c r="H569" s="27">
        <v>42093</v>
      </c>
    </row>
    <row r="570" spans="1:8" ht="18" x14ac:dyDescent="0.25">
      <c r="A570" s="24" t="s">
        <v>441</v>
      </c>
      <c r="B570" s="25">
        <v>2013</v>
      </c>
      <c r="C570" s="25" t="s">
        <v>2462</v>
      </c>
      <c r="D570" s="25">
        <v>98</v>
      </c>
      <c r="E570" s="25">
        <v>5.9</v>
      </c>
      <c r="F570" s="25" t="str" cm="1">
        <f t="array" ref="F5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0" s="26">
        <v>2.46</v>
      </c>
      <c r="H570" s="27">
        <v>8698</v>
      </c>
    </row>
    <row r="571" spans="1:8" ht="18" x14ac:dyDescent="0.25">
      <c r="A571" s="24" t="s">
        <v>442</v>
      </c>
      <c r="B571" s="25">
        <v>2013</v>
      </c>
      <c r="C571" s="25" t="s">
        <v>2463</v>
      </c>
      <c r="D571" s="25">
        <v>94</v>
      </c>
      <c r="E571" s="25">
        <v>6.2</v>
      </c>
      <c r="F571" s="25" t="str" cm="1">
        <f t="array" ref="F5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1" s="26">
        <v>2.46</v>
      </c>
      <c r="H571" s="27">
        <v>2790</v>
      </c>
    </row>
    <row r="572" spans="1:8" ht="18" x14ac:dyDescent="0.25">
      <c r="A572" s="24" t="s">
        <v>443</v>
      </c>
      <c r="B572" s="25">
        <v>2013</v>
      </c>
      <c r="C572" s="25" t="s">
        <v>2462</v>
      </c>
      <c r="D572" s="25">
        <v>125</v>
      </c>
      <c r="E572" s="25">
        <v>7.5</v>
      </c>
      <c r="F572" s="25" t="str" cm="1">
        <f t="array" ref="F5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2" s="26">
        <v>83.3</v>
      </c>
      <c r="H572" s="27">
        <v>168055</v>
      </c>
    </row>
    <row r="573" spans="1:8" ht="18" x14ac:dyDescent="0.25">
      <c r="A573" s="24" t="s">
        <v>2111</v>
      </c>
      <c r="B573" s="25">
        <v>2013</v>
      </c>
      <c r="C573" s="25" t="s">
        <v>2462</v>
      </c>
      <c r="D573" s="25">
        <v>90</v>
      </c>
      <c r="E573" s="25">
        <v>8</v>
      </c>
      <c r="F573" s="25" t="str" cm="1">
        <f t="array" ref="F5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3" s="26">
        <v>0.65</v>
      </c>
      <c r="H573" s="27">
        <v>26398</v>
      </c>
    </row>
    <row r="574" spans="1:8" ht="18" x14ac:dyDescent="0.25">
      <c r="A574" s="24" t="s">
        <v>450</v>
      </c>
      <c r="B574" s="25">
        <v>2013</v>
      </c>
      <c r="C574" s="25" t="s">
        <v>2463</v>
      </c>
      <c r="D574" s="25">
        <v>99</v>
      </c>
      <c r="E574" s="25">
        <v>4.9000000000000004</v>
      </c>
      <c r="F574" s="25" t="str" cm="1">
        <f t="array" ref="F5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4" s="26">
        <v>2.46</v>
      </c>
      <c r="H574" s="27">
        <v>299</v>
      </c>
    </row>
    <row r="575" spans="1:8" ht="18" x14ac:dyDescent="0.25">
      <c r="A575" s="24" t="s">
        <v>453</v>
      </c>
      <c r="B575" s="25">
        <v>2013</v>
      </c>
      <c r="C575" s="25" t="s">
        <v>2462</v>
      </c>
      <c r="D575" s="25">
        <v>91</v>
      </c>
      <c r="E575" s="25">
        <v>6</v>
      </c>
      <c r="F575" s="25" t="str" cm="1">
        <f t="array" ref="F5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5" s="26">
        <v>2.46</v>
      </c>
      <c r="H575" s="27">
        <v>31901</v>
      </c>
    </row>
    <row r="576" spans="1:8" ht="18" x14ac:dyDescent="0.25">
      <c r="A576" s="24" t="s">
        <v>454</v>
      </c>
      <c r="B576" s="25">
        <v>2013</v>
      </c>
      <c r="C576" s="25" t="s">
        <v>2462</v>
      </c>
      <c r="D576" s="25">
        <v>120</v>
      </c>
      <c r="E576" s="25">
        <v>6.4</v>
      </c>
      <c r="F576" s="25" t="str" cm="1">
        <f t="array" ref="F5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6" s="26">
        <v>1.36</v>
      </c>
      <c r="H576" s="27">
        <v>9266</v>
      </c>
    </row>
    <row r="577" spans="1:8" ht="18" x14ac:dyDescent="0.25">
      <c r="A577" s="24" t="s">
        <v>456</v>
      </c>
      <c r="B577" s="25">
        <v>2013</v>
      </c>
      <c r="C577" s="25" t="s">
        <v>2462</v>
      </c>
      <c r="D577" s="25">
        <v>93</v>
      </c>
      <c r="E577" s="25">
        <v>6.7</v>
      </c>
      <c r="F577" s="25" t="str" cm="1">
        <f t="array" ref="F5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7" s="26">
        <v>0.41</v>
      </c>
      <c r="H577" s="27">
        <v>7686</v>
      </c>
    </row>
    <row r="578" spans="1:8" ht="18" x14ac:dyDescent="0.25">
      <c r="A578" s="24" t="s">
        <v>457</v>
      </c>
      <c r="B578" s="25">
        <v>2013</v>
      </c>
      <c r="C578" s="25" t="s">
        <v>2462</v>
      </c>
      <c r="D578" s="25">
        <v>93</v>
      </c>
      <c r="E578" s="25">
        <v>4.8</v>
      </c>
      <c r="F578" s="25" t="str" cm="1">
        <f t="array" ref="F5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8" s="26">
        <v>7.02</v>
      </c>
      <c r="H578" s="27">
        <v>2328</v>
      </c>
    </row>
    <row r="579" spans="1:8" ht="18" x14ac:dyDescent="0.25">
      <c r="A579" s="24" t="s">
        <v>459</v>
      </c>
      <c r="B579" s="25">
        <v>2013</v>
      </c>
      <c r="C579" s="25" t="s">
        <v>2462</v>
      </c>
      <c r="D579" s="25">
        <v>121</v>
      </c>
      <c r="E579" s="25">
        <v>7.5</v>
      </c>
      <c r="F579" s="25" t="str" cm="1">
        <f t="array" ref="F5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79" s="26">
        <v>125.1</v>
      </c>
      <c r="H579" s="27">
        <v>300953</v>
      </c>
    </row>
    <row r="580" spans="1:8" ht="18" x14ac:dyDescent="0.25">
      <c r="A580" s="24" t="s">
        <v>464</v>
      </c>
      <c r="B580" s="25">
        <v>2013</v>
      </c>
      <c r="C580" s="25" t="s">
        <v>2462</v>
      </c>
      <c r="D580" s="25">
        <v>90</v>
      </c>
      <c r="E580" s="25">
        <v>7.1</v>
      </c>
      <c r="F580" s="25" t="str" cm="1">
        <f t="array" ref="F5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0" s="26">
        <v>0.26</v>
      </c>
      <c r="H580" s="27">
        <v>77638</v>
      </c>
    </row>
    <row r="581" spans="1:8" ht="18" x14ac:dyDescent="0.25">
      <c r="A581" s="24" t="s">
        <v>468</v>
      </c>
      <c r="B581" s="25">
        <v>2013</v>
      </c>
      <c r="C581" s="25" t="s">
        <v>2462</v>
      </c>
      <c r="D581" s="25">
        <v>99</v>
      </c>
      <c r="E581" s="25">
        <v>6.4</v>
      </c>
      <c r="F581" s="25" t="str" cm="1">
        <f t="array" ref="F5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1" s="26">
        <v>0</v>
      </c>
      <c r="H581" s="27">
        <v>24813</v>
      </c>
    </row>
    <row r="582" spans="1:8" ht="18" x14ac:dyDescent="0.25">
      <c r="A582" s="24" t="s">
        <v>471</v>
      </c>
      <c r="B582" s="25">
        <v>2013</v>
      </c>
      <c r="C582" s="25" t="s">
        <v>2464</v>
      </c>
      <c r="D582" s="25">
        <v>99</v>
      </c>
      <c r="E582" s="25">
        <v>6.1</v>
      </c>
      <c r="F582" s="25" t="str" cm="1">
        <f t="array" ref="F5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2" s="26">
        <v>0.01</v>
      </c>
      <c r="H582" s="27">
        <v>20517</v>
      </c>
    </row>
    <row r="583" spans="1:8" ht="18" x14ac:dyDescent="0.25">
      <c r="A583" s="24" t="s">
        <v>476</v>
      </c>
      <c r="B583" s="25">
        <v>2013</v>
      </c>
      <c r="C583" s="25" t="s">
        <v>2462</v>
      </c>
      <c r="D583" s="25">
        <v>97</v>
      </c>
      <c r="E583" s="25">
        <v>6.1</v>
      </c>
      <c r="F583" s="25" t="str" cm="1">
        <f t="array" ref="F5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3" s="26">
        <v>0.02</v>
      </c>
      <c r="H583" s="27">
        <v>18453</v>
      </c>
    </row>
    <row r="584" spans="1:8" ht="18" x14ac:dyDescent="0.25">
      <c r="A584" s="24" t="s">
        <v>485</v>
      </c>
      <c r="B584" s="25">
        <v>2013</v>
      </c>
      <c r="C584" s="25" t="s">
        <v>2462</v>
      </c>
      <c r="D584" s="25">
        <v>99</v>
      </c>
      <c r="E584" s="25">
        <v>5.4</v>
      </c>
      <c r="F584" s="25" t="str" cm="1">
        <f t="array" ref="F5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4" s="26">
        <v>2.46</v>
      </c>
      <c r="H584" s="27">
        <v>7256</v>
      </c>
    </row>
    <row r="585" spans="1:8" ht="18" x14ac:dyDescent="0.25">
      <c r="A585" s="24" t="s">
        <v>488</v>
      </c>
      <c r="B585" s="25">
        <v>2013</v>
      </c>
      <c r="C585" s="25" t="s">
        <v>2462</v>
      </c>
      <c r="D585" s="25">
        <v>104</v>
      </c>
      <c r="E585" s="25">
        <v>6.1</v>
      </c>
      <c r="F585" s="25" t="str" cm="1">
        <f t="array" ref="F5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5" s="26">
        <v>0.05</v>
      </c>
      <c r="H585" s="27">
        <v>7111</v>
      </c>
    </row>
    <row r="586" spans="1:8" ht="18" x14ac:dyDescent="0.25">
      <c r="A586" s="24" t="s">
        <v>490</v>
      </c>
      <c r="B586" s="25">
        <v>2013</v>
      </c>
      <c r="C586" s="25" t="s">
        <v>2464</v>
      </c>
      <c r="D586" s="25">
        <v>91</v>
      </c>
      <c r="E586" s="25">
        <v>6.9</v>
      </c>
      <c r="F586" s="25" t="str" cm="1">
        <f t="array" ref="F5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6" s="26">
        <v>1.01</v>
      </c>
      <c r="H586" s="27">
        <v>208290</v>
      </c>
    </row>
    <row r="587" spans="1:8" ht="18" x14ac:dyDescent="0.25">
      <c r="A587" s="24" t="s">
        <v>491</v>
      </c>
      <c r="B587" s="25">
        <v>2013</v>
      </c>
      <c r="C587" s="25" t="s">
        <v>2462</v>
      </c>
      <c r="D587" s="25">
        <v>93</v>
      </c>
      <c r="E587" s="25">
        <v>6.1</v>
      </c>
      <c r="F587" s="25" t="str" cm="1">
        <f t="array" ref="F5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7" s="26">
        <v>0.52</v>
      </c>
      <c r="H587" s="27">
        <v>27432</v>
      </c>
    </row>
    <row r="588" spans="1:8" ht="18" x14ac:dyDescent="0.25">
      <c r="A588" s="24" t="s">
        <v>492</v>
      </c>
      <c r="B588" s="25">
        <v>2013</v>
      </c>
      <c r="C588" s="25" t="s">
        <v>2462</v>
      </c>
      <c r="D588" s="25">
        <v>105</v>
      </c>
      <c r="E588" s="25">
        <v>6.8</v>
      </c>
      <c r="F588" s="25" t="str" cm="1">
        <f t="array" ref="F5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8" s="26">
        <v>2.46</v>
      </c>
      <c r="H588" s="27">
        <v>5324</v>
      </c>
    </row>
    <row r="589" spans="1:8" ht="18" x14ac:dyDescent="0.25">
      <c r="A589" s="24" t="s">
        <v>493</v>
      </c>
      <c r="B589" s="25">
        <v>2013</v>
      </c>
      <c r="C589" s="25" t="s">
        <v>2462</v>
      </c>
      <c r="D589" s="25">
        <v>91</v>
      </c>
      <c r="E589" s="25">
        <v>6.2</v>
      </c>
      <c r="F589" s="25" t="str" cm="1">
        <f t="array" ref="F5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89" s="26">
        <v>0.04</v>
      </c>
      <c r="H589" s="27">
        <v>3287</v>
      </c>
    </row>
    <row r="590" spans="1:8" ht="18" x14ac:dyDescent="0.25">
      <c r="A590" s="24" t="s">
        <v>495</v>
      </c>
      <c r="B590" s="25">
        <v>2013</v>
      </c>
      <c r="C590" s="25" t="s">
        <v>2463</v>
      </c>
      <c r="D590" s="25">
        <v>117</v>
      </c>
      <c r="E590" s="25">
        <v>6.8</v>
      </c>
      <c r="F590" s="25" t="str" cm="1">
        <f t="array" ref="F5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0" s="26">
        <v>0.37</v>
      </c>
      <c r="H590" s="27">
        <v>50582</v>
      </c>
    </row>
    <row r="591" spans="1:8" ht="18" x14ac:dyDescent="0.25">
      <c r="A591" s="24" t="s">
        <v>496</v>
      </c>
      <c r="B591" s="25">
        <v>2013</v>
      </c>
      <c r="C591" s="25" t="s">
        <v>2463</v>
      </c>
      <c r="D591" s="25">
        <v>100</v>
      </c>
      <c r="E591" s="25">
        <v>7.3</v>
      </c>
      <c r="F591" s="25" t="str" cm="1">
        <f t="array" ref="F5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1" s="26">
        <v>2.46</v>
      </c>
      <c r="H591" s="27">
        <v>3172</v>
      </c>
    </row>
    <row r="592" spans="1:8" ht="18" x14ac:dyDescent="0.25">
      <c r="A592" s="24" t="s">
        <v>2112</v>
      </c>
      <c r="B592" s="25">
        <v>2013</v>
      </c>
      <c r="C592" s="25" t="s">
        <v>2462</v>
      </c>
      <c r="D592" s="25">
        <v>122</v>
      </c>
      <c r="E592" s="25">
        <v>6</v>
      </c>
      <c r="F592" s="25" t="str" cm="1">
        <f t="array" ref="F5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2" s="26">
        <v>2.46</v>
      </c>
      <c r="H592" s="27">
        <v>3777</v>
      </c>
    </row>
    <row r="593" spans="1:8" ht="18" x14ac:dyDescent="0.25">
      <c r="A593" s="24" t="s">
        <v>2113</v>
      </c>
      <c r="B593" s="25">
        <v>2013</v>
      </c>
      <c r="C593" s="25" t="s">
        <v>2462</v>
      </c>
      <c r="D593" s="25">
        <v>84</v>
      </c>
      <c r="E593" s="25">
        <v>5.4</v>
      </c>
      <c r="F593" s="25" t="str" cm="1">
        <f t="array" ref="F5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3" s="26">
        <v>2.46</v>
      </c>
      <c r="H593" s="27">
        <v>9036</v>
      </c>
    </row>
    <row r="594" spans="1:8" ht="18" x14ac:dyDescent="0.25">
      <c r="A594" s="24" t="s">
        <v>503</v>
      </c>
      <c r="B594" s="25">
        <v>2013</v>
      </c>
      <c r="C594" s="25" t="s">
        <v>2462</v>
      </c>
      <c r="D594" s="25">
        <v>84</v>
      </c>
      <c r="E594" s="25">
        <v>4.5999999999999996</v>
      </c>
      <c r="F594" s="25" t="str" cm="1">
        <f t="array" ref="F5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4" s="26">
        <v>2.46</v>
      </c>
      <c r="H594" s="27">
        <v>4353</v>
      </c>
    </row>
    <row r="595" spans="1:8" ht="18" x14ac:dyDescent="0.25">
      <c r="A595" s="24" t="s">
        <v>504</v>
      </c>
      <c r="B595" s="25">
        <v>2013</v>
      </c>
      <c r="C595" s="25" t="s">
        <v>2462</v>
      </c>
      <c r="D595" s="25">
        <v>115</v>
      </c>
      <c r="E595" s="25">
        <v>7.5</v>
      </c>
      <c r="F595" s="25" t="str" cm="1">
        <f t="array" ref="F5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5" s="26">
        <v>44.47</v>
      </c>
      <c r="H595" s="27">
        <v>32244</v>
      </c>
    </row>
    <row r="596" spans="1:8" ht="18" x14ac:dyDescent="0.25">
      <c r="A596" s="24" t="s">
        <v>507</v>
      </c>
      <c r="B596" s="25">
        <v>2013</v>
      </c>
      <c r="C596" s="25" t="s">
        <v>2463</v>
      </c>
      <c r="D596" s="25">
        <v>128</v>
      </c>
      <c r="E596" s="25">
        <v>6.2</v>
      </c>
      <c r="F596" s="25" t="str" cm="1">
        <f t="array" ref="F5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6" s="26">
        <v>38.36</v>
      </c>
      <c r="H596" s="27">
        <v>168437</v>
      </c>
    </row>
    <row r="597" spans="1:8" ht="18" x14ac:dyDescent="0.25">
      <c r="A597" s="24" t="s">
        <v>509</v>
      </c>
      <c r="B597" s="25">
        <v>2013</v>
      </c>
      <c r="C597" s="25" t="s">
        <v>2462</v>
      </c>
      <c r="D597" s="25">
        <v>110</v>
      </c>
      <c r="E597" s="25">
        <v>5.9</v>
      </c>
      <c r="F597" s="25" t="str" cm="1">
        <f t="array" ref="F5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7" s="26">
        <v>2.46</v>
      </c>
      <c r="H597" s="27">
        <v>1312</v>
      </c>
    </row>
    <row r="598" spans="1:8" ht="18" x14ac:dyDescent="0.25">
      <c r="A598" s="24" t="s">
        <v>511</v>
      </c>
      <c r="B598" s="25">
        <v>2013</v>
      </c>
      <c r="C598" s="25" t="s">
        <v>2462</v>
      </c>
      <c r="D598" s="25">
        <v>121</v>
      </c>
      <c r="E598" s="25">
        <v>7.8</v>
      </c>
      <c r="F598" s="25" t="str" cm="1">
        <f t="array" ref="F5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8" s="26">
        <v>0.28000000000000003</v>
      </c>
      <c r="H598" s="27">
        <v>27248</v>
      </c>
    </row>
    <row r="599" spans="1:8" ht="18" x14ac:dyDescent="0.25">
      <c r="A599" s="24" t="s">
        <v>516</v>
      </c>
      <c r="B599" s="25">
        <v>2013</v>
      </c>
      <c r="C599" s="25" t="s">
        <v>2462</v>
      </c>
      <c r="D599" s="25">
        <v>104</v>
      </c>
      <c r="E599" s="25">
        <v>6.5</v>
      </c>
      <c r="F599" s="25" t="str" cm="1">
        <f t="array" ref="F5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599" s="26">
        <v>27.7</v>
      </c>
      <c r="H599" s="27">
        <v>137381</v>
      </c>
    </row>
    <row r="600" spans="1:8" ht="18" x14ac:dyDescent="0.25">
      <c r="A600" s="24" t="s">
        <v>517</v>
      </c>
      <c r="B600" s="25">
        <v>2013</v>
      </c>
      <c r="C600" s="25" t="s">
        <v>2463</v>
      </c>
      <c r="D600" s="25">
        <v>98</v>
      </c>
      <c r="E600" s="25">
        <v>6.3</v>
      </c>
      <c r="F600" s="25" t="str" cm="1">
        <f t="array" ref="F6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0" s="26">
        <v>0.02</v>
      </c>
      <c r="H600" s="27">
        <v>15508</v>
      </c>
    </row>
    <row r="601" spans="1:8" ht="18" x14ac:dyDescent="0.25">
      <c r="A601" s="24" t="s">
        <v>519</v>
      </c>
      <c r="B601" s="25">
        <v>2013</v>
      </c>
      <c r="C601" s="25" t="s">
        <v>2463</v>
      </c>
      <c r="D601" s="25">
        <v>93</v>
      </c>
      <c r="E601" s="25">
        <v>6.5</v>
      </c>
      <c r="F601" s="25" t="str" cm="1">
        <f t="array" ref="F6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1" s="26">
        <v>0.2</v>
      </c>
      <c r="H601" s="27">
        <v>52452</v>
      </c>
    </row>
    <row r="602" spans="1:8" ht="18" x14ac:dyDescent="0.25">
      <c r="A602" s="24" t="s">
        <v>525</v>
      </c>
      <c r="B602" s="25">
        <v>2013</v>
      </c>
      <c r="C602" s="25" t="s">
        <v>2462</v>
      </c>
      <c r="D602" s="25">
        <v>94</v>
      </c>
      <c r="E602" s="25">
        <v>6.3</v>
      </c>
      <c r="F602" s="25" t="str" cm="1">
        <f t="array" ref="F6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2" s="26">
        <v>0.01</v>
      </c>
      <c r="H602" s="27">
        <v>1843</v>
      </c>
    </row>
    <row r="603" spans="1:8" ht="18" x14ac:dyDescent="0.25">
      <c r="A603" s="24" t="s">
        <v>2114</v>
      </c>
      <c r="B603" s="25">
        <v>2013</v>
      </c>
      <c r="C603" s="25" t="s">
        <v>2462</v>
      </c>
      <c r="D603" s="25">
        <v>108</v>
      </c>
      <c r="E603" s="25">
        <v>6.3</v>
      </c>
      <c r="F603" s="25" t="str" cm="1">
        <f t="array" ref="F6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3" s="26">
        <v>2.61</v>
      </c>
      <c r="H603" s="27">
        <v>153313</v>
      </c>
    </row>
    <row r="604" spans="1:8" ht="18" x14ac:dyDescent="0.25">
      <c r="A604" s="24" t="s">
        <v>528</v>
      </c>
      <c r="B604" s="25">
        <v>2013</v>
      </c>
      <c r="C604" s="25" t="s">
        <v>2462</v>
      </c>
      <c r="D604" s="25">
        <v>112</v>
      </c>
      <c r="E604" s="25">
        <v>7.1</v>
      </c>
      <c r="F604" s="25" t="str" cm="1">
        <f t="array" ref="F6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4" s="26">
        <v>0.51</v>
      </c>
      <c r="H604" s="27">
        <v>31165</v>
      </c>
    </row>
    <row r="605" spans="1:8" ht="18" x14ac:dyDescent="0.25">
      <c r="A605" s="24" t="s">
        <v>530</v>
      </c>
      <c r="B605" s="25">
        <v>2013</v>
      </c>
      <c r="C605" s="25" t="s">
        <v>2462</v>
      </c>
      <c r="D605" s="25">
        <v>100</v>
      </c>
      <c r="E605" s="25">
        <v>7.3</v>
      </c>
      <c r="F605" s="25" t="str" cm="1">
        <f t="array" ref="F6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5" s="26">
        <v>10.73</v>
      </c>
      <c r="H605" s="27">
        <v>32628</v>
      </c>
    </row>
    <row r="606" spans="1:8" ht="18" x14ac:dyDescent="0.25">
      <c r="A606" s="24" t="s">
        <v>534</v>
      </c>
      <c r="B606" s="25">
        <v>2013</v>
      </c>
      <c r="C606" s="25" t="s">
        <v>2462</v>
      </c>
      <c r="D606" s="25">
        <v>91</v>
      </c>
      <c r="E606" s="25">
        <v>5.9</v>
      </c>
      <c r="F606" s="25" t="str" cm="1">
        <f t="array" ref="F6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6" s="26">
        <v>2.46</v>
      </c>
      <c r="H606" s="27">
        <v>16215</v>
      </c>
    </row>
    <row r="607" spans="1:8" ht="18" x14ac:dyDescent="0.25">
      <c r="A607" s="24" t="s">
        <v>2115</v>
      </c>
      <c r="B607" s="25">
        <v>2013</v>
      </c>
      <c r="C607" s="25" t="s">
        <v>2463</v>
      </c>
      <c r="D607" s="25">
        <v>114</v>
      </c>
      <c r="E607" s="25">
        <v>6.1</v>
      </c>
      <c r="F607" s="25" t="str" cm="1">
        <f t="array" ref="F6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7" s="26">
        <v>2.46</v>
      </c>
      <c r="H607" s="27">
        <v>23390</v>
      </c>
    </row>
    <row r="608" spans="1:8" ht="18" x14ac:dyDescent="0.25">
      <c r="A608" s="24" t="s">
        <v>541</v>
      </c>
      <c r="B608" s="25">
        <v>2013</v>
      </c>
      <c r="C608" s="25" t="s">
        <v>2462</v>
      </c>
      <c r="D608" s="25">
        <v>111</v>
      </c>
      <c r="E608" s="25">
        <v>7.2</v>
      </c>
      <c r="F608" s="25" t="str" cm="1">
        <f t="array" ref="F6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8" s="26">
        <v>0.16</v>
      </c>
      <c r="H608" s="27">
        <v>13277</v>
      </c>
    </row>
    <row r="609" spans="1:8" ht="18" x14ac:dyDescent="0.25">
      <c r="A609" s="24" t="s">
        <v>2116</v>
      </c>
      <c r="B609" s="25">
        <v>2013</v>
      </c>
      <c r="C609" s="25" t="s">
        <v>2464</v>
      </c>
      <c r="D609" s="25">
        <v>92</v>
      </c>
      <c r="E609" s="25">
        <v>6.2</v>
      </c>
      <c r="F609" s="25" t="str" cm="1">
        <f t="array" ref="F6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09" s="26">
        <v>0.31</v>
      </c>
      <c r="H609" s="27">
        <v>5839</v>
      </c>
    </row>
    <row r="610" spans="1:8" ht="18" x14ac:dyDescent="0.25">
      <c r="A610" s="24" t="s">
        <v>548</v>
      </c>
      <c r="B610" s="25">
        <v>2013</v>
      </c>
      <c r="C610" s="25" t="s">
        <v>2462</v>
      </c>
      <c r="D610" s="25">
        <v>106</v>
      </c>
      <c r="E610" s="25">
        <v>7.3</v>
      </c>
      <c r="F610" s="25" t="str" cm="1">
        <f t="array" ref="F6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0" s="26">
        <v>0.03</v>
      </c>
      <c r="H610" s="27">
        <v>48115</v>
      </c>
    </row>
    <row r="611" spans="1:8" ht="18" x14ac:dyDescent="0.25">
      <c r="A611" s="24" t="s">
        <v>554</v>
      </c>
      <c r="B611" s="25">
        <v>2013</v>
      </c>
      <c r="C611" s="25" t="s">
        <v>2462</v>
      </c>
      <c r="D611" s="25">
        <v>98</v>
      </c>
      <c r="E611" s="25">
        <v>7.6</v>
      </c>
      <c r="F611" s="25" t="str" cm="1">
        <f t="array" ref="F6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1" s="26">
        <v>37.71</v>
      </c>
      <c r="H611" s="27">
        <v>102928</v>
      </c>
    </row>
    <row r="612" spans="1:8" ht="18" x14ac:dyDescent="0.25">
      <c r="A612" s="24" t="s">
        <v>556</v>
      </c>
      <c r="B612" s="25">
        <v>2013</v>
      </c>
      <c r="C612" s="25" t="s">
        <v>2464</v>
      </c>
      <c r="D612" s="25">
        <v>100</v>
      </c>
      <c r="E612" s="25">
        <v>6.1</v>
      </c>
      <c r="F612" s="25" t="str" cm="1">
        <f t="array" ref="F6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2" s="26">
        <v>0.01</v>
      </c>
      <c r="H612" s="27">
        <v>3663</v>
      </c>
    </row>
    <row r="613" spans="1:8" ht="18" x14ac:dyDescent="0.25">
      <c r="A613" s="24" t="s">
        <v>2117</v>
      </c>
      <c r="B613" s="25">
        <v>2013</v>
      </c>
      <c r="C613" s="25" t="s">
        <v>2462</v>
      </c>
      <c r="D613" s="25">
        <v>111</v>
      </c>
      <c r="E613" s="25">
        <v>6.6</v>
      </c>
      <c r="F613" s="25" t="str" cm="1">
        <f t="array" ref="F6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3" s="26">
        <v>2.17</v>
      </c>
      <c r="H613" s="27">
        <v>11301</v>
      </c>
    </row>
    <row r="614" spans="1:8" ht="18" x14ac:dyDescent="0.25">
      <c r="A614" s="24" t="s">
        <v>558</v>
      </c>
      <c r="B614" s="25">
        <v>2013</v>
      </c>
      <c r="C614" s="25" t="s">
        <v>2462</v>
      </c>
      <c r="D614" s="25">
        <v>104</v>
      </c>
      <c r="E614" s="25">
        <v>7.4</v>
      </c>
      <c r="F614" s="25" t="str" cm="1">
        <f t="array" ref="F6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4" s="26">
        <v>16.170000000000002</v>
      </c>
      <c r="H614" s="27">
        <v>164038</v>
      </c>
    </row>
    <row r="615" spans="1:8" ht="18" x14ac:dyDescent="0.25">
      <c r="A615" s="24" t="s">
        <v>562</v>
      </c>
      <c r="B615" s="25">
        <v>2013</v>
      </c>
      <c r="C615" s="25" t="s">
        <v>2462</v>
      </c>
      <c r="D615" s="25">
        <v>113</v>
      </c>
      <c r="E615" s="25">
        <v>7</v>
      </c>
      <c r="F615" s="25" t="str" cm="1">
        <f t="array" ref="F6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5" s="26">
        <v>3.41</v>
      </c>
      <c r="H615" s="27">
        <v>18857</v>
      </c>
    </row>
    <row r="616" spans="1:8" ht="18" x14ac:dyDescent="0.25">
      <c r="A616" s="24" t="s">
        <v>563</v>
      </c>
      <c r="B616" s="25">
        <v>2013</v>
      </c>
      <c r="C616" s="25" t="s">
        <v>2462</v>
      </c>
      <c r="D616" s="25">
        <v>137</v>
      </c>
      <c r="E616" s="25">
        <v>6.3</v>
      </c>
      <c r="F616" s="25" t="str" cm="1">
        <f t="array" ref="F6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6" s="26">
        <v>1.02</v>
      </c>
      <c r="H616" s="27">
        <v>29057</v>
      </c>
    </row>
    <row r="617" spans="1:8" ht="18" x14ac:dyDescent="0.25">
      <c r="A617" s="24" t="s">
        <v>567</v>
      </c>
      <c r="B617" s="25">
        <v>2013</v>
      </c>
      <c r="C617" s="25" t="s">
        <v>2462</v>
      </c>
      <c r="D617" s="25">
        <v>105</v>
      </c>
      <c r="E617" s="25">
        <v>6.1</v>
      </c>
      <c r="F617" s="25" t="str" cm="1">
        <f t="array" ref="F6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7" s="26">
        <v>2.46</v>
      </c>
      <c r="H617" s="27">
        <v>5767</v>
      </c>
    </row>
    <row r="618" spans="1:8" ht="18" x14ac:dyDescent="0.25">
      <c r="A618" s="24" t="s">
        <v>568</v>
      </c>
      <c r="B618" s="25">
        <v>2013</v>
      </c>
      <c r="C618" s="25" t="s">
        <v>2462</v>
      </c>
      <c r="D618" s="25">
        <v>131</v>
      </c>
      <c r="E618" s="25">
        <v>7.5</v>
      </c>
      <c r="F618" s="25" t="str" cm="1">
        <f t="array" ref="F6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8" s="26">
        <v>21.49</v>
      </c>
      <c r="H618" s="27">
        <v>140748</v>
      </c>
    </row>
    <row r="619" spans="1:8" ht="18" x14ac:dyDescent="0.25">
      <c r="A619" s="24" t="s">
        <v>2118</v>
      </c>
      <c r="B619" s="25">
        <v>2013</v>
      </c>
      <c r="C619" s="25" t="s">
        <v>2462</v>
      </c>
      <c r="D619" s="25">
        <v>117</v>
      </c>
      <c r="E619" s="25">
        <v>6.2</v>
      </c>
      <c r="F619" s="25" t="str" cm="1">
        <f t="array" ref="F6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19" s="26">
        <v>2.46</v>
      </c>
      <c r="H619" s="27">
        <v>2688</v>
      </c>
    </row>
    <row r="620" spans="1:8" ht="18" x14ac:dyDescent="0.25">
      <c r="A620" s="24" t="s">
        <v>576</v>
      </c>
      <c r="B620" s="25">
        <v>2013</v>
      </c>
      <c r="C620" s="25" t="s">
        <v>2462</v>
      </c>
      <c r="D620" s="25">
        <v>102</v>
      </c>
      <c r="E620" s="25">
        <v>6.2</v>
      </c>
      <c r="F620" s="25" t="str" cm="1">
        <f t="array" ref="F6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0" s="26">
        <v>2.46</v>
      </c>
      <c r="H620" s="27">
        <v>30962</v>
      </c>
    </row>
    <row r="621" spans="1:8" ht="18" x14ac:dyDescent="0.25">
      <c r="A621" s="24" t="s">
        <v>2119</v>
      </c>
      <c r="B621" s="25">
        <v>2013</v>
      </c>
      <c r="C621" s="25" t="s">
        <v>2462</v>
      </c>
      <c r="D621" s="25">
        <v>130</v>
      </c>
      <c r="E621" s="25">
        <v>7.1</v>
      </c>
      <c r="F621" s="25" t="str" cm="1">
        <f t="array" ref="F6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1" s="26">
        <v>0.09</v>
      </c>
      <c r="H621" s="27">
        <v>12516</v>
      </c>
    </row>
    <row r="622" spans="1:8" ht="18" x14ac:dyDescent="0.25">
      <c r="A622" s="24" t="s">
        <v>584</v>
      </c>
      <c r="B622" s="25">
        <v>2013</v>
      </c>
      <c r="C622" s="25" t="s">
        <v>2462</v>
      </c>
      <c r="D622" s="25">
        <v>98</v>
      </c>
      <c r="E622" s="25">
        <v>7.3</v>
      </c>
      <c r="F622" s="25" t="str" cm="1">
        <f t="array" ref="F6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2" s="26">
        <v>33.409999999999997</v>
      </c>
      <c r="H622" s="27">
        <v>210319</v>
      </c>
    </row>
    <row r="623" spans="1:8" ht="18" x14ac:dyDescent="0.25">
      <c r="A623" s="24" t="s">
        <v>586</v>
      </c>
      <c r="B623" s="25">
        <v>2013</v>
      </c>
      <c r="C623" s="25" t="s">
        <v>2462</v>
      </c>
      <c r="D623" s="25">
        <v>113</v>
      </c>
      <c r="E623" s="25">
        <v>6.4</v>
      </c>
      <c r="F623" s="25" t="str" cm="1">
        <f t="array" ref="F6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3" s="26">
        <v>0</v>
      </c>
      <c r="H623" s="27">
        <v>3885</v>
      </c>
    </row>
    <row r="624" spans="1:8" ht="18" x14ac:dyDescent="0.25">
      <c r="A624" s="24" t="s">
        <v>587</v>
      </c>
      <c r="B624" s="25">
        <v>2013</v>
      </c>
      <c r="C624" s="25" t="s">
        <v>2462</v>
      </c>
      <c r="D624" s="25">
        <v>108</v>
      </c>
      <c r="E624" s="25">
        <v>7.6</v>
      </c>
      <c r="F624" s="25" t="str" cm="1">
        <f t="array" ref="F6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4" s="26">
        <v>2.46</v>
      </c>
      <c r="H624" s="27">
        <v>5084</v>
      </c>
    </row>
    <row r="625" spans="1:8" ht="18" x14ac:dyDescent="0.25">
      <c r="A625" s="24" t="s">
        <v>2120</v>
      </c>
      <c r="B625" s="25">
        <v>2013</v>
      </c>
      <c r="C625" s="25" t="s">
        <v>2463</v>
      </c>
      <c r="D625" s="25">
        <v>114</v>
      </c>
      <c r="E625" s="25">
        <v>7.3</v>
      </c>
      <c r="F625" s="25" t="str" cm="1">
        <f t="array" ref="F6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5" s="26">
        <v>58.24</v>
      </c>
      <c r="H625" s="27">
        <v>332292</v>
      </c>
    </row>
    <row r="626" spans="1:8" ht="18" x14ac:dyDescent="0.25">
      <c r="A626" s="24" t="s">
        <v>594</v>
      </c>
      <c r="B626" s="25">
        <v>2013</v>
      </c>
      <c r="C626" s="25" t="s">
        <v>2462</v>
      </c>
      <c r="D626" s="25">
        <v>107</v>
      </c>
      <c r="E626" s="25">
        <v>6</v>
      </c>
      <c r="F626" s="25" t="str" cm="1">
        <f t="array" ref="F6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6" s="26">
        <v>0.22</v>
      </c>
      <c r="H626" s="27">
        <v>49104</v>
      </c>
    </row>
    <row r="627" spans="1:8" ht="18" x14ac:dyDescent="0.25">
      <c r="A627" s="24" t="s">
        <v>602</v>
      </c>
      <c r="B627" s="25">
        <v>2013</v>
      </c>
      <c r="C627" s="25" t="s">
        <v>2462</v>
      </c>
      <c r="D627" s="25">
        <v>138</v>
      </c>
      <c r="E627" s="25">
        <v>6.9</v>
      </c>
      <c r="F627" s="25" t="str" cm="1">
        <f t="array" ref="F6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7" s="26">
        <v>2.46</v>
      </c>
      <c r="H627" s="27">
        <v>3019</v>
      </c>
    </row>
    <row r="628" spans="1:8" ht="18" x14ac:dyDescent="0.25">
      <c r="A628" s="24" t="s">
        <v>603</v>
      </c>
      <c r="B628" s="25">
        <v>2013</v>
      </c>
      <c r="C628" s="25" t="s">
        <v>2463</v>
      </c>
      <c r="D628" s="25">
        <v>112</v>
      </c>
      <c r="E628" s="25">
        <v>6.1</v>
      </c>
      <c r="F628" s="25" t="str" cm="1">
        <f t="array" ref="F6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8" s="26">
        <v>0.25</v>
      </c>
      <c r="H628" s="27">
        <v>16461</v>
      </c>
    </row>
    <row r="629" spans="1:8" ht="18" x14ac:dyDescent="0.25">
      <c r="A629" s="24" t="s">
        <v>610</v>
      </c>
      <c r="B629" s="25">
        <v>2013</v>
      </c>
      <c r="C629" s="25" t="s">
        <v>2462</v>
      </c>
      <c r="D629" s="25">
        <v>107</v>
      </c>
      <c r="E629" s="25">
        <v>6.1</v>
      </c>
      <c r="F629" s="25" t="str" cm="1">
        <f t="array" ref="F6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29" s="26">
        <v>0.42</v>
      </c>
      <c r="H629" s="27">
        <v>9412</v>
      </c>
    </row>
    <row r="630" spans="1:8" ht="18" x14ac:dyDescent="0.25">
      <c r="A630" s="24" t="s">
        <v>2121</v>
      </c>
      <c r="B630" s="25">
        <v>2013</v>
      </c>
      <c r="C630" s="25" t="s">
        <v>2462</v>
      </c>
      <c r="D630" s="25">
        <v>88</v>
      </c>
      <c r="E630" s="25">
        <v>7.1</v>
      </c>
      <c r="F630" s="25" t="str" cm="1">
        <f t="array" ref="F6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0" s="26">
        <v>0.13</v>
      </c>
      <c r="H630" s="27">
        <v>3644</v>
      </c>
    </row>
    <row r="631" spans="1:8" ht="18" x14ac:dyDescent="0.25">
      <c r="A631" s="24" t="s">
        <v>620</v>
      </c>
      <c r="B631" s="25">
        <v>2013</v>
      </c>
      <c r="C631" s="25" t="s">
        <v>2463</v>
      </c>
      <c r="D631" s="25">
        <v>90</v>
      </c>
      <c r="E631" s="25">
        <v>6.1</v>
      </c>
      <c r="F631" s="25" t="str" cm="1">
        <f t="array" ref="F6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1" s="26">
        <v>2.46</v>
      </c>
      <c r="H631" s="27">
        <v>3569</v>
      </c>
    </row>
    <row r="632" spans="1:8" ht="18" x14ac:dyDescent="0.25">
      <c r="A632" s="24" t="s">
        <v>627</v>
      </c>
      <c r="B632" s="25">
        <v>2013</v>
      </c>
      <c r="C632" s="25" t="s">
        <v>2462</v>
      </c>
      <c r="D632" s="25">
        <v>92</v>
      </c>
      <c r="E632" s="25">
        <v>7.3</v>
      </c>
      <c r="F632" s="25" t="str" cm="1">
        <f t="array" ref="F6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2" s="26">
        <v>0.05</v>
      </c>
      <c r="H632" s="27">
        <v>3460</v>
      </c>
    </row>
    <row r="633" spans="1:8" ht="18" x14ac:dyDescent="0.25">
      <c r="A633" s="24" t="s">
        <v>628</v>
      </c>
      <c r="B633" s="25">
        <v>2013</v>
      </c>
      <c r="C633" s="25" t="s">
        <v>2462</v>
      </c>
      <c r="D633" s="25">
        <v>111</v>
      </c>
      <c r="E633" s="25">
        <v>6.9</v>
      </c>
      <c r="F633" s="25" t="str" cm="1">
        <f t="array" ref="F6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3" s="26">
        <v>13.36</v>
      </c>
      <c r="H633" s="27">
        <v>50571</v>
      </c>
    </row>
    <row r="634" spans="1:8" ht="18" x14ac:dyDescent="0.25">
      <c r="A634" s="24" t="s">
        <v>646</v>
      </c>
      <c r="B634" s="25">
        <v>2013</v>
      </c>
      <c r="C634" s="25" t="s">
        <v>2462</v>
      </c>
      <c r="D634" s="25">
        <v>94</v>
      </c>
      <c r="E634" s="25">
        <v>6.9</v>
      </c>
      <c r="F634" s="25" t="str" cm="1">
        <f t="array" ref="F6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4" s="26">
        <v>0.05</v>
      </c>
      <c r="H634" s="27">
        <v>4675</v>
      </c>
    </row>
    <row r="635" spans="1:8" ht="18" x14ac:dyDescent="0.25">
      <c r="A635" s="24" t="s">
        <v>653</v>
      </c>
      <c r="B635" s="25">
        <v>2013</v>
      </c>
      <c r="C635" s="25" t="s">
        <v>2463</v>
      </c>
      <c r="D635" s="25">
        <v>87</v>
      </c>
      <c r="E635" s="25">
        <v>6.6</v>
      </c>
      <c r="F635" s="25" t="str" cm="1">
        <f t="array" ref="F6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5" s="26">
        <v>2.46</v>
      </c>
      <c r="H635" s="27">
        <v>18541</v>
      </c>
    </row>
    <row r="636" spans="1:8" ht="18" x14ac:dyDescent="0.25">
      <c r="A636" s="24" t="s">
        <v>656</v>
      </c>
      <c r="B636" s="25">
        <v>2013</v>
      </c>
      <c r="C636" s="25" t="s">
        <v>2462</v>
      </c>
      <c r="D636" s="25">
        <v>120</v>
      </c>
      <c r="E636" s="25">
        <v>6.4</v>
      </c>
      <c r="F636" s="25" t="str" cm="1">
        <f t="array" ref="F6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6" s="26">
        <v>0.16</v>
      </c>
      <c r="H636" s="27">
        <v>86937</v>
      </c>
    </row>
    <row r="637" spans="1:8" ht="18" x14ac:dyDescent="0.25">
      <c r="A637" s="24" t="s">
        <v>665</v>
      </c>
      <c r="B637" s="25">
        <v>2013</v>
      </c>
      <c r="C637" s="25" t="s">
        <v>2462</v>
      </c>
      <c r="D637" s="25">
        <v>89</v>
      </c>
      <c r="E637" s="25">
        <v>7.2</v>
      </c>
      <c r="F637" s="25" t="str" cm="1">
        <f t="array" ref="F6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7" s="26">
        <v>7.0000000000000007E-2</v>
      </c>
      <c r="H637" s="27">
        <v>141592</v>
      </c>
    </row>
    <row r="638" spans="1:8" ht="18" x14ac:dyDescent="0.25">
      <c r="A638" s="24" t="s">
        <v>666</v>
      </c>
      <c r="B638" s="25">
        <v>2013</v>
      </c>
      <c r="C638" s="25" t="s">
        <v>2462</v>
      </c>
      <c r="D638" s="25">
        <v>130</v>
      </c>
      <c r="E638" s="25">
        <v>7</v>
      </c>
      <c r="F638" s="25" t="str" cm="1">
        <f t="array" ref="F6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8" s="26">
        <v>238.68</v>
      </c>
      <c r="H638" s="27">
        <v>410901</v>
      </c>
    </row>
    <row r="639" spans="1:8" ht="18" x14ac:dyDescent="0.25">
      <c r="A639" s="24" t="s">
        <v>670</v>
      </c>
      <c r="B639" s="25">
        <v>2013</v>
      </c>
      <c r="C639" s="25" t="s">
        <v>2462</v>
      </c>
      <c r="D639" s="25">
        <v>95</v>
      </c>
      <c r="E639" s="25">
        <v>6.3</v>
      </c>
      <c r="F639" s="25" t="str" cm="1">
        <f t="array" ref="F6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39" s="26">
        <v>2.46</v>
      </c>
      <c r="H639" s="27">
        <v>1862</v>
      </c>
    </row>
    <row r="640" spans="1:8" ht="18" x14ac:dyDescent="0.25">
      <c r="A640" s="24" t="s">
        <v>671</v>
      </c>
      <c r="B640" s="25">
        <v>2013</v>
      </c>
      <c r="C640" s="25" t="s">
        <v>2462</v>
      </c>
      <c r="D640" s="25">
        <v>105</v>
      </c>
      <c r="E640" s="25">
        <v>5.3</v>
      </c>
      <c r="F640" s="25" t="str" cm="1">
        <f t="array" ref="F6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0" s="26">
        <v>71.02</v>
      </c>
      <c r="H640" s="27">
        <v>45024</v>
      </c>
    </row>
    <row r="641" spans="1:8" ht="18" x14ac:dyDescent="0.25">
      <c r="A641" s="24" t="s">
        <v>672</v>
      </c>
      <c r="B641" s="25">
        <v>2013</v>
      </c>
      <c r="C641" s="25" t="s">
        <v>2462</v>
      </c>
      <c r="D641" s="25">
        <v>123</v>
      </c>
      <c r="E641" s="25">
        <v>7.2</v>
      </c>
      <c r="F641" s="25" t="str" cm="1">
        <f t="array" ref="F6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1" s="26">
        <v>1.88</v>
      </c>
      <c r="H641" s="27">
        <v>106072</v>
      </c>
    </row>
    <row r="642" spans="1:8" ht="18" x14ac:dyDescent="0.25">
      <c r="A642" s="24" t="s">
        <v>674</v>
      </c>
      <c r="B642" s="25">
        <v>2013</v>
      </c>
      <c r="C642" s="25" t="s">
        <v>2462</v>
      </c>
      <c r="D642" s="25">
        <v>91</v>
      </c>
      <c r="E642" s="25">
        <v>5.7</v>
      </c>
      <c r="F642" s="25" t="str" cm="1">
        <f t="array" ref="F6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2" s="26">
        <v>90.29</v>
      </c>
      <c r="H642" s="27">
        <v>47791</v>
      </c>
    </row>
    <row r="643" spans="1:8" ht="18" x14ac:dyDescent="0.25">
      <c r="A643" s="24" t="s">
        <v>679</v>
      </c>
      <c r="B643" s="25">
        <v>2013</v>
      </c>
      <c r="C643" s="25" t="s">
        <v>2462</v>
      </c>
      <c r="D643" s="25">
        <v>84</v>
      </c>
      <c r="E643" s="25">
        <v>4.9000000000000004</v>
      </c>
      <c r="F643" s="25" t="str" cm="1">
        <f t="array" ref="F6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3" s="26">
        <v>0.01</v>
      </c>
      <c r="H643" s="27">
        <v>1148</v>
      </c>
    </row>
    <row r="644" spans="1:8" ht="18" x14ac:dyDescent="0.25">
      <c r="A644" s="24" t="s">
        <v>2122</v>
      </c>
      <c r="B644" s="25">
        <v>2013</v>
      </c>
      <c r="C644" s="25" t="s">
        <v>2462</v>
      </c>
      <c r="D644" s="25">
        <v>94</v>
      </c>
      <c r="E644" s="25">
        <v>6.9</v>
      </c>
      <c r="F644" s="25" t="str" cm="1">
        <f t="array" ref="F6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4" s="26">
        <v>2.46</v>
      </c>
      <c r="H644" s="27">
        <v>7294</v>
      </c>
    </row>
    <row r="645" spans="1:8" ht="18" x14ac:dyDescent="0.25">
      <c r="A645" s="24" t="s">
        <v>682</v>
      </c>
      <c r="B645" s="25">
        <v>2013</v>
      </c>
      <c r="C645" s="25" t="s">
        <v>2463</v>
      </c>
      <c r="D645" s="25">
        <v>109</v>
      </c>
      <c r="E645" s="25">
        <v>6.7</v>
      </c>
      <c r="F645" s="25" t="str" cm="1">
        <f t="array" ref="F6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5" s="26">
        <v>75.61</v>
      </c>
      <c r="H645" s="27">
        <v>222163</v>
      </c>
    </row>
    <row r="646" spans="1:8" ht="18" x14ac:dyDescent="0.25">
      <c r="A646" s="24" t="s">
        <v>685</v>
      </c>
      <c r="B646" s="25">
        <v>2013</v>
      </c>
      <c r="C646" s="25" t="s">
        <v>2462</v>
      </c>
      <c r="D646" s="25">
        <v>92</v>
      </c>
      <c r="E646" s="25">
        <v>6.6</v>
      </c>
      <c r="F646" s="25" t="str" cm="1">
        <f t="array" ref="F6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6" s="26">
        <v>0.05</v>
      </c>
      <c r="H646" s="27">
        <v>2721</v>
      </c>
    </row>
    <row r="647" spans="1:8" ht="18" x14ac:dyDescent="0.25">
      <c r="A647" s="24" t="s">
        <v>694</v>
      </c>
      <c r="B647" s="25">
        <v>2013</v>
      </c>
      <c r="C647" s="25" t="s">
        <v>2462</v>
      </c>
      <c r="D647" s="25">
        <v>95</v>
      </c>
      <c r="E647" s="25">
        <v>6.3</v>
      </c>
      <c r="F647" s="25" t="str" cm="1">
        <f t="array" ref="F6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7" s="26">
        <v>0.01</v>
      </c>
      <c r="H647" s="27">
        <v>920</v>
      </c>
    </row>
    <row r="648" spans="1:8" ht="18" x14ac:dyDescent="0.25">
      <c r="A648" s="24" t="s">
        <v>712</v>
      </c>
      <c r="B648" s="25">
        <v>2013</v>
      </c>
      <c r="C648" s="25" t="s">
        <v>2462</v>
      </c>
      <c r="D648" s="25">
        <v>94</v>
      </c>
      <c r="E648" s="25">
        <v>6.7</v>
      </c>
      <c r="F648" s="25" t="str" cm="1">
        <f t="array" ref="F6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8" s="26">
        <v>2.46</v>
      </c>
      <c r="H648" s="27">
        <v>1848</v>
      </c>
    </row>
    <row r="649" spans="1:8" ht="18" x14ac:dyDescent="0.25">
      <c r="A649" s="24" t="s">
        <v>2123</v>
      </c>
      <c r="B649" s="25">
        <v>2013</v>
      </c>
      <c r="C649" s="25" t="s">
        <v>2462</v>
      </c>
      <c r="D649" s="25">
        <v>118</v>
      </c>
      <c r="E649" s="25">
        <v>5.7</v>
      </c>
      <c r="F649" s="25" t="str" cm="1">
        <f t="array" ref="F6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49" s="26">
        <v>0.32</v>
      </c>
      <c r="H649" s="27">
        <v>6938</v>
      </c>
    </row>
    <row r="650" spans="1:8" ht="18" x14ac:dyDescent="0.25">
      <c r="A650" s="24" t="s">
        <v>2124</v>
      </c>
      <c r="B650" s="25">
        <v>2013</v>
      </c>
      <c r="C650" s="25" t="s">
        <v>2463</v>
      </c>
      <c r="D650" s="25">
        <v>105</v>
      </c>
      <c r="E650" s="25">
        <v>7</v>
      </c>
      <c r="F650" s="25" t="str" cm="1">
        <f t="array" ref="F6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0" s="26">
        <v>0.1</v>
      </c>
      <c r="H650" s="27">
        <v>19416</v>
      </c>
    </row>
    <row r="651" spans="1:8" ht="18" x14ac:dyDescent="0.25">
      <c r="A651" s="24" t="s">
        <v>725</v>
      </c>
      <c r="B651" s="25">
        <v>2013</v>
      </c>
      <c r="C651" s="25" t="s">
        <v>2462</v>
      </c>
      <c r="D651" s="25">
        <v>97</v>
      </c>
      <c r="E651" s="25">
        <v>6.1</v>
      </c>
      <c r="F651" s="25" t="str" cm="1">
        <f t="array" ref="F6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1" s="26">
        <v>0.03</v>
      </c>
      <c r="H651" s="27">
        <v>3983</v>
      </c>
    </row>
    <row r="652" spans="1:8" ht="18" x14ac:dyDescent="0.25">
      <c r="A652" s="24" t="s">
        <v>727</v>
      </c>
      <c r="B652" s="25">
        <v>2013</v>
      </c>
      <c r="C652" s="25" t="s">
        <v>2462</v>
      </c>
      <c r="D652" s="25">
        <v>94</v>
      </c>
      <c r="E652" s="25">
        <v>6</v>
      </c>
      <c r="F652" s="25" t="str" cm="1">
        <f t="array" ref="F6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2" s="26">
        <v>2.46</v>
      </c>
      <c r="H652" s="27">
        <v>4450</v>
      </c>
    </row>
    <row r="653" spans="1:8" ht="18" x14ac:dyDescent="0.25">
      <c r="A653" s="24" t="s">
        <v>728</v>
      </c>
      <c r="B653" s="25">
        <v>2013</v>
      </c>
      <c r="C653" s="25" t="s">
        <v>2464</v>
      </c>
      <c r="D653" s="25">
        <v>117</v>
      </c>
      <c r="E653" s="25">
        <v>6.9</v>
      </c>
      <c r="F653" s="25" t="str" cm="1">
        <f t="array" ref="F6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3" s="26">
        <v>0.79</v>
      </c>
      <c r="H653" s="27">
        <v>129468</v>
      </c>
    </row>
    <row r="654" spans="1:8" ht="18" x14ac:dyDescent="0.25">
      <c r="A654" s="24" t="s">
        <v>2125</v>
      </c>
      <c r="B654" s="25">
        <v>2013</v>
      </c>
      <c r="C654" s="25" t="s">
        <v>2462</v>
      </c>
      <c r="D654" s="25">
        <v>124</v>
      </c>
      <c r="E654" s="25">
        <v>6.6</v>
      </c>
      <c r="F654" s="25" t="str" cm="1">
        <f t="array" ref="F6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4" s="26">
        <v>0.33</v>
      </c>
      <c r="H654" s="27">
        <v>96643</v>
      </c>
    </row>
    <row r="655" spans="1:8" ht="18" x14ac:dyDescent="0.25">
      <c r="A655" s="24" t="s">
        <v>731</v>
      </c>
      <c r="B655" s="25">
        <v>2013</v>
      </c>
      <c r="C655" s="25" t="s">
        <v>2463</v>
      </c>
      <c r="D655" s="25">
        <v>96</v>
      </c>
      <c r="E655" s="25">
        <v>5.5</v>
      </c>
      <c r="F655" s="25" t="str" cm="1">
        <f t="array" ref="F6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5" s="26">
        <v>2.46</v>
      </c>
      <c r="H655" s="27">
        <v>8418</v>
      </c>
    </row>
    <row r="656" spans="1:8" ht="18" x14ac:dyDescent="0.25">
      <c r="A656" s="24" t="s">
        <v>732</v>
      </c>
      <c r="B656" s="25">
        <v>2013</v>
      </c>
      <c r="C656" s="25" t="s">
        <v>2462</v>
      </c>
      <c r="D656" s="25">
        <v>105</v>
      </c>
      <c r="E656" s="25">
        <v>6.3</v>
      </c>
      <c r="F656" s="25" t="str" cm="1">
        <f t="array" ref="F6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6" s="26">
        <v>30.66</v>
      </c>
      <c r="H656" s="27">
        <v>82061</v>
      </c>
    </row>
    <row r="657" spans="1:8" ht="18" x14ac:dyDescent="0.25">
      <c r="A657" s="24" t="s">
        <v>2126</v>
      </c>
      <c r="B657" s="25">
        <v>2013</v>
      </c>
      <c r="C657" s="25" t="s">
        <v>2462</v>
      </c>
      <c r="D657" s="25">
        <v>137</v>
      </c>
      <c r="E657" s="25">
        <v>8</v>
      </c>
      <c r="F657" s="25" t="str" cm="1">
        <f t="array" ref="F6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7" s="26">
        <v>1.51</v>
      </c>
      <c r="H657" s="27">
        <v>51669</v>
      </c>
    </row>
    <row r="658" spans="1:8" ht="18" x14ac:dyDescent="0.25">
      <c r="A658" s="24" t="s">
        <v>736</v>
      </c>
      <c r="B658" s="25">
        <v>2013</v>
      </c>
      <c r="C658" s="25" t="s">
        <v>2462</v>
      </c>
      <c r="D658" s="25">
        <v>82</v>
      </c>
      <c r="E658" s="25">
        <v>7.4</v>
      </c>
      <c r="F658" s="25" t="str" cm="1">
        <f t="array" ref="F6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8" s="26">
        <v>3.83</v>
      </c>
      <c r="H658" s="27">
        <v>59941</v>
      </c>
    </row>
    <row r="659" spans="1:8" ht="18" x14ac:dyDescent="0.25">
      <c r="A659" s="24" t="s">
        <v>739</v>
      </c>
      <c r="B659" s="25">
        <v>2013</v>
      </c>
      <c r="C659" s="25" t="s">
        <v>2462</v>
      </c>
      <c r="D659" s="25">
        <v>112</v>
      </c>
      <c r="E659" s="25">
        <v>7.5</v>
      </c>
      <c r="F659" s="25" t="str" cm="1">
        <f t="array" ref="F6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59" s="26">
        <v>137.4</v>
      </c>
      <c r="H659" s="27">
        <v>542839</v>
      </c>
    </row>
    <row r="660" spans="1:8" ht="18" x14ac:dyDescent="0.25">
      <c r="A660" s="24" t="s">
        <v>2127</v>
      </c>
      <c r="B660" s="25">
        <v>2013</v>
      </c>
      <c r="C660" s="25" t="s">
        <v>2462</v>
      </c>
      <c r="D660" s="25">
        <v>94</v>
      </c>
      <c r="E660" s="25">
        <v>3.6</v>
      </c>
      <c r="F660" s="25" t="str" cm="1">
        <f t="array" ref="F6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0" s="26">
        <v>2.46</v>
      </c>
      <c r="H660" s="27">
        <v>3006</v>
      </c>
    </row>
    <row r="661" spans="1:8" ht="18" x14ac:dyDescent="0.25">
      <c r="A661" s="24" t="s">
        <v>744</v>
      </c>
      <c r="B661" s="25">
        <v>2013</v>
      </c>
      <c r="C661" s="25" t="s">
        <v>2462</v>
      </c>
      <c r="D661" s="25">
        <v>107</v>
      </c>
      <c r="E661" s="25">
        <v>5.6</v>
      </c>
      <c r="F661" s="25" t="str" cm="1">
        <f t="array" ref="F6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1" s="26">
        <v>2.46</v>
      </c>
      <c r="H661" s="27">
        <v>23224</v>
      </c>
    </row>
    <row r="662" spans="1:8" ht="18" x14ac:dyDescent="0.25">
      <c r="A662" s="24" t="s">
        <v>2128</v>
      </c>
      <c r="B662" s="25">
        <v>2013</v>
      </c>
      <c r="C662" s="25" t="s">
        <v>2462</v>
      </c>
      <c r="D662" s="25">
        <v>161</v>
      </c>
      <c r="E662" s="25">
        <v>7.8</v>
      </c>
      <c r="F662" s="25" t="str" cm="1">
        <f t="array" ref="F6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2" s="26">
        <v>258.37</v>
      </c>
      <c r="H662" s="27">
        <v>691145</v>
      </c>
    </row>
    <row r="663" spans="1:8" ht="18" x14ac:dyDescent="0.25">
      <c r="A663" s="24" t="s">
        <v>768</v>
      </c>
      <c r="B663" s="25">
        <v>2013</v>
      </c>
      <c r="C663" s="25" t="s">
        <v>2462</v>
      </c>
      <c r="D663" s="25">
        <v>139</v>
      </c>
      <c r="E663" s="25">
        <v>6.9</v>
      </c>
      <c r="F663" s="25" t="str" cm="1">
        <f t="array" ref="F6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3" s="26">
        <v>2.46</v>
      </c>
      <c r="H663" s="27">
        <v>2168</v>
      </c>
    </row>
    <row r="664" spans="1:8" ht="18" x14ac:dyDescent="0.25">
      <c r="A664" s="24" t="s">
        <v>2129</v>
      </c>
      <c r="B664" s="25">
        <v>2013</v>
      </c>
      <c r="C664" s="25" t="s">
        <v>2462</v>
      </c>
      <c r="D664" s="25">
        <v>94</v>
      </c>
      <c r="E664" s="25">
        <v>5.7</v>
      </c>
      <c r="F664" s="25" t="str" cm="1">
        <f t="array" ref="F6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4" s="26">
        <v>0.27</v>
      </c>
      <c r="H664" s="27">
        <v>2377</v>
      </c>
    </row>
    <row r="665" spans="1:8" ht="18" x14ac:dyDescent="0.25">
      <c r="A665" s="24" t="s">
        <v>770</v>
      </c>
      <c r="B665" s="25">
        <v>2013</v>
      </c>
      <c r="C665" s="25" t="s">
        <v>2463</v>
      </c>
      <c r="D665" s="25">
        <v>96</v>
      </c>
      <c r="E665" s="25">
        <v>4.5</v>
      </c>
      <c r="F665" s="25" t="str" cm="1">
        <f t="array" ref="F6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5" s="26">
        <v>0.28999999999999998</v>
      </c>
      <c r="H665" s="27">
        <v>1382</v>
      </c>
    </row>
    <row r="666" spans="1:8" ht="18" x14ac:dyDescent="0.25">
      <c r="A666" s="24" t="s">
        <v>2130</v>
      </c>
      <c r="B666" s="25">
        <v>2013</v>
      </c>
      <c r="C666" s="25" t="s">
        <v>2462</v>
      </c>
      <c r="D666" s="25">
        <v>102</v>
      </c>
      <c r="E666" s="25">
        <v>5.9</v>
      </c>
      <c r="F666" s="25" t="str" cm="1">
        <f t="array" ref="F6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6" s="26">
        <v>0.01</v>
      </c>
      <c r="H666" s="27">
        <v>4306</v>
      </c>
    </row>
    <row r="667" spans="1:8" ht="18" x14ac:dyDescent="0.25">
      <c r="A667" s="24" t="s">
        <v>828</v>
      </c>
      <c r="B667" s="25">
        <v>2013</v>
      </c>
      <c r="C667" s="25" t="s">
        <v>2462</v>
      </c>
      <c r="D667" s="25">
        <v>117</v>
      </c>
      <c r="E667" s="25">
        <v>7</v>
      </c>
      <c r="F667" s="25" t="str" cm="1">
        <f t="array" ref="F6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7" s="26">
        <v>0.05</v>
      </c>
      <c r="H667" s="27">
        <v>8077</v>
      </c>
    </row>
    <row r="668" spans="1:8" ht="18" x14ac:dyDescent="0.25">
      <c r="A668" s="24" t="s">
        <v>2131</v>
      </c>
      <c r="B668" s="25">
        <v>2013</v>
      </c>
      <c r="C668" s="25" t="s">
        <v>2462</v>
      </c>
      <c r="D668" s="25">
        <v>98</v>
      </c>
      <c r="E668" s="25">
        <v>6.6</v>
      </c>
      <c r="F668" s="25" t="str" cm="1">
        <f t="array" ref="F6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8" s="26">
        <v>2.46</v>
      </c>
      <c r="H668" s="27">
        <v>1950</v>
      </c>
    </row>
    <row r="669" spans="1:8" ht="18" x14ac:dyDescent="0.25">
      <c r="A669" s="24" t="s">
        <v>838</v>
      </c>
      <c r="B669" s="25">
        <v>2013</v>
      </c>
      <c r="C669" s="25" t="s">
        <v>2462</v>
      </c>
      <c r="D669" s="25">
        <v>104</v>
      </c>
      <c r="E669" s="25">
        <v>7.4</v>
      </c>
      <c r="F669" s="25" t="str" cm="1">
        <f t="array" ref="F6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69" s="26">
        <v>13.24</v>
      </c>
      <c r="H669" s="27">
        <v>160658</v>
      </c>
    </row>
    <row r="670" spans="1:8" ht="18" x14ac:dyDescent="0.25">
      <c r="A670" s="24" t="s">
        <v>2132</v>
      </c>
      <c r="B670" s="25">
        <v>2013</v>
      </c>
      <c r="C670" s="25" t="s">
        <v>2463</v>
      </c>
      <c r="D670" s="25">
        <v>100</v>
      </c>
      <c r="E670" s="25">
        <v>6.9</v>
      </c>
      <c r="F670" s="25" t="str" cm="1">
        <f t="array" ref="F6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0" s="26">
        <v>2.46</v>
      </c>
      <c r="H670" s="27">
        <v>9651</v>
      </c>
    </row>
    <row r="671" spans="1:8" ht="18" x14ac:dyDescent="0.25">
      <c r="A671" s="24" t="s">
        <v>2133</v>
      </c>
      <c r="B671" s="25">
        <v>2013</v>
      </c>
      <c r="C671" s="25" t="s">
        <v>2462</v>
      </c>
      <c r="D671" s="25">
        <v>89</v>
      </c>
      <c r="E671" s="25">
        <v>6.8</v>
      </c>
      <c r="F671" s="25" t="str" cm="1">
        <f t="array" ref="F6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1" s="26">
        <v>2.46</v>
      </c>
      <c r="H671" s="27">
        <v>10245</v>
      </c>
    </row>
    <row r="672" spans="1:8" ht="18" x14ac:dyDescent="0.25">
      <c r="A672" s="24" t="s">
        <v>2134</v>
      </c>
      <c r="B672" s="25">
        <v>2013</v>
      </c>
      <c r="C672" s="25" t="s">
        <v>2462</v>
      </c>
      <c r="D672" s="25">
        <v>133</v>
      </c>
      <c r="E672" s="25">
        <v>7.5</v>
      </c>
      <c r="F672" s="25" t="str" cm="1">
        <f t="array" ref="F6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2" s="26">
        <v>0.19</v>
      </c>
      <c r="H672" s="27">
        <v>9388</v>
      </c>
    </row>
    <row r="673" spans="1:8" ht="18" x14ac:dyDescent="0.25">
      <c r="A673" s="24" t="s">
        <v>2135</v>
      </c>
      <c r="B673" s="25">
        <v>2013</v>
      </c>
      <c r="C673" s="25" t="s">
        <v>2462</v>
      </c>
      <c r="D673" s="25">
        <v>120</v>
      </c>
      <c r="E673" s="25">
        <v>6.7</v>
      </c>
      <c r="F673" s="25" t="str" cm="1">
        <f t="array" ref="F6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3" s="26">
        <v>0.25</v>
      </c>
      <c r="H673" s="27">
        <v>1477</v>
      </c>
    </row>
    <row r="674" spans="1:8" ht="18" x14ac:dyDescent="0.25">
      <c r="A674" s="24" t="s">
        <v>2136</v>
      </c>
      <c r="B674" s="25">
        <v>2013</v>
      </c>
      <c r="C674" s="25" t="s">
        <v>2462</v>
      </c>
      <c r="D674" s="25">
        <v>96</v>
      </c>
      <c r="E674" s="25">
        <v>7.2</v>
      </c>
      <c r="F674" s="25" t="str" cm="1">
        <f t="array" ref="F6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4" s="26">
        <v>2.46</v>
      </c>
      <c r="H674" s="27">
        <v>32161</v>
      </c>
    </row>
    <row r="675" spans="1:8" ht="18" x14ac:dyDescent="0.25">
      <c r="A675" s="24" t="s">
        <v>2137</v>
      </c>
      <c r="B675" s="25">
        <v>2013</v>
      </c>
      <c r="C675" s="25" t="s">
        <v>2464</v>
      </c>
      <c r="D675" s="25">
        <v>99</v>
      </c>
      <c r="E675" s="25">
        <v>4.5</v>
      </c>
      <c r="F675" s="25" t="str" cm="1">
        <f t="array" ref="F6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5" s="26">
        <v>0</v>
      </c>
      <c r="H675" s="27">
        <v>8217</v>
      </c>
    </row>
    <row r="676" spans="1:8" ht="18" x14ac:dyDescent="0.25">
      <c r="A676" s="24" t="s">
        <v>878</v>
      </c>
      <c r="B676" s="25">
        <v>2013</v>
      </c>
      <c r="C676" s="25" t="s">
        <v>2462</v>
      </c>
      <c r="D676" s="25">
        <v>92</v>
      </c>
      <c r="E676" s="25">
        <v>7.4</v>
      </c>
      <c r="F676" s="25" t="str" cm="1">
        <f t="array" ref="F6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6" s="26">
        <v>2.46</v>
      </c>
      <c r="H676" s="27">
        <v>8712</v>
      </c>
    </row>
    <row r="677" spans="1:8" ht="18" x14ac:dyDescent="0.25">
      <c r="A677" s="24" t="s">
        <v>2138</v>
      </c>
      <c r="B677" s="25">
        <v>2013</v>
      </c>
      <c r="C677" s="25" t="s">
        <v>2462</v>
      </c>
      <c r="D677" s="25">
        <v>104</v>
      </c>
      <c r="E677" s="25">
        <v>6.1</v>
      </c>
      <c r="F677" s="25" t="str" cm="1">
        <f t="array" ref="F6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7" s="26">
        <v>2.46</v>
      </c>
      <c r="H677" s="27">
        <v>8314</v>
      </c>
    </row>
    <row r="678" spans="1:8" ht="18" x14ac:dyDescent="0.25">
      <c r="A678" s="24" t="s">
        <v>899</v>
      </c>
      <c r="B678" s="25">
        <v>2013</v>
      </c>
      <c r="C678" s="25" t="s">
        <v>2462</v>
      </c>
      <c r="D678" s="25">
        <v>85</v>
      </c>
      <c r="E678" s="25">
        <v>7.1</v>
      </c>
      <c r="F678" s="25" t="str" cm="1">
        <f t="array" ref="F6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8" s="26">
        <v>1.36</v>
      </c>
      <c r="H678" s="27">
        <v>157005</v>
      </c>
    </row>
    <row r="679" spans="1:8" ht="18" x14ac:dyDescent="0.25">
      <c r="A679" s="24" t="s">
        <v>912</v>
      </c>
      <c r="B679" s="25">
        <v>2013</v>
      </c>
      <c r="C679" s="25" t="s">
        <v>2462</v>
      </c>
      <c r="D679" s="25">
        <v>120</v>
      </c>
      <c r="E679" s="25">
        <v>6.7</v>
      </c>
      <c r="F679" s="25" t="str" cm="1">
        <f t="array" ref="F6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79" s="26">
        <v>0.57999999999999996</v>
      </c>
      <c r="H679" s="27">
        <v>2660</v>
      </c>
    </row>
    <row r="680" spans="1:8" ht="18" x14ac:dyDescent="0.25">
      <c r="A680" s="24" t="s">
        <v>2139</v>
      </c>
      <c r="B680" s="25">
        <v>2013</v>
      </c>
      <c r="C680" s="25" t="s">
        <v>2462</v>
      </c>
      <c r="D680" s="25">
        <v>97</v>
      </c>
      <c r="E680" s="25">
        <v>7.4</v>
      </c>
      <c r="F680" s="25" t="str" cm="1">
        <f t="array" ref="F6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0" s="26">
        <v>2.46</v>
      </c>
      <c r="H680" s="27">
        <v>1055</v>
      </c>
    </row>
    <row r="681" spans="1:8" ht="18" x14ac:dyDescent="0.25">
      <c r="A681" s="24" t="s">
        <v>926</v>
      </c>
      <c r="B681" s="25">
        <v>2013</v>
      </c>
      <c r="C681" s="25" t="s">
        <v>2463</v>
      </c>
      <c r="D681" s="25">
        <v>81</v>
      </c>
      <c r="E681" s="25">
        <v>7.5</v>
      </c>
      <c r="F681" s="25" t="str" cm="1">
        <f t="array" ref="F6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1" s="26">
        <v>0.3</v>
      </c>
      <c r="H681" s="27">
        <v>977</v>
      </c>
    </row>
    <row r="682" spans="1:8" ht="18" x14ac:dyDescent="0.25">
      <c r="A682" s="24" t="s">
        <v>931</v>
      </c>
      <c r="B682" s="25">
        <v>2013</v>
      </c>
      <c r="C682" s="25" t="s">
        <v>2462</v>
      </c>
      <c r="D682" s="25">
        <v>98</v>
      </c>
      <c r="E682" s="25">
        <v>7.3</v>
      </c>
      <c r="F682" s="25" t="str" cm="1">
        <f t="array" ref="F6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2" s="26">
        <v>2.46</v>
      </c>
      <c r="H682" s="27">
        <v>9976</v>
      </c>
    </row>
    <row r="683" spans="1:8" ht="18" x14ac:dyDescent="0.25">
      <c r="A683" s="24" t="s">
        <v>932</v>
      </c>
      <c r="B683" s="25">
        <v>2013</v>
      </c>
      <c r="C683" s="25" t="s">
        <v>2462</v>
      </c>
      <c r="D683" s="25">
        <v>95</v>
      </c>
      <c r="E683" s="25">
        <v>6</v>
      </c>
      <c r="F683" s="25" t="str" cm="1">
        <f t="array" ref="F6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3" s="26">
        <v>2.46</v>
      </c>
      <c r="H683" s="27">
        <v>1177</v>
      </c>
    </row>
    <row r="684" spans="1:8" ht="18" x14ac:dyDescent="0.25">
      <c r="A684" s="24" t="s">
        <v>2140</v>
      </c>
      <c r="B684" s="25">
        <v>2013</v>
      </c>
      <c r="C684" s="25" t="s">
        <v>2462</v>
      </c>
      <c r="D684" s="25">
        <v>102</v>
      </c>
      <c r="E684" s="25">
        <v>6.9</v>
      </c>
      <c r="F684" s="25" t="str" cm="1">
        <f t="array" ref="F6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4" s="26">
        <v>2.46</v>
      </c>
      <c r="H684" s="27">
        <v>19004</v>
      </c>
    </row>
    <row r="685" spans="1:8" ht="18" x14ac:dyDescent="0.25">
      <c r="A685" s="24" t="s">
        <v>2141</v>
      </c>
      <c r="B685" s="25">
        <v>2013</v>
      </c>
      <c r="C685" s="25" t="s">
        <v>2464</v>
      </c>
      <c r="D685" s="25">
        <v>99</v>
      </c>
      <c r="E685" s="25">
        <v>5.7</v>
      </c>
      <c r="F685" s="25" t="str" cm="1">
        <f t="array" ref="F6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5" s="26">
        <v>0.02</v>
      </c>
      <c r="H685" s="27">
        <v>882</v>
      </c>
    </row>
    <row r="686" spans="1:8" ht="18" x14ac:dyDescent="0.25">
      <c r="A686" s="24" t="s">
        <v>2142</v>
      </c>
      <c r="B686" s="25">
        <v>2013</v>
      </c>
      <c r="C686" s="25" t="s">
        <v>2462</v>
      </c>
      <c r="D686" s="25">
        <v>83</v>
      </c>
      <c r="E686" s="25">
        <v>7.7</v>
      </c>
      <c r="F686" s="25" t="str" cm="1">
        <f t="array" ref="F6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6" s="26">
        <v>0.13</v>
      </c>
      <c r="H686" s="27">
        <v>1300</v>
      </c>
    </row>
    <row r="687" spans="1:8" ht="18" x14ac:dyDescent="0.25">
      <c r="A687" s="24" t="s">
        <v>974</v>
      </c>
      <c r="B687" s="25">
        <v>2013</v>
      </c>
      <c r="C687" s="25" t="s">
        <v>2462</v>
      </c>
      <c r="D687" s="25">
        <v>84</v>
      </c>
      <c r="E687" s="25">
        <v>5.3</v>
      </c>
      <c r="F687" s="25" t="str" cm="1">
        <f t="array" ref="F6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7" s="26">
        <v>0</v>
      </c>
      <c r="H687" s="27">
        <v>16159</v>
      </c>
    </row>
    <row r="688" spans="1:8" ht="18" x14ac:dyDescent="0.25">
      <c r="A688" s="24" t="s">
        <v>986</v>
      </c>
      <c r="B688" s="25">
        <v>2013</v>
      </c>
      <c r="C688" s="25" t="s">
        <v>2462</v>
      </c>
      <c r="D688" s="25">
        <v>115</v>
      </c>
      <c r="E688" s="25">
        <v>7.7</v>
      </c>
      <c r="F688" s="25" t="str" cm="1">
        <f t="array" ref="F6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8" s="26">
        <v>17.649999999999999</v>
      </c>
      <c r="H688" s="27">
        <v>121459</v>
      </c>
    </row>
    <row r="689" spans="1:8" ht="18" x14ac:dyDescent="0.25">
      <c r="A689" s="24" t="s">
        <v>2143</v>
      </c>
      <c r="B689" s="25">
        <v>2013</v>
      </c>
      <c r="C689" s="25" t="s">
        <v>2462</v>
      </c>
      <c r="D689" s="25">
        <v>101</v>
      </c>
      <c r="E689" s="25">
        <v>7.4</v>
      </c>
      <c r="F689" s="25" t="str" cm="1">
        <f t="array" ref="F6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89" s="26">
        <v>2.46</v>
      </c>
      <c r="H689" s="27">
        <v>4929</v>
      </c>
    </row>
    <row r="690" spans="1:8" ht="18" x14ac:dyDescent="0.25">
      <c r="A690" s="24" t="s">
        <v>1067</v>
      </c>
      <c r="B690" s="25">
        <v>2013</v>
      </c>
      <c r="C690" s="25" t="s">
        <v>2463</v>
      </c>
      <c r="D690" s="25">
        <v>100</v>
      </c>
      <c r="E690" s="25">
        <v>6.2</v>
      </c>
      <c r="F690" s="25" t="str" cm="1">
        <f t="array" ref="F6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0" s="26">
        <v>2.46</v>
      </c>
      <c r="H690" s="27">
        <v>504</v>
      </c>
    </row>
    <row r="691" spans="1:8" ht="18" x14ac:dyDescent="0.25">
      <c r="A691" s="24" t="s">
        <v>1077</v>
      </c>
      <c r="B691" s="25">
        <v>2013</v>
      </c>
      <c r="C691" s="25" t="s">
        <v>2462</v>
      </c>
      <c r="D691" s="25">
        <v>141</v>
      </c>
      <c r="E691" s="25">
        <v>7.7</v>
      </c>
      <c r="F691" s="25" t="str" cm="1">
        <f t="array" ref="F6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1" s="26">
        <v>2.85</v>
      </c>
      <c r="H691" s="27">
        <v>95870</v>
      </c>
    </row>
    <row r="692" spans="1:8" ht="18" x14ac:dyDescent="0.25">
      <c r="A692" s="24" t="s">
        <v>1100</v>
      </c>
      <c r="B692" s="25">
        <v>2013</v>
      </c>
      <c r="C692" s="25" t="s">
        <v>2462</v>
      </c>
      <c r="D692" s="25">
        <v>87</v>
      </c>
      <c r="E692" s="25">
        <v>8.1</v>
      </c>
      <c r="F692" s="25" t="str" cm="1">
        <f t="array" ref="F6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2" s="26">
        <v>0.14000000000000001</v>
      </c>
      <c r="H692" s="27">
        <v>48182</v>
      </c>
    </row>
    <row r="693" spans="1:8" ht="18" x14ac:dyDescent="0.25">
      <c r="A693" s="24" t="s">
        <v>1120</v>
      </c>
      <c r="B693" s="25">
        <v>2013</v>
      </c>
      <c r="C693" s="25" t="s">
        <v>2462</v>
      </c>
      <c r="D693" s="25">
        <v>96</v>
      </c>
      <c r="E693" s="25">
        <v>4.5</v>
      </c>
      <c r="F693" s="25" t="str" cm="1">
        <f t="array" ref="F6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3" s="26">
        <v>0</v>
      </c>
      <c r="H693" s="27">
        <v>728</v>
      </c>
    </row>
    <row r="694" spans="1:8" ht="18" x14ac:dyDescent="0.25">
      <c r="A694" s="24" t="s">
        <v>1187</v>
      </c>
      <c r="B694" s="25">
        <v>2013</v>
      </c>
      <c r="C694" s="25" t="s">
        <v>2462</v>
      </c>
      <c r="D694" s="25">
        <v>107</v>
      </c>
      <c r="E694" s="25">
        <v>6.3</v>
      </c>
      <c r="F694" s="25" t="str" cm="1">
        <f t="array" ref="F6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4" s="26">
        <v>2.46</v>
      </c>
      <c r="H694" s="27">
        <v>1140</v>
      </c>
    </row>
    <row r="695" spans="1:8" ht="18" x14ac:dyDescent="0.25">
      <c r="A695" s="24" t="s">
        <v>1206</v>
      </c>
      <c r="B695" s="25">
        <v>2013</v>
      </c>
      <c r="C695" s="25" t="s">
        <v>2463</v>
      </c>
      <c r="D695" s="25">
        <v>85</v>
      </c>
      <c r="E695" s="25">
        <v>5.2</v>
      </c>
      <c r="F695" s="25" t="str" cm="1">
        <f t="array" ref="F6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5" s="26">
        <v>2.46</v>
      </c>
      <c r="H695" s="27">
        <v>12316</v>
      </c>
    </row>
    <row r="696" spans="1:8" ht="18" x14ac:dyDescent="0.25">
      <c r="A696" s="24" t="s">
        <v>2144</v>
      </c>
      <c r="B696" s="25">
        <v>2013</v>
      </c>
      <c r="C696" s="25" t="s">
        <v>2462</v>
      </c>
      <c r="D696" s="25">
        <v>114</v>
      </c>
      <c r="E696" s="25">
        <v>7</v>
      </c>
      <c r="F696" s="25" t="str" cm="1">
        <f t="array" ref="F6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6" s="26">
        <v>1.08</v>
      </c>
      <c r="H696" s="27">
        <v>42143</v>
      </c>
    </row>
    <row r="697" spans="1:8" ht="18" x14ac:dyDescent="0.25">
      <c r="A697" s="24" t="s">
        <v>1301</v>
      </c>
      <c r="B697" s="25">
        <v>2013</v>
      </c>
      <c r="C697" s="25" t="s">
        <v>2464</v>
      </c>
      <c r="D697" s="25">
        <v>119</v>
      </c>
      <c r="E697" s="25">
        <v>6.8</v>
      </c>
      <c r="F697" s="25" t="str" cm="1">
        <f t="array" ref="F6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7" s="26">
        <v>0.11</v>
      </c>
      <c r="H697" s="27">
        <v>5505</v>
      </c>
    </row>
    <row r="698" spans="1:8" ht="18" x14ac:dyDescent="0.25">
      <c r="A698" s="24" t="s">
        <v>2145</v>
      </c>
      <c r="B698" s="25">
        <v>2013</v>
      </c>
      <c r="C698" s="25" t="s">
        <v>2462</v>
      </c>
      <c r="D698" s="25">
        <v>100</v>
      </c>
      <c r="E698" s="25">
        <v>6.9</v>
      </c>
      <c r="F698" s="25" t="str" cm="1">
        <f t="array" ref="F6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8" s="26">
        <v>0.01</v>
      </c>
      <c r="H698" s="27">
        <v>7228</v>
      </c>
    </row>
    <row r="699" spans="1:8" ht="18" x14ac:dyDescent="0.25">
      <c r="A699" s="24" t="s">
        <v>1325</v>
      </c>
      <c r="B699" s="25">
        <v>2013</v>
      </c>
      <c r="C699" s="25" t="s">
        <v>2462</v>
      </c>
      <c r="D699" s="25">
        <v>95</v>
      </c>
      <c r="E699" s="25">
        <v>5.2</v>
      </c>
      <c r="F699" s="25" t="str" cm="1">
        <f t="array" ref="F6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699" s="26">
        <v>0</v>
      </c>
      <c r="H699" s="27">
        <v>2183</v>
      </c>
    </row>
    <row r="700" spans="1:8" ht="18" x14ac:dyDescent="0.25">
      <c r="A700" s="24" t="s">
        <v>1406</v>
      </c>
      <c r="B700" s="25">
        <v>2013</v>
      </c>
      <c r="C700" s="25" t="s">
        <v>2462</v>
      </c>
      <c r="D700" s="25">
        <v>100</v>
      </c>
      <c r="E700" s="25">
        <v>6.2</v>
      </c>
      <c r="F700" s="25" t="str" cm="1">
        <f t="array" ref="F7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0" s="26">
        <v>0.75</v>
      </c>
      <c r="H700" s="27">
        <v>30728</v>
      </c>
    </row>
    <row r="701" spans="1:8" ht="18" x14ac:dyDescent="0.25">
      <c r="A701" s="24" t="s">
        <v>1407</v>
      </c>
      <c r="B701" s="25">
        <v>2013</v>
      </c>
      <c r="C701" s="25" t="s">
        <v>2463</v>
      </c>
      <c r="D701" s="25">
        <v>88</v>
      </c>
      <c r="E701" s="25">
        <v>5.6</v>
      </c>
      <c r="F701" s="25" t="str" cm="1">
        <f t="array" ref="F7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1" s="26">
        <v>0.06</v>
      </c>
      <c r="H701" s="27">
        <v>3871</v>
      </c>
    </row>
    <row r="702" spans="1:8" ht="18" x14ac:dyDescent="0.25">
      <c r="A702" s="24" t="s">
        <v>1436</v>
      </c>
      <c r="B702" s="25">
        <v>2013</v>
      </c>
      <c r="C702" s="25" t="s">
        <v>2464</v>
      </c>
      <c r="D702" s="25">
        <v>85</v>
      </c>
      <c r="E702" s="25">
        <v>6.2</v>
      </c>
      <c r="F702" s="25" t="str" cm="1">
        <f t="array" ref="F7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2" s="26">
        <v>0.31</v>
      </c>
      <c r="H702" s="27">
        <v>2574</v>
      </c>
    </row>
    <row r="703" spans="1:8" ht="18" x14ac:dyDescent="0.25">
      <c r="A703" s="24" t="s">
        <v>1437</v>
      </c>
      <c r="B703" s="25">
        <v>2013</v>
      </c>
      <c r="C703" s="25" t="s">
        <v>2462</v>
      </c>
      <c r="D703" s="25">
        <v>77</v>
      </c>
      <c r="E703" s="25">
        <v>6.5</v>
      </c>
      <c r="F703" s="25" t="str" cm="1">
        <f t="array" ref="F7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3" s="26">
        <v>2.46</v>
      </c>
      <c r="H703" s="27">
        <v>113</v>
      </c>
    </row>
    <row r="704" spans="1:8" ht="18" x14ac:dyDescent="0.25">
      <c r="A704" s="24" t="s">
        <v>1460</v>
      </c>
      <c r="B704" s="25">
        <v>2013</v>
      </c>
      <c r="C704" s="25" t="s">
        <v>2462</v>
      </c>
      <c r="D704" s="25">
        <v>104</v>
      </c>
      <c r="E704" s="25">
        <v>6.4</v>
      </c>
      <c r="F704" s="25" t="str" cm="1">
        <f t="array" ref="F7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4" s="26">
        <v>2.46</v>
      </c>
      <c r="H704" s="27">
        <v>4386</v>
      </c>
    </row>
    <row r="705" spans="1:8" ht="18" x14ac:dyDescent="0.25">
      <c r="A705" s="24" t="s">
        <v>1482</v>
      </c>
      <c r="B705" s="25">
        <v>2013</v>
      </c>
      <c r="C705" s="25" t="s">
        <v>2462</v>
      </c>
      <c r="D705" s="25">
        <v>85</v>
      </c>
      <c r="E705" s="25">
        <v>7.4</v>
      </c>
      <c r="F705" s="25" t="str" cm="1">
        <f t="array" ref="F7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5" s="26">
        <v>7.0000000000000007E-2</v>
      </c>
      <c r="H705" s="27">
        <v>1109</v>
      </c>
    </row>
    <row r="706" spans="1:8" ht="18" x14ac:dyDescent="0.25">
      <c r="A706" s="24" t="s">
        <v>1497</v>
      </c>
      <c r="B706" s="25">
        <v>2013</v>
      </c>
      <c r="C706" s="25" t="s">
        <v>2463</v>
      </c>
      <c r="D706" s="25">
        <v>102</v>
      </c>
      <c r="E706" s="25">
        <v>7.3</v>
      </c>
      <c r="F706" s="25" t="str" cm="1">
        <f t="array" ref="F7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6" s="26">
        <v>0.05</v>
      </c>
      <c r="H706" s="27">
        <v>7057</v>
      </c>
    </row>
    <row r="707" spans="1:8" ht="18" x14ac:dyDescent="0.25">
      <c r="A707" s="24" t="s">
        <v>1538</v>
      </c>
      <c r="B707" s="25">
        <v>2013</v>
      </c>
      <c r="C707" s="25" t="s">
        <v>2462</v>
      </c>
      <c r="D707" s="25">
        <v>90</v>
      </c>
      <c r="E707" s="25">
        <v>4.3</v>
      </c>
      <c r="F707" s="25" t="str" cm="1">
        <f t="array" ref="F7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7" s="26">
        <v>8.83</v>
      </c>
      <c r="H707" s="27">
        <v>110520</v>
      </c>
    </row>
    <row r="708" spans="1:8" ht="18" x14ac:dyDescent="0.25">
      <c r="A708" s="24" t="s">
        <v>1545</v>
      </c>
      <c r="B708" s="25">
        <v>2013</v>
      </c>
      <c r="C708" s="25" t="s">
        <v>2462</v>
      </c>
      <c r="D708" s="25">
        <v>116</v>
      </c>
      <c r="E708" s="25">
        <v>5.7</v>
      </c>
      <c r="F708" s="25" t="str" cm="1">
        <f t="array" ref="F7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8" s="26">
        <v>0.01</v>
      </c>
      <c r="H708" s="27">
        <v>11515</v>
      </c>
    </row>
    <row r="709" spans="1:8" ht="18" x14ac:dyDescent="0.25">
      <c r="A709" s="24" t="s">
        <v>1604</v>
      </c>
      <c r="B709" s="25">
        <v>2013</v>
      </c>
      <c r="C709" s="25" t="s">
        <v>2462</v>
      </c>
      <c r="D709" s="25">
        <v>114</v>
      </c>
      <c r="E709" s="25">
        <v>6.4</v>
      </c>
      <c r="F709" s="25" t="str" cm="1">
        <f t="array" ref="F7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09" s="26">
        <v>2.46</v>
      </c>
      <c r="H709" s="27">
        <v>1529</v>
      </c>
    </row>
    <row r="710" spans="1:8" ht="18" x14ac:dyDescent="0.25">
      <c r="A710" s="24" t="s">
        <v>1665</v>
      </c>
      <c r="B710" s="25">
        <v>2013</v>
      </c>
      <c r="C710" s="25" t="s">
        <v>2462</v>
      </c>
      <c r="D710" s="25">
        <v>119</v>
      </c>
      <c r="E710" s="25">
        <v>6.5</v>
      </c>
      <c r="F710" s="25" t="str" cm="1">
        <f t="array" ref="F7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0" s="26">
        <v>98.93</v>
      </c>
      <c r="H710" s="27">
        <v>288159</v>
      </c>
    </row>
    <row r="711" spans="1:8" ht="18" x14ac:dyDescent="0.25">
      <c r="A711" s="24" t="s">
        <v>2146</v>
      </c>
      <c r="B711" s="25">
        <v>2013</v>
      </c>
      <c r="C711" s="25" t="s">
        <v>2462</v>
      </c>
      <c r="D711" s="25">
        <v>118</v>
      </c>
      <c r="E711" s="25">
        <v>7.7</v>
      </c>
      <c r="F711" s="25" t="str" cm="1">
        <f t="array" ref="F7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1" s="26">
        <v>2.46</v>
      </c>
      <c r="H711" s="27">
        <v>5518</v>
      </c>
    </row>
    <row r="712" spans="1:8" ht="18" x14ac:dyDescent="0.25">
      <c r="A712" s="24" t="s">
        <v>1815</v>
      </c>
      <c r="B712" s="25">
        <v>2013</v>
      </c>
      <c r="C712" s="25" t="s">
        <v>2462</v>
      </c>
      <c r="D712" s="25">
        <v>87</v>
      </c>
      <c r="E712" s="25">
        <v>6.6</v>
      </c>
      <c r="F712" s="25" t="str" cm="1">
        <f t="array" ref="F7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2" s="26">
        <v>2.46</v>
      </c>
      <c r="H712" s="27">
        <v>197</v>
      </c>
    </row>
    <row r="713" spans="1:8" ht="18" x14ac:dyDescent="0.25">
      <c r="A713" s="24" t="s">
        <v>346</v>
      </c>
      <c r="B713" s="25">
        <v>2014</v>
      </c>
      <c r="C713" s="25" t="s">
        <v>2462</v>
      </c>
      <c r="D713" s="25">
        <v>109</v>
      </c>
      <c r="E713" s="25">
        <v>6.2</v>
      </c>
      <c r="F713" s="25" t="str" cm="1">
        <f t="array" ref="F7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3" s="26">
        <v>2.46</v>
      </c>
      <c r="H713" s="27">
        <v>6234</v>
      </c>
    </row>
    <row r="714" spans="1:8" ht="18" x14ac:dyDescent="0.25">
      <c r="A714" s="24" t="s">
        <v>354</v>
      </c>
      <c r="B714" s="25">
        <v>2014</v>
      </c>
      <c r="C714" s="25" t="s">
        <v>2462</v>
      </c>
      <c r="D714" s="25">
        <v>92</v>
      </c>
      <c r="E714" s="25">
        <v>5.0999999999999996</v>
      </c>
      <c r="F714" s="25" t="str" cm="1">
        <f t="array" ref="F7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4" s="26">
        <v>19.079999999999998</v>
      </c>
      <c r="H714" s="27">
        <v>83174</v>
      </c>
    </row>
    <row r="715" spans="1:8" ht="18" x14ac:dyDescent="0.25">
      <c r="A715" s="24" t="s">
        <v>398</v>
      </c>
      <c r="B715" s="25">
        <v>2014</v>
      </c>
      <c r="C715" s="25" t="s">
        <v>2462</v>
      </c>
      <c r="D715" s="25">
        <v>99</v>
      </c>
      <c r="E715" s="25">
        <v>8.1</v>
      </c>
      <c r="F715" s="25" t="str" cm="1">
        <f t="array" ref="F7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5" s="26">
        <v>59.1</v>
      </c>
      <c r="H715" s="27">
        <v>865027</v>
      </c>
    </row>
    <row r="716" spans="1:8" ht="18" x14ac:dyDescent="0.25">
      <c r="A716" s="24" t="s">
        <v>2147</v>
      </c>
      <c r="B716" s="25">
        <v>2014</v>
      </c>
      <c r="C716" s="25" t="s">
        <v>2462</v>
      </c>
      <c r="D716" s="25">
        <v>102</v>
      </c>
      <c r="E716" s="25">
        <v>6.2</v>
      </c>
      <c r="F716" s="25" t="str" cm="1">
        <f t="array" ref="F7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6" s="26">
        <v>106.58</v>
      </c>
      <c r="H716" s="27">
        <v>311941</v>
      </c>
    </row>
    <row r="717" spans="1:8" ht="18" x14ac:dyDescent="0.25">
      <c r="A717" s="24" t="s">
        <v>401</v>
      </c>
      <c r="B717" s="25">
        <v>2014</v>
      </c>
      <c r="C717" s="25" t="s">
        <v>2463</v>
      </c>
      <c r="D717" s="25">
        <v>93</v>
      </c>
      <c r="E717" s="25">
        <v>6.3</v>
      </c>
      <c r="F717" s="25" t="str" cm="1">
        <f t="array" ref="F7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7" s="26">
        <v>0.01</v>
      </c>
      <c r="H717" s="27">
        <v>38494</v>
      </c>
    </row>
    <row r="718" spans="1:8" ht="18" x14ac:dyDescent="0.25">
      <c r="A718" s="24" t="s">
        <v>408</v>
      </c>
      <c r="B718" s="25">
        <v>2014</v>
      </c>
      <c r="C718" s="25" t="s">
        <v>2463</v>
      </c>
      <c r="D718" s="25">
        <v>91</v>
      </c>
      <c r="E718" s="25">
        <v>5.7</v>
      </c>
      <c r="F718" s="25" t="str" cm="1">
        <f t="array" ref="F7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8" s="26">
        <v>2.46</v>
      </c>
      <c r="H718" s="27">
        <v>20579</v>
      </c>
    </row>
    <row r="719" spans="1:8" ht="18" x14ac:dyDescent="0.25">
      <c r="A719" s="24" t="s">
        <v>415</v>
      </c>
      <c r="B719" s="25">
        <v>2014</v>
      </c>
      <c r="C719" s="25" t="s">
        <v>2462</v>
      </c>
      <c r="D719" s="25">
        <v>91</v>
      </c>
      <c r="E719" s="25">
        <v>6.2</v>
      </c>
      <c r="F719" s="25" t="str" cm="1">
        <f t="array" ref="F7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19" s="26">
        <v>7.0000000000000007E-2</v>
      </c>
      <c r="H719" s="27">
        <v>15528</v>
      </c>
    </row>
    <row r="720" spans="1:8" ht="18" x14ac:dyDescent="0.25">
      <c r="A720" s="24" t="s">
        <v>418</v>
      </c>
      <c r="B720" s="25">
        <v>2014</v>
      </c>
      <c r="C720" s="25" t="s">
        <v>2462</v>
      </c>
      <c r="D720" s="25">
        <v>107</v>
      </c>
      <c r="E720" s="25">
        <v>6.7</v>
      </c>
      <c r="F720" s="25" t="str" cm="1">
        <f t="array" ref="F7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0" s="26">
        <v>3.32</v>
      </c>
      <c r="H720" s="27">
        <v>54238</v>
      </c>
    </row>
    <row r="721" spans="1:8" ht="18" x14ac:dyDescent="0.25">
      <c r="A721" s="24" t="s">
        <v>429</v>
      </c>
      <c r="B721" s="25">
        <v>2014</v>
      </c>
      <c r="C721" s="25" t="s">
        <v>2462</v>
      </c>
      <c r="D721" s="25">
        <v>106</v>
      </c>
      <c r="E721" s="25">
        <v>6.2</v>
      </c>
      <c r="F721" s="25" t="str" cm="1">
        <f t="array" ref="F7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1" s="26">
        <v>0.72</v>
      </c>
      <c r="H721" s="27">
        <v>12832</v>
      </c>
    </row>
    <row r="722" spans="1:8" ht="18" x14ac:dyDescent="0.25">
      <c r="A722" s="24" t="s">
        <v>431</v>
      </c>
      <c r="B722" s="25">
        <v>2014</v>
      </c>
      <c r="C722" s="25" t="s">
        <v>2462</v>
      </c>
      <c r="D722" s="25">
        <v>108</v>
      </c>
      <c r="E722" s="25">
        <v>5.2</v>
      </c>
      <c r="F722" s="25" t="str" cm="1">
        <f t="array" ref="F7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2" s="26">
        <v>0.05</v>
      </c>
      <c r="H722" s="27">
        <v>16943</v>
      </c>
    </row>
    <row r="723" spans="1:8" ht="18" x14ac:dyDescent="0.25">
      <c r="A723" s="24" t="s">
        <v>449</v>
      </c>
      <c r="B723" s="25">
        <v>2014</v>
      </c>
      <c r="C723" s="25" t="s">
        <v>2462</v>
      </c>
      <c r="D723" s="25">
        <v>98</v>
      </c>
      <c r="E723" s="25">
        <v>5</v>
      </c>
      <c r="F723" s="25" t="str" cm="1">
        <f t="array" ref="F7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3" s="26">
        <v>2.46</v>
      </c>
      <c r="H723" s="27">
        <v>25227</v>
      </c>
    </row>
    <row r="724" spans="1:8" ht="18" x14ac:dyDescent="0.25">
      <c r="A724" s="24" t="s">
        <v>2148</v>
      </c>
      <c r="B724" s="25">
        <v>2014</v>
      </c>
      <c r="C724" s="25" t="s">
        <v>2462</v>
      </c>
      <c r="D724" s="25">
        <v>117</v>
      </c>
      <c r="E724" s="25">
        <v>6.1</v>
      </c>
      <c r="F724" s="25" t="str" cm="1">
        <f t="array" ref="F7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4" s="26">
        <v>58.61</v>
      </c>
      <c r="H724" s="27">
        <v>236708</v>
      </c>
    </row>
    <row r="725" spans="1:8" ht="18" x14ac:dyDescent="0.25">
      <c r="A725" s="24" t="s">
        <v>2149</v>
      </c>
      <c r="B725" s="25">
        <v>2014</v>
      </c>
      <c r="C725" s="25" t="s">
        <v>2462</v>
      </c>
      <c r="D725" s="25">
        <v>78</v>
      </c>
      <c r="E725" s="25">
        <v>6.6</v>
      </c>
      <c r="F725" s="25" t="str" cm="1">
        <f t="array" ref="F7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5" s="26">
        <v>2.46</v>
      </c>
      <c r="H725" s="27">
        <v>14317</v>
      </c>
    </row>
    <row r="726" spans="1:8" ht="18" x14ac:dyDescent="0.25">
      <c r="A726" s="24" t="s">
        <v>462</v>
      </c>
      <c r="B726" s="25">
        <v>2014</v>
      </c>
      <c r="C726" s="25" t="s">
        <v>2462</v>
      </c>
      <c r="D726" s="25">
        <v>118</v>
      </c>
      <c r="E726" s="25">
        <v>6.1</v>
      </c>
      <c r="F726" s="25" t="str" cm="1">
        <f t="array" ref="F7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6" s="26">
        <v>78.03</v>
      </c>
      <c r="H726" s="27">
        <v>137436</v>
      </c>
    </row>
    <row r="727" spans="1:8" ht="18" x14ac:dyDescent="0.25">
      <c r="A727" s="24" t="s">
        <v>465</v>
      </c>
      <c r="B727" s="25">
        <v>2014</v>
      </c>
      <c r="C727" s="25" t="s">
        <v>2463</v>
      </c>
      <c r="D727" s="25">
        <v>105</v>
      </c>
      <c r="E727" s="25">
        <v>5.5</v>
      </c>
      <c r="F727" s="25" t="str" cm="1">
        <f t="array" ref="F7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7" s="26">
        <v>23.22</v>
      </c>
      <c r="H727" s="27">
        <v>115099</v>
      </c>
    </row>
    <row r="728" spans="1:8" ht="18" x14ac:dyDescent="0.25">
      <c r="A728" s="24" t="s">
        <v>2150</v>
      </c>
      <c r="B728" s="25">
        <v>2014</v>
      </c>
      <c r="C728" s="25" t="s">
        <v>2462</v>
      </c>
      <c r="D728" s="25">
        <v>117</v>
      </c>
      <c r="E728" s="25">
        <v>6.2</v>
      </c>
      <c r="F728" s="25" t="str" cm="1">
        <f t="array" ref="F7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8" s="26">
        <v>30.7</v>
      </c>
      <c r="H728" s="27">
        <v>96652</v>
      </c>
    </row>
    <row r="729" spans="1:8" ht="18" x14ac:dyDescent="0.25">
      <c r="A729" s="24" t="s">
        <v>2151</v>
      </c>
      <c r="B729" s="25">
        <v>2014</v>
      </c>
      <c r="C729" s="25" t="s">
        <v>2462</v>
      </c>
      <c r="D729" s="25">
        <v>95</v>
      </c>
      <c r="E729" s="25">
        <v>6</v>
      </c>
      <c r="F729" s="25" t="str" cm="1">
        <f t="array" ref="F7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29" s="26">
        <v>0.04</v>
      </c>
      <c r="H729" s="27">
        <v>56468</v>
      </c>
    </row>
    <row r="730" spans="1:8" ht="18" x14ac:dyDescent="0.25">
      <c r="A730" s="24" t="s">
        <v>2152</v>
      </c>
      <c r="B730" s="25">
        <v>2014</v>
      </c>
      <c r="C730" s="25" t="s">
        <v>2462</v>
      </c>
      <c r="D730" s="25">
        <v>99</v>
      </c>
      <c r="E730" s="25">
        <v>4.2</v>
      </c>
      <c r="F730" s="25" t="str" cm="1">
        <f t="array" ref="F7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0" s="26">
        <v>18.850000000000001</v>
      </c>
      <c r="H730" s="27">
        <v>55612</v>
      </c>
    </row>
    <row r="731" spans="1:8" ht="18" x14ac:dyDescent="0.25">
      <c r="A731" s="24" t="s">
        <v>482</v>
      </c>
      <c r="B731" s="25">
        <v>2014</v>
      </c>
      <c r="C731" s="25" t="s">
        <v>2463</v>
      </c>
      <c r="D731" s="25">
        <v>90</v>
      </c>
      <c r="E731" s="25">
        <v>6.5</v>
      </c>
      <c r="F731" s="25" t="str" cm="1">
        <f t="array" ref="F7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1" s="26">
        <v>0.01</v>
      </c>
      <c r="H731" s="27">
        <v>26725</v>
      </c>
    </row>
    <row r="732" spans="1:8" ht="18" x14ac:dyDescent="0.25">
      <c r="A732" s="24" t="s">
        <v>483</v>
      </c>
      <c r="B732" s="25">
        <v>2014</v>
      </c>
      <c r="C732" s="25" t="s">
        <v>2463</v>
      </c>
      <c r="D732" s="25">
        <v>105</v>
      </c>
      <c r="E732" s="25">
        <v>6.2</v>
      </c>
      <c r="F732" s="25" t="str" cm="1">
        <f t="array" ref="F7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2" s="26">
        <v>50.58</v>
      </c>
      <c r="H732" s="27">
        <v>136755</v>
      </c>
    </row>
    <row r="733" spans="1:8" ht="18" x14ac:dyDescent="0.25">
      <c r="A733" s="24" t="s">
        <v>484</v>
      </c>
      <c r="B733" s="25">
        <v>2014</v>
      </c>
      <c r="C733" s="25" t="s">
        <v>2462</v>
      </c>
      <c r="D733" s="25">
        <v>104</v>
      </c>
      <c r="E733" s="25">
        <v>5.4</v>
      </c>
      <c r="F733" s="25" t="str" cm="1">
        <f t="array" ref="F7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3" s="26">
        <v>7.79</v>
      </c>
      <c r="H733" s="27">
        <v>56374</v>
      </c>
    </row>
    <row r="734" spans="1:8" ht="18" x14ac:dyDescent="0.25">
      <c r="A734" s="24" t="s">
        <v>2153</v>
      </c>
      <c r="B734" s="25">
        <v>2014</v>
      </c>
      <c r="C734" s="25" t="s">
        <v>2463</v>
      </c>
      <c r="D734" s="25">
        <v>108</v>
      </c>
      <c r="E734" s="25">
        <v>5.7</v>
      </c>
      <c r="F734" s="25" t="str" cm="1">
        <f t="array" ref="F7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4" s="26">
        <v>2.46</v>
      </c>
      <c r="H734" s="27">
        <v>12918</v>
      </c>
    </row>
    <row r="735" spans="1:8" ht="18" x14ac:dyDescent="0.25">
      <c r="A735" s="24" t="s">
        <v>487</v>
      </c>
      <c r="B735" s="25">
        <v>2014</v>
      </c>
      <c r="C735" s="25" t="s">
        <v>2462</v>
      </c>
      <c r="D735" s="25">
        <v>104</v>
      </c>
      <c r="E735" s="25">
        <v>6</v>
      </c>
      <c r="F735" s="25" t="str" cm="1">
        <f t="array" ref="F7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5" s="26">
        <v>2.46</v>
      </c>
      <c r="H735" s="27">
        <v>1492</v>
      </c>
    </row>
    <row r="736" spans="1:8" ht="18" x14ac:dyDescent="0.25">
      <c r="A736" s="24" t="s">
        <v>2154</v>
      </c>
      <c r="B736" s="25">
        <v>2014</v>
      </c>
      <c r="C736" s="25" t="s">
        <v>2462</v>
      </c>
      <c r="D736" s="25">
        <v>118</v>
      </c>
      <c r="E736" s="25">
        <v>6.1</v>
      </c>
      <c r="F736" s="25" t="str" cm="1">
        <f t="array" ref="F7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6" s="26">
        <v>0.02</v>
      </c>
      <c r="H736" s="27">
        <v>56129</v>
      </c>
    </row>
    <row r="737" spans="1:8" ht="18" x14ac:dyDescent="0.25">
      <c r="A737" s="24" t="s">
        <v>494</v>
      </c>
      <c r="B737" s="25">
        <v>2014</v>
      </c>
      <c r="C737" s="25" t="s">
        <v>2463</v>
      </c>
      <c r="D737" s="25">
        <v>104</v>
      </c>
      <c r="E737" s="25">
        <v>6</v>
      </c>
      <c r="F737" s="25" t="str" cm="1">
        <f t="array" ref="F7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7" s="26">
        <v>2.46</v>
      </c>
      <c r="H737" s="27">
        <v>1089</v>
      </c>
    </row>
    <row r="738" spans="1:8" ht="18" x14ac:dyDescent="0.25">
      <c r="A738" s="24" t="s">
        <v>512</v>
      </c>
      <c r="B738" s="25">
        <v>2014</v>
      </c>
      <c r="C738" s="25" t="s">
        <v>2462</v>
      </c>
      <c r="D738" s="25">
        <v>104</v>
      </c>
      <c r="E738" s="25">
        <v>6.2</v>
      </c>
      <c r="F738" s="25" t="str" cm="1">
        <f t="array" ref="F7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8" s="26">
        <v>23.39</v>
      </c>
      <c r="H738" s="27">
        <v>47092</v>
      </c>
    </row>
    <row r="739" spans="1:8" ht="18" x14ac:dyDescent="0.25">
      <c r="A739" s="24" t="s">
        <v>515</v>
      </c>
      <c r="B739" s="25">
        <v>2014</v>
      </c>
      <c r="C739" s="25" t="s">
        <v>2463</v>
      </c>
      <c r="D739" s="25">
        <v>106</v>
      </c>
      <c r="E739" s="25">
        <v>6.9</v>
      </c>
      <c r="F739" s="25" t="str" cm="1">
        <f t="array" ref="F7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39" s="26">
        <v>92.17</v>
      </c>
      <c r="H739" s="27">
        <v>273983</v>
      </c>
    </row>
    <row r="740" spans="1:8" ht="18" x14ac:dyDescent="0.25">
      <c r="A740" s="24" t="s">
        <v>2155</v>
      </c>
      <c r="B740" s="25">
        <v>2014</v>
      </c>
      <c r="C740" s="25" t="s">
        <v>2462</v>
      </c>
      <c r="D740" s="25">
        <v>113</v>
      </c>
      <c r="E740" s="25">
        <v>7.9</v>
      </c>
      <c r="F740" s="25" t="str" cm="1">
        <f t="array" ref="F7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0" s="26">
        <v>100.21</v>
      </c>
      <c r="H740" s="27">
        <v>718442</v>
      </c>
    </row>
    <row r="741" spans="1:8" ht="18" x14ac:dyDescent="0.25">
      <c r="A741" s="24" t="s">
        <v>521</v>
      </c>
      <c r="B741" s="25">
        <v>2014</v>
      </c>
      <c r="C741" s="25" t="s">
        <v>2462</v>
      </c>
      <c r="D741" s="25">
        <v>138</v>
      </c>
      <c r="E741" s="25">
        <v>5.8</v>
      </c>
      <c r="F741" s="25" t="str" cm="1">
        <f t="array" ref="F7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1" s="26">
        <v>101.2</v>
      </c>
      <c r="H741" s="27">
        <v>263415</v>
      </c>
    </row>
    <row r="742" spans="1:8" ht="18" x14ac:dyDescent="0.25">
      <c r="A742" s="24" t="s">
        <v>522</v>
      </c>
      <c r="B742" s="25">
        <v>2014</v>
      </c>
      <c r="C742" s="25" t="s">
        <v>2462</v>
      </c>
      <c r="D742" s="25">
        <v>139</v>
      </c>
      <c r="E742" s="25">
        <v>6.6</v>
      </c>
      <c r="F742" s="25" t="str" cm="1">
        <f t="array" ref="F7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2" s="26">
        <v>150.94999999999999</v>
      </c>
      <c r="H742" s="27">
        <v>479685</v>
      </c>
    </row>
    <row r="743" spans="1:8" ht="18" x14ac:dyDescent="0.25">
      <c r="A743" s="24" t="s">
        <v>2156</v>
      </c>
      <c r="B743" s="25">
        <v>2014</v>
      </c>
      <c r="C743" s="25" t="s">
        <v>2462</v>
      </c>
      <c r="D743" s="25">
        <v>103</v>
      </c>
      <c r="E743" s="25">
        <v>5.7</v>
      </c>
      <c r="F743" s="25" t="str" cm="1">
        <f t="array" ref="F7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3" s="26">
        <v>2.46</v>
      </c>
      <c r="H743" s="27">
        <v>20932</v>
      </c>
    </row>
    <row r="744" spans="1:8" ht="18" x14ac:dyDescent="0.25">
      <c r="A744" s="24" t="s">
        <v>524</v>
      </c>
      <c r="B744" s="25">
        <v>2014</v>
      </c>
      <c r="C744" s="25" t="s">
        <v>2462</v>
      </c>
      <c r="D744" s="25">
        <v>102</v>
      </c>
      <c r="E744" s="25">
        <v>6.4</v>
      </c>
      <c r="F744" s="25" t="str" cm="1">
        <f t="array" ref="F7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4" s="26">
        <v>5.55</v>
      </c>
      <c r="H744" s="27">
        <v>3575</v>
      </c>
    </row>
    <row r="745" spans="1:8" ht="18" x14ac:dyDescent="0.25">
      <c r="A745" s="24" t="s">
        <v>527</v>
      </c>
      <c r="B745" s="25">
        <v>2014</v>
      </c>
      <c r="C745" s="25" t="s">
        <v>2462</v>
      </c>
      <c r="D745" s="25">
        <v>110</v>
      </c>
      <c r="E745" s="25">
        <v>6.8</v>
      </c>
      <c r="F745" s="25" t="str" cm="1">
        <f t="array" ref="F7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5" s="26">
        <v>28.83</v>
      </c>
      <c r="H745" s="27">
        <v>65071</v>
      </c>
    </row>
    <row r="746" spans="1:8" ht="18" x14ac:dyDescent="0.25">
      <c r="A746" s="24" t="s">
        <v>531</v>
      </c>
      <c r="B746" s="25">
        <v>2014</v>
      </c>
      <c r="C746" s="25" t="s">
        <v>2462</v>
      </c>
      <c r="D746" s="25">
        <v>103</v>
      </c>
      <c r="E746" s="25">
        <v>6.6</v>
      </c>
      <c r="F746" s="25" t="str" cm="1">
        <f t="array" ref="F7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6" s="26">
        <v>0.06</v>
      </c>
      <c r="H746" s="27">
        <v>8331</v>
      </c>
    </row>
    <row r="747" spans="1:8" ht="18" x14ac:dyDescent="0.25">
      <c r="A747" s="24" t="s">
        <v>532</v>
      </c>
      <c r="B747" s="25">
        <v>2014</v>
      </c>
      <c r="C747" s="25" t="s">
        <v>2464</v>
      </c>
      <c r="D747" s="25">
        <v>109</v>
      </c>
      <c r="E747" s="25">
        <v>5.7</v>
      </c>
      <c r="F747" s="25" t="str" cm="1">
        <f t="array" ref="F7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7" s="26">
        <v>10.51</v>
      </c>
      <c r="H747" s="27">
        <v>65562</v>
      </c>
    </row>
    <row r="748" spans="1:8" ht="18" x14ac:dyDescent="0.25">
      <c r="A748" s="24" t="s">
        <v>2157</v>
      </c>
      <c r="B748" s="25">
        <v>2014</v>
      </c>
      <c r="C748" s="25" t="s">
        <v>2464</v>
      </c>
      <c r="D748" s="25">
        <v>104</v>
      </c>
      <c r="E748" s="25">
        <v>6.3</v>
      </c>
      <c r="F748" s="25" t="str" cm="1">
        <f t="array" ref="F7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8" s="26">
        <v>0.21</v>
      </c>
      <c r="H748" s="27">
        <v>11621</v>
      </c>
    </row>
    <row r="749" spans="1:8" ht="18" x14ac:dyDescent="0.25">
      <c r="A749" s="24" t="s">
        <v>2158</v>
      </c>
      <c r="B749" s="25">
        <v>2014</v>
      </c>
      <c r="C749" s="25" t="s">
        <v>2462</v>
      </c>
      <c r="D749" s="25">
        <v>132</v>
      </c>
      <c r="E749" s="25">
        <v>7.9</v>
      </c>
      <c r="F749" s="25" t="str" cm="1">
        <f t="array" ref="F7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49" s="26">
        <v>233.92</v>
      </c>
      <c r="H749" s="27">
        <v>734897</v>
      </c>
    </row>
    <row r="750" spans="1:8" ht="18" x14ac:dyDescent="0.25">
      <c r="A750" s="24" t="s">
        <v>2159</v>
      </c>
      <c r="B750" s="25">
        <v>2014</v>
      </c>
      <c r="C750" s="25" t="s">
        <v>2462</v>
      </c>
      <c r="D750" s="25">
        <v>132</v>
      </c>
      <c r="E750" s="25">
        <v>6.4</v>
      </c>
      <c r="F750" s="25" t="str" cm="1">
        <f t="array" ref="F7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0" s="26">
        <v>43.58</v>
      </c>
      <c r="H750" s="27">
        <v>176603</v>
      </c>
    </row>
    <row r="751" spans="1:8" ht="18" x14ac:dyDescent="0.25">
      <c r="A751" s="24" t="s">
        <v>538</v>
      </c>
      <c r="B751" s="25">
        <v>2014</v>
      </c>
      <c r="C751" s="25" t="s">
        <v>2462</v>
      </c>
      <c r="D751" s="25">
        <v>119</v>
      </c>
      <c r="E751" s="25">
        <v>6.2</v>
      </c>
      <c r="F751" s="25" t="str" cm="1">
        <f t="array" ref="F7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1" s="26">
        <v>23.02</v>
      </c>
      <c r="H751" s="27">
        <v>236434</v>
      </c>
    </row>
    <row r="752" spans="1:8" ht="18" x14ac:dyDescent="0.25">
      <c r="A752" s="24" t="s">
        <v>2160</v>
      </c>
      <c r="B752" s="25">
        <v>2014</v>
      </c>
      <c r="C752" s="25" t="s">
        <v>2462</v>
      </c>
      <c r="D752" s="25">
        <v>126</v>
      </c>
      <c r="E752" s="25">
        <v>7.7</v>
      </c>
      <c r="F752" s="25" t="str" cm="1">
        <f t="array" ref="F7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2" s="26">
        <v>124.87</v>
      </c>
      <c r="H752" s="27">
        <v>394456</v>
      </c>
    </row>
    <row r="753" spans="1:8" ht="18" x14ac:dyDescent="0.25">
      <c r="A753" s="24" t="s">
        <v>542</v>
      </c>
      <c r="B753" s="25">
        <v>2014</v>
      </c>
      <c r="C753" s="25" t="s">
        <v>2462</v>
      </c>
      <c r="D753" s="25">
        <v>109</v>
      </c>
      <c r="E753" s="25">
        <v>6</v>
      </c>
      <c r="F753" s="25" t="str" cm="1">
        <f t="array" ref="F7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3" s="26">
        <v>83.91</v>
      </c>
      <c r="H753" s="27">
        <v>147747</v>
      </c>
    </row>
    <row r="754" spans="1:8" ht="18" x14ac:dyDescent="0.25">
      <c r="A754" s="24" t="s">
        <v>544</v>
      </c>
      <c r="B754" s="25">
        <v>2014</v>
      </c>
      <c r="C754" s="25" t="s">
        <v>2463</v>
      </c>
      <c r="D754" s="25">
        <v>142</v>
      </c>
      <c r="E754" s="25">
        <v>6.6</v>
      </c>
      <c r="F754" s="25" t="str" cm="1">
        <f t="array" ref="F7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4" s="26">
        <v>202.85</v>
      </c>
      <c r="H754" s="27">
        <v>526293</v>
      </c>
    </row>
    <row r="755" spans="1:8" ht="18" x14ac:dyDescent="0.25">
      <c r="A755" s="24" t="s">
        <v>545</v>
      </c>
      <c r="B755" s="25">
        <v>2014</v>
      </c>
      <c r="C755" s="25" t="s">
        <v>2463</v>
      </c>
      <c r="D755" s="25">
        <v>123</v>
      </c>
      <c r="E755" s="25">
        <v>6.4</v>
      </c>
      <c r="F755" s="25" t="str" cm="1">
        <f t="array" ref="F7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5" s="26">
        <v>200.68</v>
      </c>
      <c r="H755" s="27">
        <v>429753</v>
      </c>
    </row>
    <row r="756" spans="1:8" ht="18" x14ac:dyDescent="0.25">
      <c r="A756" s="24" t="s">
        <v>547</v>
      </c>
      <c r="B756" s="25">
        <v>2014</v>
      </c>
      <c r="C756" s="25" t="s">
        <v>2462</v>
      </c>
      <c r="D756" s="25">
        <v>103</v>
      </c>
      <c r="E756" s="25">
        <v>6.4</v>
      </c>
      <c r="F756" s="25" t="str" cm="1">
        <f t="array" ref="F7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6" s="26">
        <v>71.959999999999994</v>
      </c>
      <c r="H756" s="27">
        <v>159927</v>
      </c>
    </row>
    <row r="757" spans="1:8" ht="18" x14ac:dyDescent="0.25">
      <c r="A757" s="24" t="s">
        <v>549</v>
      </c>
      <c r="B757" s="25">
        <v>2014</v>
      </c>
      <c r="C757" s="25" t="s">
        <v>2464</v>
      </c>
      <c r="D757" s="25">
        <v>103</v>
      </c>
      <c r="E757" s="25">
        <v>6.4</v>
      </c>
      <c r="F757" s="25" t="str" cm="1">
        <f t="array" ref="F7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7" s="26">
        <v>1.1100000000000001</v>
      </c>
      <c r="H757" s="27">
        <v>50471</v>
      </c>
    </row>
    <row r="758" spans="1:8" ht="18" x14ac:dyDescent="0.25">
      <c r="A758" s="24" t="s">
        <v>550</v>
      </c>
      <c r="B758" s="25">
        <v>2014</v>
      </c>
      <c r="C758" s="25" t="s">
        <v>2462</v>
      </c>
      <c r="D758" s="25">
        <v>93</v>
      </c>
      <c r="E758" s="25">
        <v>4.5999999999999996</v>
      </c>
      <c r="F758" s="25" t="str" cm="1">
        <f t="array" ref="F7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8" s="26">
        <v>2.46</v>
      </c>
      <c r="H758" s="27">
        <v>19071</v>
      </c>
    </row>
    <row r="759" spans="1:8" ht="18" x14ac:dyDescent="0.25">
      <c r="A759" s="24" t="s">
        <v>2161</v>
      </c>
      <c r="B759" s="25">
        <v>2014</v>
      </c>
      <c r="C759" s="25" t="s">
        <v>2462</v>
      </c>
      <c r="D759" s="25">
        <v>125</v>
      </c>
      <c r="E759" s="25">
        <v>5.6</v>
      </c>
      <c r="F759" s="25" t="str" cm="1">
        <f t="array" ref="F7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59" s="26">
        <v>2.46</v>
      </c>
      <c r="H759" s="27">
        <v>3957</v>
      </c>
    </row>
    <row r="760" spans="1:8" ht="18" x14ac:dyDescent="0.25">
      <c r="A760" s="24" t="s">
        <v>552</v>
      </c>
      <c r="B760" s="25">
        <v>2014</v>
      </c>
      <c r="C760" s="25" t="s">
        <v>2462</v>
      </c>
      <c r="D760" s="25">
        <v>126</v>
      </c>
      <c r="E760" s="25">
        <v>6.1</v>
      </c>
      <c r="F760" s="25" t="str" cm="1">
        <f t="array" ref="F7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0" s="26">
        <v>39.32</v>
      </c>
      <c r="H760" s="27">
        <v>193063</v>
      </c>
    </row>
    <row r="761" spans="1:8" ht="18" x14ac:dyDescent="0.25">
      <c r="A761" s="24" t="s">
        <v>2162</v>
      </c>
      <c r="B761" s="25">
        <v>2014</v>
      </c>
      <c r="C761" s="25" t="s">
        <v>2462</v>
      </c>
      <c r="D761" s="25">
        <v>112</v>
      </c>
      <c r="E761" s="25">
        <v>6.7</v>
      </c>
      <c r="F761" s="25" t="str" cm="1">
        <f t="array" ref="F7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1" s="26">
        <v>2.46</v>
      </c>
      <c r="H761" s="27">
        <v>4287</v>
      </c>
    </row>
    <row r="762" spans="1:8" ht="18" x14ac:dyDescent="0.25">
      <c r="A762" s="24" t="s">
        <v>559</v>
      </c>
      <c r="B762" s="25">
        <v>2014</v>
      </c>
      <c r="C762" s="25" t="s">
        <v>2462</v>
      </c>
      <c r="D762" s="25">
        <v>114</v>
      </c>
      <c r="E762" s="25">
        <v>7.3</v>
      </c>
      <c r="F762" s="25" t="str" cm="1">
        <f t="array" ref="F7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2" s="26">
        <v>31.42</v>
      </c>
      <c r="H762" s="27">
        <v>226653</v>
      </c>
    </row>
    <row r="763" spans="1:8" ht="18" x14ac:dyDescent="0.25">
      <c r="A763" s="24" t="s">
        <v>560</v>
      </c>
      <c r="B763" s="25">
        <v>2014</v>
      </c>
      <c r="C763" s="25" t="s">
        <v>2464</v>
      </c>
      <c r="D763" s="25">
        <v>95</v>
      </c>
      <c r="E763" s="25">
        <v>6.9</v>
      </c>
      <c r="F763" s="25" t="str" cm="1">
        <f t="array" ref="F7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3" s="26">
        <v>0.64</v>
      </c>
      <c r="H763" s="27">
        <v>81559</v>
      </c>
    </row>
    <row r="764" spans="1:8" ht="18" x14ac:dyDescent="0.25">
      <c r="A764" s="24" t="s">
        <v>561</v>
      </c>
      <c r="B764" s="25">
        <v>2014</v>
      </c>
      <c r="C764" s="25" t="s">
        <v>2462</v>
      </c>
      <c r="D764" s="25">
        <v>97</v>
      </c>
      <c r="E764" s="25">
        <v>6.4</v>
      </c>
      <c r="F764" s="25" t="str" cm="1">
        <f t="array" ref="F7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4" s="26">
        <v>45.09</v>
      </c>
      <c r="H764" s="27">
        <v>123643</v>
      </c>
    </row>
    <row r="765" spans="1:8" ht="18" x14ac:dyDescent="0.25">
      <c r="A765" s="24" t="s">
        <v>564</v>
      </c>
      <c r="B765" s="25">
        <v>2014</v>
      </c>
      <c r="C765" s="25" t="s">
        <v>2462</v>
      </c>
      <c r="D765" s="25">
        <v>108</v>
      </c>
      <c r="E765" s="25">
        <v>5.8</v>
      </c>
      <c r="F765" s="25" t="str" cm="1">
        <f t="array" ref="F7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5" s="26">
        <v>2.46</v>
      </c>
      <c r="H765" s="27">
        <v>9008</v>
      </c>
    </row>
    <row r="766" spans="1:8" ht="18" x14ac:dyDescent="0.25">
      <c r="A766" s="24" t="s">
        <v>565</v>
      </c>
      <c r="B766" s="25">
        <v>2014</v>
      </c>
      <c r="C766" s="25" t="s">
        <v>2462</v>
      </c>
      <c r="D766" s="25">
        <v>96</v>
      </c>
      <c r="E766" s="25">
        <v>6.2</v>
      </c>
      <c r="F766" s="25" t="str" cm="1">
        <f t="array" ref="F7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6" s="26">
        <v>2.46</v>
      </c>
      <c r="H766" s="27">
        <v>3080</v>
      </c>
    </row>
    <row r="767" spans="1:8" ht="18" x14ac:dyDescent="0.25">
      <c r="A767" s="24" t="s">
        <v>2163</v>
      </c>
      <c r="B767" s="25">
        <v>2014</v>
      </c>
      <c r="C767" s="25" t="s">
        <v>2462</v>
      </c>
      <c r="D767" s="25">
        <v>111</v>
      </c>
      <c r="E767" s="25">
        <v>6.2</v>
      </c>
      <c r="F767" s="25" t="str" cm="1">
        <f t="array" ref="F7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7" s="26">
        <v>0.35</v>
      </c>
      <c r="H767" s="27">
        <v>42413</v>
      </c>
    </row>
    <row r="768" spans="1:8" ht="18" x14ac:dyDescent="0.25">
      <c r="A768" s="24" t="s">
        <v>2164</v>
      </c>
      <c r="B768" s="25">
        <v>2014</v>
      </c>
      <c r="C768" s="25" t="s">
        <v>2463</v>
      </c>
      <c r="D768" s="25">
        <v>116</v>
      </c>
      <c r="E768" s="25">
        <v>6.1</v>
      </c>
      <c r="F768" s="25" t="str" cm="1">
        <f t="array" ref="F7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8" s="26">
        <v>43.14</v>
      </c>
      <c r="H768" s="27">
        <v>195707</v>
      </c>
    </row>
    <row r="769" spans="1:8" ht="18" x14ac:dyDescent="0.25">
      <c r="A769" s="24" t="s">
        <v>570</v>
      </c>
      <c r="B769" s="25">
        <v>2014</v>
      </c>
      <c r="C769" s="25" t="s">
        <v>2462</v>
      </c>
      <c r="D769" s="25">
        <v>97</v>
      </c>
      <c r="E769" s="25">
        <v>6.3</v>
      </c>
      <c r="F769" s="25" t="str" cm="1">
        <f t="array" ref="F7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69" s="26">
        <v>150.16</v>
      </c>
      <c r="H769" s="27">
        <v>324212</v>
      </c>
    </row>
    <row r="770" spans="1:8" ht="18" x14ac:dyDescent="0.25">
      <c r="A770" s="24" t="s">
        <v>2165</v>
      </c>
      <c r="B770" s="25">
        <v>2014</v>
      </c>
      <c r="C770" s="25" t="s">
        <v>2463</v>
      </c>
      <c r="D770" s="25">
        <v>96</v>
      </c>
      <c r="E770" s="25">
        <v>6.2</v>
      </c>
      <c r="F770" s="25" t="str" cm="1">
        <f t="array" ref="F7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0" s="26">
        <v>0.51</v>
      </c>
      <c r="H770" s="27">
        <v>33188</v>
      </c>
    </row>
    <row r="771" spans="1:8" ht="18" x14ac:dyDescent="0.25">
      <c r="A771" s="24" t="s">
        <v>574</v>
      </c>
      <c r="B771" s="25">
        <v>2014</v>
      </c>
      <c r="C771" s="25" t="s">
        <v>2463</v>
      </c>
      <c r="D771" s="25">
        <v>90</v>
      </c>
      <c r="E771" s="25">
        <v>5.5</v>
      </c>
      <c r="F771" s="25" t="str" cm="1">
        <f t="array" ref="F7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1" s="26">
        <v>2.46</v>
      </c>
      <c r="H771" s="27">
        <v>17051</v>
      </c>
    </row>
    <row r="772" spans="1:8" ht="18" x14ac:dyDescent="0.25">
      <c r="A772" s="24" t="s">
        <v>575</v>
      </c>
      <c r="B772" s="25">
        <v>2014</v>
      </c>
      <c r="C772" s="25" t="s">
        <v>2462</v>
      </c>
      <c r="D772" s="25">
        <v>122</v>
      </c>
      <c r="E772" s="25">
        <v>6.6</v>
      </c>
      <c r="F772" s="25" t="str" cm="1">
        <f t="array" ref="F7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2" s="26">
        <v>2.4300000000000002</v>
      </c>
      <c r="H772" s="27">
        <v>34865</v>
      </c>
    </row>
    <row r="773" spans="1:8" ht="18" x14ac:dyDescent="0.25">
      <c r="A773" s="24" t="s">
        <v>577</v>
      </c>
      <c r="B773" s="25">
        <v>2014</v>
      </c>
      <c r="C773" s="25" t="s">
        <v>2464</v>
      </c>
      <c r="D773" s="25">
        <v>108</v>
      </c>
      <c r="E773" s="25">
        <v>6.3</v>
      </c>
      <c r="F773" s="25" t="str" cm="1">
        <f t="array" ref="F7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3" s="26">
        <v>24.98</v>
      </c>
      <c r="H773" s="27">
        <v>69841</v>
      </c>
    </row>
    <row r="774" spans="1:8" ht="18" x14ac:dyDescent="0.25">
      <c r="A774" s="24" t="s">
        <v>2166</v>
      </c>
      <c r="B774" s="25">
        <v>2014</v>
      </c>
      <c r="C774" s="25" t="s">
        <v>2462</v>
      </c>
      <c r="D774" s="25">
        <v>165</v>
      </c>
      <c r="E774" s="25">
        <v>5.6</v>
      </c>
      <c r="F774" s="25" t="str" cm="1">
        <f t="array" ref="F7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4" s="26">
        <v>245.44</v>
      </c>
      <c r="H774" s="27">
        <v>327773</v>
      </c>
    </row>
    <row r="775" spans="1:8" ht="18" x14ac:dyDescent="0.25">
      <c r="A775" s="24" t="s">
        <v>2167</v>
      </c>
      <c r="B775" s="25">
        <v>2014</v>
      </c>
      <c r="C775" s="25" t="s">
        <v>2462</v>
      </c>
      <c r="D775" s="25">
        <v>112</v>
      </c>
      <c r="E775" s="25">
        <v>6.4</v>
      </c>
      <c r="F775" s="25" t="str" cm="1">
        <f t="array" ref="F7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5" s="26">
        <v>2.46</v>
      </c>
      <c r="H775" s="27">
        <v>22056</v>
      </c>
    </row>
    <row r="776" spans="1:8" ht="18" x14ac:dyDescent="0.25">
      <c r="A776" s="24" t="s">
        <v>580</v>
      </c>
      <c r="B776" s="25">
        <v>2014</v>
      </c>
      <c r="C776" s="25" t="s">
        <v>2463</v>
      </c>
      <c r="D776" s="25">
        <v>124</v>
      </c>
      <c r="E776" s="25">
        <v>7</v>
      </c>
      <c r="F776" s="25" t="str" cm="1">
        <f t="array" ref="F7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6" s="26">
        <v>36.450000000000003</v>
      </c>
      <c r="H776" s="27">
        <v>47385</v>
      </c>
    </row>
    <row r="777" spans="1:8" ht="18" x14ac:dyDescent="0.25">
      <c r="A777" s="24" t="s">
        <v>2168</v>
      </c>
      <c r="B777" s="25">
        <v>2014</v>
      </c>
      <c r="C777" s="25" t="s">
        <v>2462</v>
      </c>
      <c r="D777" s="25">
        <v>91</v>
      </c>
      <c r="E777" s="25">
        <v>6.4</v>
      </c>
      <c r="F777" s="25" t="str" cm="1">
        <f t="array" ref="F7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7" s="26">
        <v>0.03</v>
      </c>
      <c r="H777" s="27">
        <v>29717</v>
      </c>
    </row>
    <row r="778" spans="1:8" ht="18" x14ac:dyDescent="0.25">
      <c r="A778" s="24" t="s">
        <v>582</v>
      </c>
      <c r="B778" s="25">
        <v>2014</v>
      </c>
      <c r="C778" s="25" t="s">
        <v>2464</v>
      </c>
      <c r="D778" s="25">
        <v>88</v>
      </c>
      <c r="E778" s="25">
        <v>5.3</v>
      </c>
      <c r="F778" s="25" t="str" cm="1">
        <f t="array" ref="F7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8" s="26">
        <v>2.46</v>
      </c>
      <c r="H778" s="27">
        <v>5099</v>
      </c>
    </row>
    <row r="779" spans="1:8" ht="18" x14ac:dyDescent="0.25">
      <c r="A779" s="24" t="s">
        <v>585</v>
      </c>
      <c r="B779" s="25">
        <v>2014</v>
      </c>
      <c r="C779" s="25" t="s">
        <v>2463</v>
      </c>
      <c r="D779" s="25">
        <v>109</v>
      </c>
      <c r="E779" s="25">
        <v>6</v>
      </c>
      <c r="F779" s="25" t="str" cm="1">
        <f t="array" ref="F7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79" s="26">
        <v>2.46</v>
      </c>
      <c r="H779" s="27">
        <v>58738</v>
      </c>
    </row>
    <row r="780" spans="1:8" ht="18" x14ac:dyDescent="0.25">
      <c r="A780" s="24" t="s">
        <v>588</v>
      </c>
      <c r="B780" s="25">
        <v>2014</v>
      </c>
      <c r="C780" s="25" t="s">
        <v>2463</v>
      </c>
      <c r="D780" s="25">
        <v>99</v>
      </c>
      <c r="E780" s="25">
        <v>6.6</v>
      </c>
      <c r="F780" s="25" t="str" cm="1">
        <f t="array" ref="F7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0" s="26">
        <v>2.46</v>
      </c>
      <c r="H780" s="27">
        <v>4776</v>
      </c>
    </row>
    <row r="781" spans="1:8" ht="18" x14ac:dyDescent="0.25">
      <c r="A781" s="24" t="s">
        <v>2169</v>
      </c>
      <c r="B781" s="25">
        <v>2014</v>
      </c>
      <c r="C781" s="25" t="s">
        <v>2462</v>
      </c>
      <c r="D781" s="25">
        <v>114</v>
      </c>
      <c r="E781" s="25">
        <v>6.5</v>
      </c>
      <c r="F781" s="25" t="str" cm="1">
        <f t="array" ref="F7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1" s="26">
        <v>26.31</v>
      </c>
      <c r="H781" s="27">
        <v>125898</v>
      </c>
    </row>
    <row r="782" spans="1:8" ht="18" x14ac:dyDescent="0.25">
      <c r="A782" s="24" t="s">
        <v>2170</v>
      </c>
      <c r="B782" s="25">
        <v>2014</v>
      </c>
      <c r="C782" s="25" t="s">
        <v>2462</v>
      </c>
      <c r="D782" s="25">
        <v>109</v>
      </c>
      <c r="E782" s="25">
        <v>6.7</v>
      </c>
      <c r="F782" s="25" t="str" cm="1">
        <f t="array" ref="F7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2" s="26">
        <v>0.41</v>
      </c>
      <c r="H782" s="27">
        <v>37112</v>
      </c>
    </row>
    <row r="783" spans="1:8" ht="18" x14ac:dyDescent="0.25">
      <c r="A783" s="24" t="s">
        <v>2171</v>
      </c>
      <c r="B783" s="25">
        <v>2014</v>
      </c>
      <c r="C783" s="25" t="s">
        <v>2462</v>
      </c>
      <c r="D783" s="25">
        <v>102</v>
      </c>
      <c r="E783" s="25">
        <v>6.5</v>
      </c>
      <c r="F783" s="25" t="str" cm="1">
        <f t="array" ref="F7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3" s="26">
        <v>13.76</v>
      </c>
      <c r="H783" s="27">
        <v>168286</v>
      </c>
    </row>
    <row r="784" spans="1:8" ht="18" x14ac:dyDescent="0.25">
      <c r="A784" s="24" t="s">
        <v>2172</v>
      </c>
      <c r="B784" s="25">
        <v>2014</v>
      </c>
      <c r="C784" s="25" t="s">
        <v>2462</v>
      </c>
      <c r="D784" s="25">
        <v>100</v>
      </c>
      <c r="E784" s="25">
        <v>5.8</v>
      </c>
      <c r="F784" s="25" t="str" cm="1">
        <f t="array" ref="F7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4" s="26">
        <v>2.46</v>
      </c>
      <c r="H784" s="27">
        <v>10219</v>
      </c>
    </row>
    <row r="785" spans="1:8" ht="18" x14ac:dyDescent="0.25">
      <c r="A785" s="24" t="s">
        <v>596</v>
      </c>
      <c r="B785" s="25">
        <v>2014</v>
      </c>
      <c r="C785" s="25" t="s">
        <v>2462</v>
      </c>
      <c r="D785" s="25">
        <v>110</v>
      </c>
      <c r="E785" s="25">
        <v>3.1</v>
      </c>
      <c r="F785" s="25" t="str" cm="1">
        <f t="array" ref="F7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5" s="26">
        <v>14</v>
      </c>
      <c r="H785" s="27">
        <v>41843</v>
      </c>
    </row>
    <row r="786" spans="1:8" ht="18" x14ac:dyDescent="0.25">
      <c r="A786" s="24" t="s">
        <v>597</v>
      </c>
      <c r="B786" s="25">
        <v>2014</v>
      </c>
      <c r="C786" s="25" t="s">
        <v>2462</v>
      </c>
      <c r="D786" s="25">
        <v>102</v>
      </c>
      <c r="E786" s="25">
        <v>6.3</v>
      </c>
      <c r="F786" s="25" t="str" cm="1">
        <f t="array" ref="F7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6" s="26">
        <v>0.01</v>
      </c>
      <c r="H786" s="27">
        <v>4201</v>
      </c>
    </row>
    <row r="787" spans="1:8" ht="18" x14ac:dyDescent="0.25">
      <c r="A787" s="24" t="s">
        <v>2173</v>
      </c>
      <c r="B787" s="25">
        <v>2014</v>
      </c>
      <c r="C787" s="25" t="s">
        <v>2462</v>
      </c>
      <c r="D787" s="25">
        <v>130</v>
      </c>
      <c r="E787" s="25">
        <v>7.6</v>
      </c>
      <c r="F787" s="25" t="str" cm="1">
        <f t="array" ref="F7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7" s="26">
        <v>208.55</v>
      </c>
      <c r="H787" s="27">
        <v>459087</v>
      </c>
    </row>
    <row r="788" spans="1:8" ht="18" x14ac:dyDescent="0.25">
      <c r="A788" s="24" t="s">
        <v>600</v>
      </c>
      <c r="B788" s="25">
        <v>2014</v>
      </c>
      <c r="C788" s="25" t="s">
        <v>2464</v>
      </c>
      <c r="D788" s="25">
        <v>141</v>
      </c>
      <c r="E788" s="25">
        <v>7.4</v>
      </c>
      <c r="F788" s="25" t="str" cm="1">
        <f t="array" ref="F7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8" s="26">
        <v>47.12</v>
      </c>
      <c r="H788" s="27">
        <v>198828</v>
      </c>
    </row>
    <row r="789" spans="1:8" ht="18" x14ac:dyDescent="0.25">
      <c r="A789" s="24" t="s">
        <v>2174</v>
      </c>
      <c r="B789" s="25">
        <v>2014</v>
      </c>
      <c r="C789" s="25" t="s">
        <v>2464</v>
      </c>
      <c r="D789" s="25">
        <v>121</v>
      </c>
      <c r="E789" s="25">
        <v>6.7</v>
      </c>
      <c r="F789" s="25" t="str" cm="1">
        <f t="array" ref="F7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89" s="26">
        <v>2.46</v>
      </c>
      <c r="H789" s="27">
        <v>3009</v>
      </c>
    </row>
    <row r="790" spans="1:8" ht="18" x14ac:dyDescent="0.25">
      <c r="A790" s="24" t="s">
        <v>605</v>
      </c>
      <c r="B790" s="25">
        <v>2014</v>
      </c>
      <c r="C790" s="25" t="s">
        <v>2462</v>
      </c>
      <c r="D790" s="25">
        <v>107</v>
      </c>
      <c r="E790" s="25">
        <v>6.7</v>
      </c>
      <c r="F790" s="25" t="str" cm="1">
        <f t="array" ref="F7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0" s="26">
        <v>50.47</v>
      </c>
      <c r="H790" s="27">
        <v>127232</v>
      </c>
    </row>
    <row r="791" spans="1:8" ht="18" x14ac:dyDescent="0.25">
      <c r="A791" s="24" t="s">
        <v>2175</v>
      </c>
      <c r="B791" s="25">
        <v>2014</v>
      </c>
      <c r="C791" s="25" t="s">
        <v>2462</v>
      </c>
      <c r="D791" s="25">
        <v>112</v>
      </c>
      <c r="E791" s="25">
        <v>6.4</v>
      </c>
      <c r="F791" s="25" t="str" cm="1">
        <f t="array" ref="F7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1" s="26">
        <v>0.1</v>
      </c>
      <c r="H791" s="27">
        <v>9176</v>
      </c>
    </row>
    <row r="792" spans="1:8" ht="18" x14ac:dyDescent="0.25">
      <c r="A792" s="24" t="s">
        <v>2176</v>
      </c>
      <c r="B792" s="25">
        <v>2014</v>
      </c>
      <c r="C792" s="25" t="s">
        <v>2463</v>
      </c>
      <c r="D792" s="25">
        <v>97</v>
      </c>
      <c r="E792" s="25">
        <v>7.4</v>
      </c>
      <c r="F792" s="25" t="str" cm="1">
        <f t="array" ref="F7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2" s="26">
        <v>0.28000000000000003</v>
      </c>
      <c r="H792" s="27">
        <v>11852</v>
      </c>
    </row>
    <row r="793" spans="1:8" ht="18" x14ac:dyDescent="0.25">
      <c r="A793" s="24" t="s">
        <v>611</v>
      </c>
      <c r="B793" s="25">
        <v>2014</v>
      </c>
      <c r="C793" s="25" t="s">
        <v>2462</v>
      </c>
      <c r="D793" s="25">
        <v>98</v>
      </c>
      <c r="E793" s="25">
        <v>6</v>
      </c>
      <c r="F793" s="25" t="str" cm="1">
        <f t="array" ref="F7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3" s="26">
        <v>2.46</v>
      </c>
      <c r="H793" s="27">
        <v>21946</v>
      </c>
    </row>
    <row r="794" spans="1:8" ht="18" x14ac:dyDescent="0.25">
      <c r="A794" s="24" t="s">
        <v>612</v>
      </c>
      <c r="B794" s="25">
        <v>2014</v>
      </c>
      <c r="C794" s="25" t="s">
        <v>2462</v>
      </c>
      <c r="D794" s="25">
        <v>88</v>
      </c>
      <c r="E794" s="25">
        <v>5.8</v>
      </c>
      <c r="F794" s="25" t="str" cm="1">
        <f t="array" ref="F7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4" s="26">
        <v>2.46</v>
      </c>
      <c r="H794" s="27">
        <v>9625</v>
      </c>
    </row>
    <row r="795" spans="1:8" ht="18" x14ac:dyDescent="0.25">
      <c r="A795" s="24" t="s">
        <v>613</v>
      </c>
      <c r="B795" s="25">
        <v>2014</v>
      </c>
      <c r="C795" s="25" t="s">
        <v>2462</v>
      </c>
      <c r="D795" s="25">
        <v>122</v>
      </c>
      <c r="E795" s="25">
        <v>7.3</v>
      </c>
      <c r="F795" s="25" t="str" cm="1">
        <f t="array" ref="F7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5" s="26">
        <v>54.24</v>
      </c>
      <c r="H795" s="27">
        <v>86461</v>
      </c>
    </row>
    <row r="796" spans="1:8" ht="18" x14ac:dyDescent="0.25">
      <c r="A796" s="24" t="s">
        <v>614</v>
      </c>
      <c r="B796" s="25">
        <v>2014</v>
      </c>
      <c r="C796" s="25" t="s">
        <v>2462</v>
      </c>
      <c r="D796" s="25">
        <v>90</v>
      </c>
      <c r="E796" s="25">
        <v>7</v>
      </c>
      <c r="F796" s="25" t="str" cm="1">
        <f t="array" ref="F7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6" s="26">
        <v>0.1</v>
      </c>
      <c r="H796" s="27">
        <v>1386</v>
      </c>
    </row>
    <row r="797" spans="1:8" ht="18" x14ac:dyDescent="0.25">
      <c r="A797" s="24" t="s">
        <v>615</v>
      </c>
      <c r="B797" s="25">
        <v>2014</v>
      </c>
      <c r="C797" s="25" t="s">
        <v>2462</v>
      </c>
      <c r="D797" s="25">
        <v>89</v>
      </c>
      <c r="E797" s="25">
        <v>6.4</v>
      </c>
      <c r="F797" s="25" t="str" cm="1">
        <f t="array" ref="F7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7" s="26">
        <v>126.66</v>
      </c>
      <c r="H797" s="27">
        <v>522693</v>
      </c>
    </row>
    <row r="798" spans="1:8" ht="18" x14ac:dyDescent="0.25">
      <c r="A798" s="24" t="s">
        <v>616</v>
      </c>
      <c r="B798" s="25">
        <v>2014</v>
      </c>
      <c r="C798" s="25" t="s">
        <v>2462</v>
      </c>
      <c r="D798" s="25">
        <v>92</v>
      </c>
      <c r="E798" s="25">
        <v>6.2</v>
      </c>
      <c r="F798" s="25" t="str" cm="1">
        <f t="array" ref="F7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8" s="26">
        <v>56.28</v>
      </c>
      <c r="H798" s="27">
        <v>204612</v>
      </c>
    </row>
    <row r="799" spans="1:8" ht="18" x14ac:dyDescent="0.25">
      <c r="A799" s="24" t="s">
        <v>617</v>
      </c>
      <c r="B799" s="25">
        <v>2014</v>
      </c>
      <c r="C799" s="25" t="s">
        <v>2462</v>
      </c>
      <c r="D799" s="25">
        <v>97</v>
      </c>
      <c r="E799" s="25">
        <v>6.9</v>
      </c>
      <c r="F799" s="25" t="str" cm="1">
        <f t="array" ref="F7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799" s="26">
        <v>241.41</v>
      </c>
      <c r="H799" s="27">
        <v>393906</v>
      </c>
    </row>
    <row r="800" spans="1:8" ht="18" x14ac:dyDescent="0.25">
      <c r="A800" s="24" t="s">
        <v>618</v>
      </c>
      <c r="B800" s="25">
        <v>2014</v>
      </c>
      <c r="C800" s="25" t="s">
        <v>2462</v>
      </c>
      <c r="D800" s="25">
        <v>97</v>
      </c>
      <c r="E800" s="25">
        <v>7.4</v>
      </c>
      <c r="F800" s="25" t="str" cm="1">
        <f t="array" ref="F8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0" s="26">
        <v>7.0000000000000007E-2</v>
      </c>
      <c r="H800" s="27">
        <v>296401</v>
      </c>
    </row>
    <row r="801" spans="1:8" ht="18" x14ac:dyDescent="0.25">
      <c r="A801" s="24" t="s">
        <v>621</v>
      </c>
      <c r="B801" s="25">
        <v>2014</v>
      </c>
      <c r="C801" s="25" t="s">
        <v>2464</v>
      </c>
      <c r="D801" s="25">
        <v>102</v>
      </c>
      <c r="E801" s="25">
        <v>6.6</v>
      </c>
      <c r="F801" s="25" t="str" cm="1">
        <f t="array" ref="F8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1" s="26">
        <v>6.37</v>
      </c>
      <c r="H801" s="27">
        <v>4152</v>
      </c>
    </row>
    <row r="802" spans="1:8" ht="18" x14ac:dyDescent="0.25">
      <c r="A802" s="24" t="s">
        <v>622</v>
      </c>
      <c r="B802" s="25">
        <v>2014</v>
      </c>
      <c r="C802" s="25" t="s">
        <v>2462</v>
      </c>
      <c r="D802" s="25">
        <v>134</v>
      </c>
      <c r="E802" s="25">
        <v>6.8</v>
      </c>
      <c r="F802" s="25" t="str" cm="1">
        <f t="array" ref="F8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2" s="26">
        <v>47.03</v>
      </c>
      <c r="H802" s="27">
        <v>36189</v>
      </c>
    </row>
    <row r="803" spans="1:8" ht="18" x14ac:dyDescent="0.25">
      <c r="A803" s="24" t="s">
        <v>623</v>
      </c>
      <c r="B803" s="25">
        <v>2014</v>
      </c>
      <c r="C803" s="25" t="s">
        <v>2463</v>
      </c>
      <c r="D803" s="25">
        <v>86</v>
      </c>
      <c r="E803" s="25">
        <v>5.4</v>
      </c>
      <c r="F803" s="25" t="str" cm="1">
        <f t="array" ref="F8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3" s="26">
        <v>2.46</v>
      </c>
      <c r="H803" s="27">
        <v>13210</v>
      </c>
    </row>
    <row r="804" spans="1:8" ht="18" x14ac:dyDescent="0.25">
      <c r="A804" s="24" t="s">
        <v>624</v>
      </c>
      <c r="B804" s="25">
        <v>2014</v>
      </c>
      <c r="C804" s="25" t="s">
        <v>2462</v>
      </c>
      <c r="D804" s="25">
        <v>98</v>
      </c>
      <c r="E804" s="25">
        <v>6</v>
      </c>
      <c r="F804" s="25" t="str" cm="1">
        <f t="array" ref="F8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4" s="26">
        <v>72.69</v>
      </c>
      <c r="H804" s="27">
        <v>162469</v>
      </c>
    </row>
    <row r="805" spans="1:8" ht="18" x14ac:dyDescent="0.25">
      <c r="A805" s="24" t="s">
        <v>625</v>
      </c>
      <c r="B805" s="25">
        <v>2014</v>
      </c>
      <c r="C805" s="25" t="s">
        <v>2463</v>
      </c>
      <c r="D805" s="25">
        <v>99</v>
      </c>
      <c r="E805" s="25">
        <v>5.4</v>
      </c>
      <c r="F805" s="25" t="str" cm="1">
        <f t="array" ref="F8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5" s="26">
        <v>84.27</v>
      </c>
      <c r="H805" s="27">
        <v>171736</v>
      </c>
    </row>
    <row r="806" spans="1:8" ht="18" x14ac:dyDescent="0.25">
      <c r="A806" s="24" t="s">
        <v>626</v>
      </c>
      <c r="B806" s="25">
        <v>2014</v>
      </c>
      <c r="C806" s="25" t="s">
        <v>2463</v>
      </c>
      <c r="D806" s="25">
        <v>88</v>
      </c>
      <c r="E806" s="25">
        <v>7.1</v>
      </c>
      <c r="F806" s="25" t="str" cm="1">
        <f t="array" ref="F8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6" s="26">
        <v>2.46</v>
      </c>
      <c r="H806" s="27">
        <v>2317</v>
      </c>
    </row>
    <row r="807" spans="1:8" ht="18" x14ac:dyDescent="0.25">
      <c r="A807" s="24" t="s">
        <v>629</v>
      </c>
      <c r="B807" s="25">
        <v>2014</v>
      </c>
      <c r="C807" s="25" t="s">
        <v>2462</v>
      </c>
      <c r="D807" s="25">
        <v>111</v>
      </c>
      <c r="E807" s="25">
        <v>6.2</v>
      </c>
      <c r="F807" s="25" t="str" cm="1">
        <f t="array" ref="F8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7" s="26">
        <v>0.01</v>
      </c>
      <c r="H807" s="27">
        <v>2191</v>
      </c>
    </row>
    <row r="808" spans="1:8" ht="18" x14ac:dyDescent="0.25">
      <c r="A808" s="24" t="s">
        <v>2177</v>
      </c>
      <c r="B808" s="25">
        <v>2014</v>
      </c>
      <c r="C808" s="25" t="s">
        <v>2463</v>
      </c>
      <c r="D808" s="25">
        <v>109</v>
      </c>
      <c r="E808" s="25">
        <v>6.7</v>
      </c>
      <c r="F808" s="25" t="str" cm="1">
        <f t="array" ref="F8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8" s="26">
        <v>0.56000000000000005</v>
      </c>
      <c r="H808" s="27">
        <v>6818</v>
      </c>
    </row>
    <row r="809" spans="1:8" ht="18" x14ac:dyDescent="0.25">
      <c r="A809" s="24" t="s">
        <v>631</v>
      </c>
      <c r="B809" s="25">
        <v>2014</v>
      </c>
      <c r="C809" s="25" t="s">
        <v>2462</v>
      </c>
      <c r="D809" s="25">
        <v>102</v>
      </c>
      <c r="E809" s="25">
        <v>7.2</v>
      </c>
      <c r="F809" s="25" t="str" cm="1">
        <f t="array" ref="F8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09" s="26">
        <v>44.13</v>
      </c>
      <c r="H809" s="27">
        <v>107332</v>
      </c>
    </row>
    <row r="810" spans="1:8" ht="18" x14ac:dyDescent="0.25">
      <c r="A810" s="24" t="s">
        <v>632</v>
      </c>
      <c r="B810" s="25">
        <v>2014</v>
      </c>
      <c r="C810" s="25" t="s">
        <v>2462</v>
      </c>
      <c r="D810" s="25">
        <v>100</v>
      </c>
      <c r="E810" s="25">
        <v>6.7</v>
      </c>
      <c r="F810" s="25" t="str" cm="1">
        <f t="array" ref="F8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0" s="26">
        <v>0.32</v>
      </c>
      <c r="H810" s="27">
        <v>104727</v>
      </c>
    </row>
    <row r="811" spans="1:8" ht="18" x14ac:dyDescent="0.25">
      <c r="A811" s="24" t="s">
        <v>633</v>
      </c>
      <c r="B811" s="25">
        <v>2014</v>
      </c>
      <c r="C811" s="25" t="s">
        <v>2462</v>
      </c>
      <c r="D811" s="25">
        <v>112</v>
      </c>
      <c r="E811" s="25">
        <v>5.9</v>
      </c>
      <c r="F811" s="25" t="str" cm="1">
        <f t="array" ref="F8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1" s="26">
        <v>2.46</v>
      </c>
      <c r="H811" s="27">
        <v>35305</v>
      </c>
    </row>
    <row r="812" spans="1:8" ht="18" x14ac:dyDescent="0.25">
      <c r="A812" s="24" t="s">
        <v>634</v>
      </c>
      <c r="B812" s="25">
        <v>2014</v>
      </c>
      <c r="C812" s="25" t="s">
        <v>2462</v>
      </c>
      <c r="D812" s="25">
        <v>103</v>
      </c>
      <c r="E812" s="25">
        <v>6.6</v>
      </c>
      <c r="F812" s="25" t="str" cm="1">
        <f t="array" ref="F8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2" s="26">
        <v>34.29</v>
      </c>
      <c r="H812" s="27">
        <v>87232</v>
      </c>
    </row>
    <row r="813" spans="1:8" ht="18" x14ac:dyDescent="0.25">
      <c r="A813" s="24" t="s">
        <v>2178</v>
      </c>
      <c r="B813" s="25">
        <v>2014</v>
      </c>
      <c r="C813" s="25" t="s">
        <v>2462</v>
      </c>
      <c r="D813" s="25">
        <v>94</v>
      </c>
      <c r="E813" s="25">
        <v>4.5</v>
      </c>
      <c r="F813" s="25" t="str" cm="1">
        <f t="array" ref="F8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3" s="26">
        <v>2.46</v>
      </c>
      <c r="H813" s="27">
        <v>11266</v>
      </c>
    </row>
    <row r="814" spans="1:8" ht="18" x14ac:dyDescent="0.25">
      <c r="A814" s="24" t="s">
        <v>636</v>
      </c>
      <c r="B814" s="25">
        <v>2014</v>
      </c>
      <c r="C814" s="25" t="s">
        <v>2462</v>
      </c>
      <c r="D814" s="25">
        <v>105</v>
      </c>
      <c r="E814" s="25">
        <v>7.4</v>
      </c>
      <c r="F814" s="25" t="str" cm="1">
        <f t="array" ref="F8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4" s="26">
        <v>0.04</v>
      </c>
      <c r="H814" s="27">
        <v>19270</v>
      </c>
    </row>
    <row r="815" spans="1:8" ht="18" x14ac:dyDescent="0.25">
      <c r="A815" s="24" t="s">
        <v>637</v>
      </c>
      <c r="B815" s="25">
        <v>2014</v>
      </c>
      <c r="C815" s="25" t="s">
        <v>2462</v>
      </c>
      <c r="D815" s="25">
        <v>113</v>
      </c>
      <c r="E815" s="25">
        <v>6.8</v>
      </c>
      <c r="F815" s="25" t="str" cm="1">
        <f t="array" ref="F8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5" s="26">
        <v>102.43</v>
      </c>
      <c r="H815" s="27">
        <v>495561</v>
      </c>
    </row>
    <row r="816" spans="1:8" ht="18" x14ac:dyDescent="0.25">
      <c r="A816" s="24" t="s">
        <v>2179</v>
      </c>
      <c r="B816" s="25">
        <v>2014</v>
      </c>
      <c r="C816" s="25" t="s">
        <v>2462</v>
      </c>
      <c r="D816" s="25">
        <v>97</v>
      </c>
      <c r="E816" s="25">
        <v>6.5</v>
      </c>
      <c r="F816" s="25" t="str" cm="1">
        <f t="array" ref="F8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6" s="26">
        <v>10.51</v>
      </c>
      <c r="H816" s="27">
        <v>70080</v>
      </c>
    </row>
    <row r="817" spans="1:8" ht="18" x14ac:dyDescent="0.25">
      <c r="A817" s="24" t="s">
        <v>639</v>
      </c>
      <c r="B817" s="25">
        <v>2014</v>
      </c>
      <c r="C817" s="25" t="s">
        <v>2462</v>
      </c>
      <c r="D817" s="25">
        <v>121</v>
      </c>
      <c r="E817" s="25">
        <v>7.8</v>
      </c>
      <c r="F817" s="25" t="str" cm="1">
        <f t="array" ref="F8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7" s="26">
        <v>0.81</v>
      </c>
      <c r="H817" s="27">
        <v>16137</v>
      </c>
    </row>
    <row r="818" spans="1:8" ht="18" x14ac:dyDescent="0.25">
      <c r="A818" s="24" t="s">
        <v>640</v>
      </c>
      <c r="B818" s="25">
        <v>2014</v>
      </c>
      <c r="C818" s="25" t="s">
        <v>2465</v>
      </c>
      <c r="D818" s="25">
        <v>111</v>
      </c>
      <c r="E818" s="25">
        <v>7.2</v>
      </c>
      <c r="F818" s="25" t="str" cm="1">
        <f t="array" ref="F8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8" s="26">
        <v>2.46</v>
      </c>
      <c r="H818" s="27">
        <v>15653</v>
      </c>
    </row>
    <row r="819" spans="1:8" ht="18" x14ac:dyDescent="0.25">
      <c r="A819" s="24" t="s">
        <v>641</v>
      </c>
      <c r="B819" s="25">
        <v>2014</v>
      </c>
      <c r="C819" s="25" t="s">
        <v>2462</v>
      </c>
      <c r="D819" s="25">
        <v>122</v>
      </c>
      <c r="E819" s="25">
        <v>6.7</v>
      </c>
      <c r="F819" s="25" t="str" cm="1">
        <f t="array" ref="F8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19" s="26">
        <v>17.239999999999998</v>
      </c>
      <c r="H819" s="27">
        <v>79171</v>
      </c>
    </row>
    <row r="820" spans="1:8" ht="18" x14ac:dyDescent="0.25">
      <c r="A820" s="24" t="s">
        <v>642</v>
      </c>
      <c r="B820" s="25">
        <v>2014</v>
      </c>
      <c r="C820" s="25" t="s">
        <v>2463</v>
      </c>
      <c r="D820" s="25">
        <v>127</v>
      </c>
      <c r="E820" s="25">
        <v>6.1</v>
      </c>
      <c r="F820" s="25" t="str" cm="1">
        <f t="array" ref="F8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0" s="26">
        <v>0.01</v>
      </c>
      <c r="H820" s="27">
        <v>3236</v>
      </c>
    </row>
    <row r="821" spans="1:8" ht="18" x14ac:dyDescent="0.25">
      <c r="A821" s="24" t="s">
        <v>643</v>
      </c>
      <c r="B821" s="25">
        <v>2014</v>
      </c>
      <c r="C821" s="25" t="s">
        <v>2462</v>
      </c>
      <c r="D821" s="25">
        <v>110</v>
      </c>
      <c r="E821" s="25">
        <v>6.6</v>
      </c>
      <c r="F821" s="25" t="str" cm="1">
        <f t="array" ref="F8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1" s="26">
        <v>7.0000000000000007E-2</v>
      </c>
      <c r="H821" s="27">
        <v>5729</v>
      </c>
    </row>
    <row r="822" spans="1:8" ht="18" x14ac:dyDescent="0.25">
      <c r="A822" s="24" t="s">
        <v>644</v>
      </c>
      <c r="B822" s="25">
        <v>2014</v>
      </c>
      <c r="C822" s="25" t="s">
        <v>2464</v>
      </c>
      <c r="D822" s="25">
        <v>134</v>
      </c>
      <c r="E822" s="25">
        <v>7.6</v>
      </c>
      <c r="F822" s="25" t="str" cm="1">
        <f t="array" ref="F8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2" s="26">
        <v>85.82</v>
      </c>
      <c r="H822" s="27">
        <v>528835</v>
      </c>
    </row>
    <row r="823" spans="1:8" ht="18" x14ac:dyDescent="0.25">
      <c r="A823" s="24" t="s">
        <v>2180</v>
      </c>
      <c r="B823" s="25">
        <v>2014</v>
      </c>
      <c r="C823" s="25" t="s">
        <v>2462</v>
      </c>
      <c r="D823" s="25">
        <v>91</v>
      </c>
      <c r="E823" s="25">
        <v>6</v>
      </c>
      <c r="F823" s="25" t="str" cm="1">
        <f t="array" ref="F8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3" s="26">
        <v>2.46</v>
      </c>
      <c r="H823" s="27">
        <v>5416</v>
      </c>
    </row>
    <row r="824" spans="1:8" ht="18" x14ac:dyDescent="0.25">
      <c r="A824" s="24" t="s">
        <v>648</v>
      </c>
      <c r="B824" s="25">
        <v>2014</v>
      </c>
      <c r="C824" s="25" t="s">
        <v>2462</v>
      </c>
      <c r="D824" s="25">
        <v>106</v>
      </c>
      <c r="E824" s="25">
        <v>7.3</v>
      </c>
      <c r="F824" s="25" t="str" cm="1">
        <f t="array" ref="F8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4" s="26">
        <v>0.33</v>
      </c>
      <c r="H824" s="27">
        <v>131344</v>
      </c>
    </row>
    <row r="825" spans="1:8" ht="18" x14ac:dyDescent="0.25">
      <c r="A825" s="24" t="s">
        <v>649</v>
      </c>
      <c r="B825" s="25">
        <v>2014</v>
      </c>
      <c r="C825" s="25" t="s">
        <v>2462</v>
      </c>
      <c r="D825" s="25">
        <v>149</v>
      </c>
      <c r="E825" s="25">
        <v>8.1</v>
      </c>
      <c r="F825" s="25" t="str" cm="1">
        <f t="array" ref="F8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5" s="26">
        <v>167.77</v>
      </c>
      <c r="H825" s="27">
        <v>1038574</v>
      </c>
    </row>
    <row r="826" spans="1:8" ht="18" x14ac:dyDescent="0.25">
      <c r="A826" s="24" t="s">
        <v>650</v>
      </c>
      <c r="B826" s="25">
        <v>2014</v>
      </c>
      <c r="C826" s="25" t="s">
        <v>2463</v>
      </c>
      <c r="D826" s="25">
        <v>93</v>
      </c>
      <c r="E826" s="25">
        <v>6.2</v>
      </c>
      <c r="F826" s="25" t="str" cm="1">
        <f t="array" ref="F8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6" s="26">
        <v>21.2</v>
      </c>
      <c r="H826" s="27">
        <v>107524</v>
      </c>
    </row>
    <row r="827" spans="1:8" ht="18" x14ac:dyDescent="0.25">
      <c r="A827" s="24" t="s">
        <v>651</v>
      </c>
      <c r="B827" s="25">
        <v>2014</v>
      </c>
      <c r="C827" s="25" t="s">
        <v>2463</v>
      </c>
      <c r="D827" s="25">
        <v>132</v>
      </c>
      <c r="E827" s="25">
        <v>7.2</v>
      </c>
      <c r="F827" s="25" t="str" cm="1">
        <f t="array" ref="F8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7" s="26">
        <v>101.53</v>
      </c>
      <c r="H827" s="27">
        <v>404864</v>
      </c>
    </row>
    <row r="828" spans="1:8" ht="18" x14ac:dyDescent="0.25">
      <c r="A828" s="24" t="s">
        <v>2181</v>
      </c>
      <c r="B828" s="25">
        <v>2014</v>
      </c>
      <c r="C828" s="25" t="s">
        <v>2462</v>
      </c>
      <c r="D828" s="25">
        <v>88</v>
      </c>
      <c r="E828" s="25">
        <v>6.1</v>
      </c>
      <c r="F828" s="25" t="str" cm="1">
        <f t="array" ref="F8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8" s="26">
        <v>0.1</v>
      </c>
      <c r="H828" s="27">
        <v>12072</v>
      </c>
    </row>
    <row r="829" spans="1:8" ht="18" x14ac:dyDescent="0.25">
      <c r="A829" s="24" t="s">
        <v>654</v>
      </c>
      <c r="B829" s="25">
        <v>2014</v>
      </c>
      <c r="C829" s="25" t="s">
        <v>2462</v>
      </c>
      <c r="D829" s="25">
        <v>109</v>
      </c>
      <c r="E829" s="25">
        <v>5.4</v>
      </c>
      <c r="F829" s="25" t="str" cm="1">
        <f t="array" ref="F8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29" s="26">
        <v>0.18</v>
      </c>
      <c r="H829" s="27">
        <v>30060</v>
      </c>
    </row>
    <row r="830" spans="1:8" ht="18" x14ac:dyDescent="0.25">
      <c r="A830" s="24" t="s">
        <v>655</v>
      </c>
      <c r="B830" s="25">
        <v>2014</v>
      </c>
      <c r="C830" s="25" t="s">
        <v>2463</v>
      </c>
      <c r="D830" s="25">
        <v>95</v>
      </c>
      <c r="E830" s="25">
        <v>7.3</v>
      </c>
      <c r="F830" s="25" t="str" cm="1">
        <f t="array" ref="F8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0" s="26">
        <v>1.44</v>
      </c>
      <c r="H830" s="27">
        <v>50005</v>
      </c>
    </row>
    <row r="831" spans="1:8" ht="18" x14ac:dyDescent="0.25">
      <c r="A831" s="24" t="s">
        <v>659</v>
      </c>
      <c r="B831" s="25">
        <v>2014</v>
      </c>
      <c r="C831" s="25" t="s">
        <v>2462</v>
      </c>
      <c r="D831" s="25">
        <v>150</v>
      </c>
      <c r="E831" s="25">
        <v>7.9</v>
      </c>
      <c r="F831" s="25" t="str" cm="1">
        <f t="array" ref="F8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1" s="26">
        <v>2.63</v>
      </c>
      <c r="H831" s="27">
        <v>129396</v>
      </c>
    </row>
    <row r="832" spans="1:8" ht="18" x14ac:dyDescent="0.25">
      <c r="A832" s="24" t="s">
        <v>2182</v>
      </c>
      <c r="B832" s="25">
        <v>2014</v>
      </c>
      <c r="C832" s="25" t="s">
        <v>2462</v>
      </c>
      <c r="D832" s="25">
        <v>92</v>
      </c>
      <c r="E832" s="25">
        <v>6.3</v>
      </c>
      <c r="F832" s="25" t="str" cm="1">
        <f t="array" ref="F8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2" s="26">
        <v>2.96</v>
      </c>
      <c r="H832" s="27">
        <v>82892</v>
      </c>
    </row>
    <row r="833" spans="1:8" ht="18" x14ac:dyDescent="0.25">
      <c r="A833" s="24" t="s">
        <v>661</v>
      </c>
      <c r="B833" s="25">
        <v>2014</v>
      </c>
      <c r="C833" s="25" t="s">
        <v>2462</v>
      </c>
      <c r="D833" s="25">
        <v>136</v>
      </c>
      <c r="E833" s="25">
        <v>7.8</v>
      </c>
      <c r="F833" s="25" t="str" cm="1">
        <f t="array" ref="F8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3" s="26">
        <v>259.77</v>
      </c>
      <c r="H833" s="27">
        <v>883820</v>
      </c>
    </row>
    <row r="834" spans="1:8" ht="18" x14ac:dyDescent="0.25">
      <c r="A834" s="24" t="s">
        <v>664</v>
      </c>
      <c r="B834" s="25">
        <v>2014</v>
      </c>
      <c r="C834" s="25" t="s">
        <v>2462</v>
      </c>
      <c r="D834" s="25">
        <v>78</v>
      </c>
      <c r="E834" s="25">
        <v>8.1999999999999993</v>
      </c>
      <c r="F834" s="25" t="str" cm="1">
        <f t="array" ref="F8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4" s="26">
        <v>0.15</v>
      </c>
      <c r="H834" s="27">
        <v>3209</v>
      </c>
    </row>
    <row r="835" spans="1:8" ht="18" x14ac:dyDescent="0.25">
      <c r="A835" s="24" t="s">
        <v>667</v>
      </c>
      <c r="B835" s="25">
        <v>2014</v>
      </c>
      <c r="C835" s="25" t="s">
        <v>2462</v>
      </c>
      <c r="D835" s="25">
        <v>94</v>
      </c>
      <c r="E835" s="25">
        <v>6.1</v>
      </c>
      <c r="F835" s="25" t="str" cm="1">
        <f t="array" ref="F8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5" s="26">
        <v>2.46</v>
      </c>
      <c r="H835" s="27">
        <v>3247</v>
      </c>
    </row>
    <row r="836" spans="1:8" ht="18" x14ac:dyDescent="0.25">
      <c r="A836" s="24" t="s">
        <v>2183</v>
      </c>
      <c r="B836" s="25">
        <v>2014</v>
      </c>
      <c r="C836" s="25" t="s">
        <v>2462</v>
      </c>
      <c r="D836" s="25">
        <v>70</v>
      </c>
      <c r="E836" s="25">
        <v>5.8</v>
      </c>
      <c r="F836" s="25" t="str" cm="1">
        <f t="array" ref="F8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6" s="26">
        <v>2.46</v>
      </c>
      <c r="H836" s="27">
        <v>6222</v>
      </c>
    </row>
    <row r="837" spans="1:8" ht="18" x14ac:dyDescent="0.25">
      <c r="A837" s="24" t="s">
        <v>2184</v>
      </c>
      <c r="B837" s="25">
        <v>2014</v>
      </c>
      <c r="C837" s="25" t="s">
        <v>2462</v>
      </c>
      <c r="D837" s="25">
        <v>101</v>
      </c>
      <c r="E837" s="25">
        <v>5.3</v>
      </c>
      <c r="F837" s="25" t="str" cm="1">
        <f t="array" ref="F8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7" s="26">
        <v>2.46</v>
      </c>
      <c r="H837" s="27">
        <v>1762</v>
      </c>
    </row>
    <row r="838" spans="1:8" ht="18" x14ac:dyDescent="0.25">
      <c r="A838" s="24" t="s">
        <v>673</v>
      </c>
      <c r="B838" s="25">
        <v>2014</v>
      </c>
      <c r="C838" s="25" t="s">
        <v>2462</v>
      </c>
      <c r="D838" s="25">
        <v>165</v>
      </c>
      <c r="E838" s="25">
        <v>7.9</v>
      </c>
      <c r="F838" s="25" t="str" cm="1">
        <f t="array" ref="F8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8" s="26">
        <v>25.38</v>
      </c>
      <c r="H838" s="27">
        <v>363792</v>
      </c>
    </row>
    <row r="839" spans="1:8" ht="18" x14ac:dyDescent="0.25">
      <c r="A839" s="24" t="s">
        <v>675</v>
      </c>
      <c r="B839" s="25">
        <v>2014</v>
      </c>
      <c r="C839" s="25" t="s">
        <v>2463</v>
      </c>
      <c r="D839" s="25">
        <v>101</v>
      </c>
      <c r="E839" s="25">
        <v>5.5</v>
      </c>
      <c r="F839" s="25" t="str" cm="1">
        <f t="array" ref="F8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39" s="26">
        <v>2.46</v>
      </c>
      <c r="H839" s="27">
        <v>2722</v>
      </c>
    </row>
    <row r="840" spans="1:8" ht="18" x14ac:dyDescent="0.25">
      <c r="A840" s="24" t="s">
        <v>677</v>
      </c>
      <c r="B840" s="25">
        <v>2014</v>
      </c>
      <c r="C840" s="25" t="s">
        <v>2462</v>
      </c>
      <c r="D840" s="25">
        <v>99</v>
      </c>
      <c r="E840" s="25">
        <v>6.3</v>
      </c>
      <c r="F840" s="25" t="str" cm="1">
        <f t="array" ref="F8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0" s="26">
        <v>2.46</v>
      </c>
      <c r="H840" s="27">
        <v>7768</v>
      </c>
    </row>
    <row r="841" spans="1:8" ht="18" x14ac:dyDescent="0.25">
      <c r="A841" s="24" t="s">
        <v>2185</v>
      </c>
      <c r="B841" s="25">
        <v>2014</v>
      </c>
      <c r="C841" s="25" t="s">
        <v>2462</v>
      </c>
      <c r="D841" s="25">
        <v>117</v>
      </c>
      <c r="E841" s="25">
        <v>5.7</v>
      </c>
      <c r="F841" s="25" t="str" cm="1">
        <f t="array" ref="F8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1" s="26">
        <v>2.46</v>
      </c>
      <c r="H841" s="27">
        <v>2259</v>
      </c>
    </row>
    <row r="842" spans="1:8" ht="18" x14ac:dyDescent="0.25">
      <c r="A842" s="24" t="s">
        <v>680</v>
      </c>
      <c r="B842" s="25">
        <v>2014</v>
      </c>
      <c r="C842" s="25" t="s">
        <v>2464</v>
      </c>
      <c r="D842" s="25">
        <v>93</v>
      </c>
      <c r="E842" s="25">
        <v>6.5</v>
      </c>
      <c r="F842" s="25" t="str" cm="1">
        <f t="array" ref="F8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2" s="26">
        <v>2.46</v>
      </c>
      <c r="H842" s="27">
        <v>3662</v>
      </c>
    </row>
    <row r="843" spans="1:8" ht="18" x14ac:dyDescent="0.25">
      <c r="A843" s="24" t="s">
        <v>683</v>
      </c>
      <c r="B843" s="25">
        <v>2014</v>
      </c>
      <c r="C843" s="25" t="s">
        <v>2464</v>
      </c>
      <c r="D843" s="25">
        <v>102</v>
      </c>
      <c r="E843" s="25">
        <v>5.3</v>
      </c>
      <c r="F843" s="25" t="str" cm="1">
        <f t="array" ref="F8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3" s="26">
        <v>2.46</v>
      </c>
      <c r="H843" s="27">
        <v>12401</v>
      </c>
    </row>
    <row r="844" spans="1:8" ht="18" x14ac:dyDescent="0.25">
      <c r="A844" s="24" t="s">
        <v>684</v>
      </c>
      <c r="B844" s="25">
        <v>2014</v>
      </c>
      <c r="C844" s="25" t="s">
        <v>2462</v>
      </c>
      <c r="D844" s="25">
        <v>104</v>
      </c>
      <c r="E844" s="25">
        <v>6.2</v>
      </c>
      <c r="F844" s="25" t="str" cm="1">
        <f t="array" ref="F8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4" s="26">
        <v>2.46</v>
      </c>
      <c r="H844" s="27">
        <v>8709</v>
      </c>
    </row>
    <row r="845" spans="1:8" ht="18" x14ac:dyDescent="0.25">
      <c r="A845" s="24" t="s">
        <v>686</v>
      </c>
      <c r="B845" s="25">
        <v>2014</v>
      </c>
      <c r="C845" s="25" t="s">
        <v>2462</v>
      </c>
      <c r="D845" s="25">
        <v>114</v>
      </c>
      <c r="E845" s="25">
        <v>8</v>
      </c>
      <c r="F845" s="25" t="str" cm="1">
        <f t="array" ref="F8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5" s="26">
        <v>91.13</v>
      </c>
      <c r="H845" s="27">
        <v>807794</v>
      </c>
    </row>
    <row r="846" spans="1:8" ht="18" x14ac:dyDescent="0.25">
      <c r="A846" s="24" t="s">
        <v>2186</v>
      </c>
      <c r="B846" s="25">
        <v>2014</v>
      </c>
      <c r="C846" s="25" t="s">
        <v>2462</v>
      </c>
      <c r="D846" s="25">
        <v>139</v>
      </c>
      <c r="E846" s="25">
        <v>6.9</v>
      </c>
      <c r="F846" s="25" t="str" cm="1">
        <f t="array" ref="F8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6" s="26">
        <v>30.51</v>
      </c>
      <c r="H846" s="27">
        <v>25764</v>
      </c>
    </row>
    <row r="847" spans="1:8" ht="18" x14ac:dyDescent="0.25">
      <c r="A847" s="24" t="s">
        <v>688</v>
      </c>
      <c r="B847" s="25">
        <v>2014</v>
      </c>
      <c r="C847" s="25" t="s">
        <v>2462</v>
      </c>
      <c r="D847" s="25">
        <v>102</v>
      </c>
      <c r="E847" s="25">
        <v>7.8</v>
      </c>
      <c r="F847" s="25" t="str" cm="1">
        <f t="array" ref="F8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7" s="26">
        <v>222.53</v>
      </c>
      <c r="H847" s="27">
        <v>489282</v>
      </c>
    </row>
    <row r="848" spans="1:8" ht="18" x14ac:dyDescent="0.25">
      <c r="A848" s="24" t="s">
        <v>689</v>
      </c>
      <c r="B848" s="25">
        <v>2014</v>
      </c>
      <c r="C848" s="25" t="s">
        <v>2462</v>
      </c>
      <c r="D848" s="25">
        <v>94</v>
      </c>
      <c r="E848" s="25">
        <v>6.7</v>
      </c>
      <c r="F848" s="25" t="str" cm="1">
        <f t="array" ref="F8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8" s="26">
        <v>2.25</v>
      </c>
      <c r="H848" s="27">
        <v>13144</v>
      </c>
    </row>
    <row r="849" spans="1:8" ht="18" x14ac:dyDescent="0.25">
      <c r="A849" s="24" t="s">
        <v>690</v>
      </c>
      <c r="B849" s="25">
        <v>2014</v>
      </c>
      <c r="C849" s="25" t="s">
        <v>2463</v>
      </c>
      <c r="D849" s="25">
        <v>134</v>
      </c>
      <c r="E849" s="25">
        <v>7</v>
      </c>
      <c r="F849" s="25" t="str" cm="1">
        <f t="array" ref="F8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49" s="26">
        <v>12.1</v>
      </c>
      <c r="H849" s="27">
        <v>147265</v>
      </c>
    </row>
    <row r="850" spans="1:8" ht="18" x14ac:dyDescent="0.25">
      <c r="A850" s="24" t="s">
        <v>2187</v>
      </c>
      <c r="B850" s="25">
        <v>2014</v>
      </c>
      <c r="C850" s="25" t="s">
        <v>2462</v>
      </c>
      <c r="D850" s="25">
        <v>102</v>
      </c>
      <c r="E850" s="25">
        <v>7.8</v>
      </c>
      <c r="F850" s="25" t="str" cm="1">
        <f t="array" ref="F8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0" s="26">
        <v>177</v>
      </c>
      <c r="H850" s="27">
        <v>355652</v>
      </c>
    </row>
    <row r="851" spans="1:8" ht="18" x14ac:dyDescent="0.25">
      <c r="A851" s="24" t="s">
        <v>692</v>
      </c>
      <c r="B851" s="25">
        <v>2014</v>
      </c>
      <c r="C851" s="25" t="s">
        <v>2462</v>
      </c>
      <c r="D851" s="25">
        <v>100</v>
      </c>
      <c r="E851" s="25">
        <v>7.7</v>
      </c>
      <c r="F851" s="25" t="str" cm="1">
        <f t="array" ref="F8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1" s="26">
        <v>257.76</v>
      </c>
      <c r="H851" s="27">
        <v>380519</v>
      </c>
    </row>
    <row r="852" spans="1:8" ht="18" x14ac:dyDescent="0.25">
      <c r="A852" s="24" t="s">
        <v>693</v>
      </c>
      <c r="B852" s="25">
        <v>2014</v>
      </c>
      <c r="C852" s="25" t="s">
        <v>2462</v>
      </c>
      <c r="D852" s="25">
        <v>94</v>
      </c>
      <c r="E852" s="25">
        <v>6.8</v>
      </c>
      <c r="F852" s="25" t="str" cm="1">
        <f t="array" ref="F8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2" s="26">
        <v>0.92</v>
      </c>
      <c r="H852" s="27">
        <v>241716</v>
      </c>
    </row>
    <row r="853" spans="1:8" ht="18" x14ac:dyDescent="0.25">
      <c r="A853" s="24" t="s">
        <v>2188</v>
      </c>
      <c r="B853" s="25">
        <v>2014</v>
      </c>
      <c r="C853" s="25" t="s">
        <v>2462</v>
      </c>
      <c r="D853" s="25">
        <v>125</v>
      </c>
      <c r="E853" s="25">
        <v>5.9</v>
      </c>
      <c r="F853" s="25" t="str" cm="1">
        <f t="array" ref="F8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3" s="26">
        <v>128</v>
      </c>
      <c r="H853" s="27">
        <v>146219</v>
      </c>
    </row>
    <row r="854" spans="1:8" ht="18" x14ac:dyDescent="0.25">
      <c r="A854" s="24" t="s">
        <v>696</v>
      </c>
      <c r="B854" s="25">
        <v>2014</v>
      </c>
      <c r="C854" s="25" t="s">
        <v>2464</v>
      </c>
      <c r="D854" s="25">
        <v>101</v>
      </c>
      <c r="E854" s="25">
        <v>7.4</v>
      </c>
      <c r="F854" s="25" t="str" cm="1">
        <f t="array" ref="F8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4" s="26">
        <v>43.04</v>
      </c>
      <c r="H854" s="27">
        <v>719274</v>
      </c>
    </row>
    <row r="855" spans="1:8" ht="18" x14ac:dyDescent="0.25">
      <c r="A855" s="24" t="s">
        <v>2189</v>
      </c>
      <c r="B855" s="25">
        <v>2014</v>
      </c>
      <c r="C855" s="25" t="s">
        <v>2462</v>
      </c>
      <c r="D855" s="25">
        <v>108</v>
      </c>
      <c r="E855" s="25">
        <v>6</v>
      </c>
      <c r="F855" s="25" t="str" cm="1">
        <f t="array" ref="F8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5" s="26">
        <v>2.46</v>
      </c>
      <c r="H855" s="27">
        <v>1355</v>
      </c>
    </row>
    <row r="856" spans="1:8" ht="18" x14ac:dyDescent="0.25">
      <c r="A856" s="24" t="s">
        <v>698</v>
      </c>
      <c r="B856" s="25">
        <v>2014</v>
      </c>
      <c r="C856" s="25" t="s">
        <v>2463</v>
      </c>
      <c r="D856" s="25">
        <v>101</v>
      </c>
      <c r="E856" s="25">
        <v>7.5</v>
      </c>
      <c r="F856" s="25" t="str" cm="1">
        <f t="array" ref="F8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6" s="26">
        <v>18.75</v>
      </c>
      <c r="H856" s="27">
        <v>141500</v>
      </c>
    </row>
    <row r="857" spans="1:8" ht="18" x14ac:dyDescent="0.25">
      <c r="A857" s="24" t="s">
        <v>699</v>
      </c>
      <c r="B857" s="25">
        <v>2014</v>
      </c>
      <c r="C857" s="25" t="s">
        <v>2462</v>
      </c>
      <c r="D857" s="25">
        <v>150</v>
      </c>
      <c r="E857" s="25">
        <v>6.8</v>
      </c>
      <c r="F857" s="25" t="str" cm="1">
        <f t="array" ref="F8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7" s="26">
        <v>3.96</v>
      </c>
      <c r="H857" s="27">
        <v>26852</v>
      </c>
    </row>
    <row r="858" spans="1:8" ht="18" x14ac:dyDescent="0.25">
      <c r="A858" s="24" t="s">
        <v>700</v>
      </c>
      <c r="B858" s="25">
        <v>2014</v>
      </c>
      <c r="C858" s="25" t="s">
        <v>2462</v>
      </c>
      <c r="D858" s="25">
        <v>133</v>
      </c>
      <c r="E858" s="25">
        <v>7.3</v>
      </c>
      <c r="F858" s="25" t="str" cm="1">
        <f t="array" ref="F8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8" s="26">
        <v>350.13</v>
      </c>
      <c r="H858" s="27">
        <v>517351</v>
      </c>
    </row>
    <row r="859" spans="1:8" ht="18" x14ac:dyDescent="0.25">
      <c r="A859" s="24" t="s">
        <v>701</v>
      </c>
      <c r="B859" s="25">
        <v>2014</v>
      </c>
      <c r="C859" s="25" t="s">
        <v>2464</v>
      </c>
      <c r="D859" s="25">
        <v>117</v>
      </c>
      <c r="E859" s="25">
        <v>7.8</v>
      </c>
      <c r="F859" s="25" t="str" cm="1">
        <f t="array" ref="F8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59" s="26">
        <v>32.380000000000003</v>
      </c>
      <c r="H859" s="27">
        <v>587585</v>
      </c>
    </row>
    <row r="860" spans="1:8" ht="18" x14ac:dyDescent="0.25">
      <c r="A860" s="24" t="s">
        <v>2190</v>
      </c>
      <c r="B860" s="25">
        <v>2014</v>
      </c>
      <c r="C860" s="25" t="s">
        <v>2462</v>
      </c>
      <c r="D860" s="25">
        <v>124</v>
      </c>
      <c r="E860" s="25">
        <v>6.8</v>
      </c>
      <c r="F860" s="25" t="str" cm="1">
        <f t="array" ref="F8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0" s="26">
        <v>1.81</v>
      </c>
      <c r="H860" s="27">
        <v>30791</v>
      </c>
    </row>
    <row r="861" spans="1:8" ht="18" x14ac:dyDescent="0.25">
      <c r="A861" s="24" t="s">
        <v>2191</v>
      </c>
      <c r="B861" s="25">
        <v>2014</v>
      </c>
      <c r="C861" s="25" t="s">
        <v>2462</v>
      </c>
      <c r="D861" s="25">
        <v>95</v>
      </c>
      <c r="E861" s="25">
        <v>7.2</v>
      </c>
      <c r="F861" s="25" t="str" cm="1">
        <f t="array" ref="F8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1" s="26">
        <v>50.15</v>
      </c>
      <c r="H861" s="27">
        <v>76067</v>
      </c>
    </row>
    <row r="862" spans="1:8" ht="18" x14ac:dyDescent="0.25">
      <c r="A862" s="24" t="s">
        <v>704</v>
      </c>
      <c r="B862" s="25">
        <v>2014</v>
      </c>
      <c r="C862" s="25" t="s">
        <v>2463</v>
      </c>
      <c r="D862" s="25">
        <v>106</v>
      </c>
      <c r="E862" s="25">
        <v>8.5</v>
      </c>
      <c r="F862" s="25" t="str" cm="1">
        <f t="array" ref="F8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2" s="26">
        <v>13.09</v>
      </c>
      <c r="H862" s="27">
        <v>944166</v>
      </c>
    </row>
    <row r="863" spans="1:8" ht="18" x14ac:dyDescent="0.25">
      <c r="A863" s="24" t="s">
        <v>2192</v>
      </c>
      <c r="B863" s="25">
        <v>2014</v>
      </c>
      <c r="C863" s="25" t="s">
        <v>2464</v>
      </c>
      <c r="D863" s="25">
        <v>119</v>
      </c>
      <c r="E863" s="25">
        <v>7.7</v>
      </c>
      <c r="F863" s="25" t="str" cm="1">
        <f t="array" ref="F8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3" s="26">
        <v>42.34</v>
      </c>
      <c r="H863" s="27">
        <v>655329</v>
      </c>
    </row>
    <row r="864" spans="1:8" ht="18" x14ac:dyDescent="0.25">
      <c r="A864" s="24" t="s">
        <v>706</v>
      </c>
      <c r="B864" s="25">
        <v>2014</v>
      </c>
      <c r="C864" s="25" t="s">
        <v>2462</v>
      </c>
      <c r="D864" s="25">
        <v>169</v>
      </c>
      <c r="E864" s="25">
        <v>8.6999999999999993</v>
      </c>
      <c r="F864" s="25" t="str" cm="1">
        <f t="array" ref="F8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4" s="26">
        <v>188.02</v>
      </c>
      <c r="H864" s="27">
        <v>2011555</v>
      </c>
    </row>
    <row r="865" spans="1:8" ht="18" x14ac:dyDescent="0.25">
      <c r="A865" s="24" t="s">
        <v>707</v>
      </c>
      <c r="B865" s="25">
        <v>2014</v>
      </c>
      <c r="C865" s="25" t="s">
        <v>2462</v>
      </c>
      <c r="D865" s="25">
        <v>99</v>
      </c>
      <c r="E865" s="25">
        <v>6.4</v>
      </c>
      <c r="F865" s="25" t="str" cm="1">
        <f t="array" ref="F8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5" s="26">
        <v>0.44</v>
      </c>
      <c r="H865" s="27">
        <v>45402</v>
      </c>
    </row>
    <row r="866" spans="1:8" ht="18" x14ac:dyDescent="0.25">
      <c r="A866" s="24" t="s">
        <v>708</v>
      </c>
      <c r="B866" s="25">
        <v>2014</v>
      </c>
      <c r="C866" s="25" t="s">
        <v>2462</v>
      </c>
      <c r="D866" s="25">
        <v>93</v>
      </c>
      <c r="E866" s="25">
        <v>6.2</v>
      </c>
      <c r="F866" s="25" t="str" cm="1">
        <f t="array" ref="F8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6" s="26">
        <v>0.01</v>
      </c>
      <c r="H866" s="27">
        <v>9160</v>
      </c>
    </row>
    <row r="867" spans="1:8" ht="18" x14ac:dyDescent="0.25">
      <c r="A867" s="24" t="s">
        <v>709</v>
      </c>
      <c r="B867" s="25">
        <v>2014</v>
      </c>
      <c r="C867" s="25" t="s">
        <v>2462</v>
      </c>
      <c r="D867" s="25">
        <v>119</v>
      </c>
      <c r="E867" s="25">
        <v>7.8</v>
      </c>
      <c r="F867" s="25" t="str" cm="1">
        <f t="array" ref="F8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7" s="26">
        <v>2.46</v>
      </c>
      <c r="H867" s="27">
        <v>60620</v>
      </c>
    </row>
    <row r="868" spans="1:8" ht="18" x14ac:dyDescent="0.25">
      <c r="A868" s="24" t="s">
        <v>710</v>
      </c>
      <c r="B868" s="25">
        <v>2014</v>
      </c>
      <c r="C868" s="25" t="s">
        <v>2462</v>
      </c>
      <c r="D868" s="25">
        <v>137</v>
      </c>
      <c r="E868" s="25">
        <v>7.2</v>
      </c>
      <c r="F868" s="25" t="str" cm="1">
        <f t="array" ref="F8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8" s="26">
        <v>115.64</v>
      </c>
      <c r="H868" s="27">
        <v>178860</v>
      </c>
    </row>
    <row r="869" spans="1:8" ht="18" x14ac:dyDescent="0.25">
      <c r="A869" s="24" t="s">
        <v>713</v>
      </c>
      <c r="B869" s="25">
        <v>2014</v>
      </c>
      <c r="C869" s="25" t="s">
        <v>2462</v>
      </c>
      <c r="D869" s="25">
        <v>91</v>
      </c>
      <c r="E869" s="25">
        <v>5.2</v>
      </c>
      <c r="F869" s="25" t="str" cm="1">
        <f t="array" ref="F8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69" s="26">
        <v>2.46</v>
      </c>
      <c r="H869" s="27">
        <v>2458</v>
      </c>
    </row>
    <row r="870" spans="1:8" ht="18" x14ac:dyDescent="0.25">
      <c r="A870" s="24" t="s">
        <v>715</v>
      </c>
      <c r="B870" s="25">
        <v>2014</v>
      </c>
      <c r="C870" s="25" t="s">
        <v>2462</v>
      </c>
      <c r="D870" s="25">
        <v>92</v>
      </c>
      <c r="E870" s="25">
        <v>5.0999999999999996</v>
      </c>
      <c r="F870" s="25" t="str" cm="1">
        <f t="array" ref="F8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0" s="26">
        <v>2.46</v>
      </c>
      <c r="H870" s="27">
        <v>19169</v>
      </c>
    </row>
    <row r="871" spans="1:8" ht="18" x14ac:dyDescent="0.25">
      <c r="A871" s="24" t="s">
        <v>716</v>
      </c>
      <c r="B871" s="25">
        <v>2014</v>
      </c>
      <c r="C871" s="25" t="s">
        <v>2462</v>
      </c>
      <c r="D871" s="25">
        <v>103</v>
      </c>
      <c r="E871" s="25">
        <v>6.3</v>
      </c>
      <c r="F871" s="25" t="str" cm="1">
        <f t="array" ref="F8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1" s="26">
        <v>2.46</v>
      </c>
      <c r="H871" s="27">
        <v>61217</v>
      </c>
    </row>
    <row r="872" spans="1:8" ht="18" x14ac:dyDescent="0.25">
      <c r="A872" s="24" t="s">
        <v>717</v>
      </c>
      <c r="B872" s="25">
        <v>2014</v>
      </c>
      <c r="C872" s="25" t="s">
        <v>2462</v>
      </c>
      <c r="D872" s="25">
        <v>111</v>
      </c>
      <c r="E872" s="25">
        <v>6</v>
      </c>
      <c r="F872" s="25" t="str" cm="1">
        <f t="array" ref="F8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2" s="26">
        <v>33.68</v>
      </c>
      <c r="H872" s="27">
        <v>72425</v>
      </c>
    </row>
    <row r="873" spans="1:8" ht="18" x14ac:dyDescent="0.25">
      <c r="A873" s="24" t="s">
        <v>2193</v>
      </c>
      <c r="B873" s="25">
        <v>2014</v>
      </c>
      <c r="C873" s="25" t="s">
        <v>2462</v>
      </c>
      <c r="D873" s="25">
        <v>144</v>
      </c>
      <c r="E873" s="25">
        <v>7.4</v>
      </c>
      <c r="F873" s="25" t="str" cm="1">
        <f t="array" ref="F8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3" s="26">
        <v>255.12</v>
      </c>
      <c r="H873" s="27">
        <v>558816</v>
      </c>
    </row>
    <row r="874" spans="1:8" ht="18" x14ac:dyDescent="0.25">
      <c r="A874" s="24" t="s">
        <v>720</v>
      </c>
      <c r="B874" s="25">
        <v>2014</v>
      </c>
      <c r="C874" s="25" t="s">
        <v>2462</v>
      </c>
      <c r="D874" s="25">
        <v>120</v>
      </c>
      <c r="E874" s="25">
        <v>6.5</v>
      </c>
      <c r="F874" s="25" t="str" cm="1">
        <f t="array" ref="F8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4" s="26">
        <v>0.11</v>
      </c>
      <c r="H874" s="27">
        <v>23111</v>
      </c>
    </row>
    <row r="875" spans="1:8" ht="18" x14ac:dyDescent="0.25">
      <c r="A875" s="24" t="s">
        <v>2194</v>
      </c>
      <c r="B875" s="25">
        <v>2014</v>
      </c>
      <c r="C875" s="25" t="s">
        <v>2462</v>
      </c>
      <c r="D875" s="25">
        <v>108</v>
      </c>
      <c r="E875" s="25">
        <v>6.4</v>
      </c>
      <c r="F875" s="25" t="str" cm="1">
        <f t="array" ref="F8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5" s="26">
        <v>0</v>
      </c>
      <c r="H875" s="27">
        <v>29227</v>
      </c>
    </row>
    <row r="876" spans="1:8" ht="18" x14ac:dyDescent="0.25">
      <c r="A876" s="24" t="s">
        <v>722</v>
      </c>
      <c r="B876" s="25">
        <v>2014</v>
      </c>
      <c r="C876" s="25" t="s">
        <v>2462</v>
      </c>
      <c r="D876" s="25">
        <v>76</v>
      </c>
      <c r="E876" s="25">
        <v>6.3</v>
      </c>
      <c r="F876" s="25" t="str" cm="1">
        <f t="array" ref="F8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6" s="26">
        <v>0.23</v>
      </c>
      <c r="H876" s="27">
        <v>3616</v>
      </c>
    </row>
    <row r="877" spans="1:8" ht="18" x14ac:dyDescent="0.25">
      <c r="A877" s="24" t="s">
        <v>2195</v>
      </c>
      <c r="B877" s="25">
        <v>2014</v>
      </c>
      <c r="C877" s="25" t="s">
        <v>2464</v>
      </c>
      <c r="D877" s="25">
        <v>118</v>
      </c>
      <c r="E877" s="25">
        <v>6.7</v>
      </c>
      <c r="F877" s="25" t="str" cm="1">
        <f t="array" ref="F8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7" s="26">
        <v>26.76</v>
      </c>
      <c r="H877" s="27">
        <v>76348</v>
      </c>
    </row>
    <row r="878" spans="1:8" ht="18" x14ac:dyDescent="0.25">
      <c r="A878" s="24" t="s">
        <v>724</v>
      </c>
      <c r="B878" s="25">
        <v>2014</v>
      </c>
      <c r="C878" s="25" t="s">
        <v>2462</v>
      </c>
      <c r="D878" s="25">
        <v>94</v>
      </c>
      <c r="E878" s="25">
        <v>5.9</v>
      </c>
      <c r="F878" s="25" t="str" cm="1">
        <f t="array" ref="F8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8" s="26">
        <v>2.46</v>
      </c>
      <c r="H878" s="27">
        <v>29664</v>
      </c>
    </row>
    <row r="879" spans="1:8" ht="18" x14ac:dyDescent="0.25">
      <c r="A879" s="24" t="s">
        <v>726</v>
      </c>
      <c r="B879" s="25">
        <v>2014</v>
      </c>
      <c r="C879" s="25" t="s">
        <v>2462</v>
      </c>
      <c r="D879" s="25">
        <v>109</v>
      </c>
      <c r="E879" s="25">
        <v>6.3</v>
      </c>
      <c r="F879" s="25" t="str" cm="1">
        <f t="array" ref="F8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79" s="26">
        <v>2.46</v>
      </c>
      <c r="H879" s="27">
        <v>4471</v>
      </c>
    </row>
    <row r="880" spans="1:8" ht="18" x14ac:dyDescent="0.25">
      <c r="A880" s="24" t="s">
        <v>729</v>
      </c>
      <c r="B880" s="25">
        <v>2014</v>
      </c>
      <c r="C880" s="25" t="s">
        <v>2462</v>
      </c>
      <c r="D880" s="25">
        <v>106</v>
      </c>
      <c r="E880" s="25">
        <v>7</v>
      </c>
      <c r="F880" s="25" t="str" cm="1">
        <f t="array" ref="F8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0" s="26">
        <v>14.48</v>
      </c>
      <c r="H880" s="27">
        <v>97599</v>
      </c>
    </row>
    <row r="881" spans="1:8" ht="18" x14ac:dyDescent="0.25">
      <c r="A881" s="24" t="s">
        <v>734</v>
      </c>
      <c r="B881" s="25">
        <v>2014</v>
      </c>
      <c r="C881" s="25" t="s">
        <v>2462</v>
      </c>
      <c r="D881" s="25">
        <v>123</v>
      </c>
      <c r="E881" s="25">
        <v>6.6</v>
      </c>
      <c r="F881" s="25" t="str" cm="1">
        <f t="array" ref="F8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1" s="26">
        <v>337.14</v>
      </c>
      <c r="H881" s="27">
        <v>483577</v>
      </c>
    </row>
    <row r="882" spans="1:8" ht="18" x14ac:dyDescent="0.25">
      <c r="A882" s="24" t="s">
        <v>737</v>
      </c>
      <c r="B882" s="25">
        <v>2014</v>
      </c>
      <c r="C882" s="25" t="s">
        <v>2462</v>
      </c>
      <c r="D882" s="25">
        <v>128</v>
      </c>
      <c r="E882" s="25">
        <v>7.5</v>
      </c>
      <c r="F882" s="25" t="str" cm="1">
        <f t="array" ref="F8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2" s="26">
        <v>52.08</v>
      </c>
      <c r="H882" s="27">
        <v>94342</v>
      </c>
    </row>
    <row r="883" spans="1:8" ht="18" x14ac:dyDescent="0.25">
      <c r="A883" s="24" t="s">
        <v>738</v>
      </c>
      <c r="B883" s="25">
        <v>2014</v>
      </c>
      <c r="C883" s="25" t="s">
        <v>2463</v>
      </c>
      <c r="D883" s="25">
        <v>90</v>
      </c>
      <c r="E883" s="25">
        <v>5.6</v>
      </c>
      <c r="F883" s="25" t="str" cm="1">
        <f t="array" ref="F8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3" s="26">
        <v>20.399999999999999</v>
      </c>
      <c r="H883" s="27">
        <v>43683</v>
      </c>
    </row>
    <row r="884" spans="1:8" ht="18" x14ac:dyDescent="0.25">
      <c r="A884" s="24" t="s">
        <v>2196</v>
      </c>
      <c r="B884" s="25">
        <v>2014</v>
      </c>
      <c r="C884" s="25" t="s">
        <v>2462</v>
      </c>
      <c r="D884" s="25">
        <v>123</v>
      </c>
      <c r="E884" s="25">
        <v>7.7</v>
      </c>
      <c r="F884" s="25" t="str" cm="1">
        <f t="array" ref="F8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4" s="26">
        <v>35.89</v>
      </c>
      <c r="H884" s="27">
        <v>473013</v>
      </c>
    </row>
    <row r="885" spans="1:8" ht="18" x14ac:dyDescent="0.25">
      <c r="A885" s="24" t="s">
        <v>2197</v>
      </c>
      <c r="B885" s="25">
        <v>2014</v>
      </c>
      <c r="C885" s="25" t="s">
        <v>2462</v>
      </c>
      <c r="D885" s="25">
        <v>113</v>
      </c>
      <c r="E885" s="25">
        <v>4.5999999999999996</v>
      </c>
      <c r="F885" s="25" t="str" cm="1">
        <f t="array" ref="F8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5" s="26">
        <v>60.76</v>
      </c>
      <c r="H885" s="27">
        <v>44424</v>
      </c>
    </row>
    <row r="886" spans="1:8" ht="18" x14ac:dyDescent="0.25">
      <c r="A886" s="24" t="s">
        <v>746</v>
      </c>
      <c r="B886" s="25">
        <v>2014</v>
      </c>
      <c r="C886" s="25" t="s">
        <v>2462</v>
      </c>
      <c r="D886" s="25">
        <v>117</v>
      </c>
      <c r="E886" s="25">
        <v>6.5</v>
      </c>
      <c r="F886" s="25" t="str" cm="1">
        <f t="array" ref="F8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6" s="26">
        <v>46.29</v>
      </c>
      <c r="H886" s="27">
        <v>140879</v>
      </c>
    </row>
    <row r="887" spans="1:8" ht="18" x14ac:dyDescent="0.25">
      <c r="A887" s="24" t="s">
        <v>2198</v>
      </c>
      <c r="B887" s="25">
        <v>2014</v>
      </c>
      <c r="C887" s="25" t="s">
        <v>2462</v>
      </c>
      <c r="D887" s="25">
        <v>85</v>
      </c>
      <c r="E887" s="25">
        <v>5.8</v>
      </c>
      <c r="F887" s="25" t="str" cm="1">
        <f t="array" ref="F8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7" s="26">
        <v>2.46</v>
      </c>
      <c r="H887" s="27">
        <v>1527</v>
      </c>
    </row>
    <row r="888" spans="1:8" ht="18" x14ac:dyDescent="0.25">
      <c r="A888" s="24" t="s">
        <v>2199</v>
      </c>
      <c r="B888" s="25">
        <v>2014</v>
      </c>
      <c r="C888" s="25" t="s">
        <v>2462</v>
      </c>
      <c r="D888" s="25">
        <v>98</v>
      </c>
      <c r="E888" s="25">
        <v>6.2</v>
      </c>
      <c r="F888" s="25" t="str" cm="1">
        <f t="array" ref="F8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8" s="26">
        <v>113.75</v>
      </c>
      <c r="H888" s="27">
        <v>132218</v>
      </c>
    </row>
    <row r="889" spans="1:8" ht="18" x14ac:dyDescent="0.25">
      <c r="A889" s="24" t="s">
        <v>750</v>
      </c>
      <c r="B889" s="25">
        <v>2014</v>
      </c>
      <c r="C889" s="25" t="s">
        <v>2462</v>
      </c>
      <c r="D889" s="25">
        <v>101</v>
      </c>
      <c r="E889" s="25">
        <v>7.2</v>
      </c>
      <c r="F889" s="25" t="str" cm="1">
        <f t="array" ref="F8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89" s="26">
        <v>0.26</v>
      </c>
      <c r="H889" s="27">
        <v>2775</v>
      </c>
    </row>
    <row r="890" spans="1:8" ht="18" x14ac:dyDescent="0.25">
      <c r="A890" s="24" t="s">
        <v>751</v>
      </c>
      <c r="B890" s="25">
        <v>2014</v>
      </c>
      <c r="C890" s="25" t="s">
        <v>2462</v>
      </c>
      <c r="D890" s="25">
        <v>102</v>
      </c>
      <c r="E890" s="25">
        <v>6.4</v>
      </c>
      <c r="F890" s="25" t="str" cm="1">
        <f t="array" ref="F8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0" s="26">
        <v>1.87</v>
      </c>
      <c r="H890" s="27">
        <v>38533</v>
      </c>
    </row>
    <row r="891" spans="1:8" ht="18" x14ac:dyDescent="0.25">
      <c r="A891" s="24" t="s">
        <v>752</v>
      </c>
      <c r="B891" s="25">
        <v>2014</v>
      </c>
      <c r="C891" s="25" t="s">
        <v>2462</v>
      </c>
      <c r="D891" s="25">
        <v>94</v>
      </c>
      <c r="E891" s="25">
        <v>6.1</v>
      </c>
      <c r="F891" s="25" t="str" cm="1">
        <f t="array" ref="F8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1" s="26">
        <v>26.05</v>
      </c>
      <c r="H891" s="27">
        <v>106274</v>
      </c>
    </row>
    <row r="892" spans="1:8" ht="18" x14ac:dyDescent="0.25">
      <c r="A892" s="24" t="s">
        <v>753</v>
      </c>
      <c r="B892" s="25">
        <v>2014</v>
      </c>
      <c r="C892" s="25" t="s">
        <v>2462</v>
      </c>
      <c r="D892" s="25">
        <v>102</v>
      </c>
      <c r="E892" s="25">
        <v>7.1</v>
      </c>
      <c r="F892" s="25" t="str" cm="1">
        <f t="array" ref="F8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2" s="26">
        <v>0.02</v>
      </c>
      <c r="H892" s="27">
        <v>151705</v>
      </c>
    </row>
    <row r="893" spans="1:8" ht="18" x14ac:dyDescent="0.25">
      <c r="A893" s="24" t="s">
        <v>2200</v>
      </c>
      <c r="B893" s="25">
        <v>2014</v>
      </c>
      <c r="C893" s="25" t="s">
        <v>2462</v>
      </c>
      <c r="D893" s="25">
        <v>112</v>
      </c>
      <c r="E893" s="25">
        <v>6.9</v>
      </c>
      <c r="F893" s="25" t="str" cm="1">
        <f t="array" ref="F8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3" s="26">
        <v>2.4500000000000002</v>
      </c>
      <c r="H893" s="27">
        <v>48342</v>
      </c>
    </row>
    <row r="894" spans="1:8" ht="18" x14ac:dyDescent="0.25">
      <c r="A894" s="24" t="s">
        <v>755</v>
      </c>
      <c r="B894" s="25">
        <v>2014</v>
      </c>
      <c r="C894" s="25" t="s">
        <v>2462</v>
      </c>
      <c r="D894" s="25">
        <v>107</v>
      </c>
      <c r="E894" s="25">
        <v>6.4</v>
      </c>
      <c r="F894" s="25" t="str" cm="1">
        <f t="array" ref="F8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4" s="26">
        <v>4.01</v>
      </c>
      <c r="H894" s="27">
        <v>9835</v>
      </c>
    </row>
    <row r="895" spans="1:8" ht="18" x14ac:dyDescent="0.25">
      <c r="A895" s="24" t="s">
        <v>757</v>
      </c>
      <c r="B895" s="25">
        <v>2014</v>
      </c>
      <c r="C895" s="25" t="s">
        <v>2462</v>
      </c>
      <c r="D895" s="25">
        <v>111</v>
      </c>
      <c r="E895" s="25">
        <v>7</v>
      </c>
      <c r="F895" s="25" t="str" cm="1">
        <f t="array" ref="F8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5" s="26">
        <v>4.1900000000000004</v>
      </c>
      <c r="H895" s="27">
        <v>77340</v>
      </c>
    </row>
    <row r="896" spans="1:8" ht="18" x14ac:dyDescent="0.25">
      <c r="A896" s="24" t="s">
        <v>2201</v>
      </c>
      <c r="B896" s="25">
        <v>2014</v>
      </c>
      <c r="C896" s="25" t="s">
        <v>2464</v>
      </c>
      <c r="D896" s="25">
        <v>150</v>
      </c>
      <c r="E896" s="25">
        <v>6</v>
      </c>
      <c r="F896" s="25" t="str" cm="1">
        <f t="array" ref="F8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6" s="26">
        <v>65.010000000000005</v>
      </c>
      <c r="H896" s="27">
        <v>175185</v>
      </c>
    </row>
    <row r="897" spans="1:8" ht="18" x14ac:dyDescent="0.25">
      <c r="A897" s="24" t="s">
        <v>759</v>
      </c>
      <c r="B897" s="25">
        <v>2014</v>
      </c>
      <c r="C897" s="25" t="s">
        <v>2462</v>
      </c>
      <c r="D897" s="25">
        <v>99</v>
      </c>
      <c r="E897" s="25">
        <v>6.4</v>
      </c>
      <c r="F897" s="25" t="str" cm="1">
        <f t="array" ref="F8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7" s="26">
        <v>0.19</v>
      </c>
      <c r="H897" s="27">
        <v>6745</v>
      </c>
    </row>
    <row r="898" spans="1:8" ht="18" x14ac:dyDescent="0.25">
      <c r="A898" s="24" t="s">
        <v>760</v>
      </c>
      <c r="B898" s="25">
        <v>2014</v>
      </c>
      <c r="C898" s="25" t="s">
        <v>2464</v>
      </c>
      <c r="D898" s="25">
        <v>96</v>
      </c>
      <c r="E898" s="25">
        <v>6.8</v>
      </c>
      <c r="F898" s="25" t="str" cm="1">
        <f t="array" ref="F8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8" s="26">
        <v>50.84</v>
      </c>
      <c r="H898" s="27">
        <v>60711</v>
      </c>
    </row>
    <row r="899" spans="1:8" ht="18" x14ac:dyDescent="0.25">
      <c r="A899" s="24" t="s">
        <v>2202</v>
      </c>
      <c r="B899" s="25">
        <v>2014</v>
      </c>
      <c r="C899" s="25" t="s">
        <v>2462</v>
      </c>
      <c r="D899" s="25">
        <v>85</v>
      </c>
      <c r="E899" s="25">
        <v>6.5</v>
      </c>
      <c r="F899" s="25" t="str" cm="1">
        <f t="array" ref="F8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899" s="26">
        <v>0.2</v>
      </c>
      <c r="H899" s="27">
        <v>616</v>
      </c>
    </row>
    <row r="900" spans="1:8" ht="18" x14ac:dyDescent="0.25">
      <c r="A900" s="24" t="s">
        <v>764</v>
      </c>
      <c r="B900" s="25">
        <v>2014</v>
      </c>
      <c r="C900" s="25" t="s">
        <v>2462</v>
      </c>
      <c r="D900" s="25">
        <v>114</v>
      </c>
      <c r="E900" s="25">
        <v>6.4</v>
      </c>
      <c r="F900" s="25" t="str" cm="1">
        <f t="array" ref="F9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0" s="26">
        <v>1.17</v>
      </c>
      <c r="H900" s="27">
        <v>40320</v>
      </c>
    </row>
    <row r="901" spans="1:8" ht="18" x14ac:dyDescent="0.25">
      <c r="A901" s="24" t="s">
        <v>2203</v>
      </c>
      <c r="B901" s="25">
        <v>2014</v>
      </c>
      <c r="C901" s="25" t="s">
        <v>2463</v>
      </c>
      <c r="D901" s="25">
        <v>86</v>
      </c>
      <c r="E901" s="25">
        <v>7.6</v>
      </c>
      <c r="F901" s="25" t="str" cm="1">
        <f t="array" ref="F9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1" s="26">
        <v>3.33</v>
      </c>
      <c r="H901" s="27">
        <v>195618</v>
      </c>
    </row>
    <row r="902" spans="1:8" ht="18" x14ac:dyDescent="0.25">
      <c r="A902" s="24" t="s">
        <v>771</v>
      </c>
      <c r="B902" s="25">
        <v>2014</v>
      </c>
      <c r="C902" s="25" t="s">
        <v>2463</v>
      </c>
      <c r="D902" s="25">
        <v>129</v>
      </c>
      <c r="E902" s="25">
        <v>5.5</v>
      </c>
      <c r="F902" s="25" t="str" cm="1">
        <f t="array" ref="F9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2" s="26">
        <v>2.46</v>
      </c>
      <c r="H902" s="27">
        <v>6016</v>
      </c>
    </row>
    <row r="903" spans="1:8" ht="18" x14ac:dyDescent="0.25">
      <c r="A903" s="24" t="s">
        <v>772</v>
      </c>
      <c r="B903" s="25">
        <v>2014</v>
      </c>
      <c r="C903" s="25" t="s">
        <v>2463</v>
      </c>
      <c r="D903" s="25">
        <v>119</v>
      </c>
      <c r="E903" s="25">
        <v>6.6</v>
      </c>
      <c r="F903" s="25" t="str" cm="1">
        <f t="array" ref="F9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3" s="26">
        <v>0.46</v>
      </c>
      <c r="H903" s="27">
        <v>33363</v>
      </c>
    </row>
    <row r="904" spans="1:8" ht="18" x14ac:dyDescent="0.25">
      <c r="A904" s="24" t="s">
        <v>773</v>
      </c>
      <c r="B904" s="25">
        <v>2014</v>
      </c>
      <c r="C904" s="25" t="s">
        <v>2462</v>
      </c>
      <c r="D904" s="25">
        <v>108</v>
      </c>
      <c r="E904" s="25">
        <v>6.3</v>
      </c>
      <c r="F904" s="25" t="str" cm="1">
        <f t="array" ref="F9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4" s="26">
        <v>5.98</v>
      </c>
      <c r="H904" s="27">
        <v>59065</v>
      </c>
    </row>
    <row r="905" spans="1:8" ht="18" x14ac:dyDescent="0.25">
      <c r="A905" s="24" t="s">
        <v>774</v>
      </c>
      <c r="B905" s="25">
        <v>2014</v>
      </c>
      <c r="C905" s="25" t="s">
        <v>2462</v>
      </c>
      <c r="D905" s="25">
        <v>114</v>
      </c>
      <c r="E905" s="25">
        <v>8</v>
      </c>
      <c r="F905" s="25" t="str" cm="1">
        <f t="array" ref="F9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5" s="26">
        <v>2.8</v>
      </c>
      <c r="H905" s="27">
        <v>57355</v>
      </c>
    </row>
    <row r="906" spans="1:8" ht="18" x14ac:dyDescent="0.25">
      <c r="A906" s="24" t="s">
        <v>775</v>
      </c>
      <c r="B906" s="25">
        <v>2014</v>
      </c>
      <c r="C906" s="25" t="s">
        <v>2463</v>
      </c>
      <c r="D906" s="25">
        <v>108</v>
      </c>
      <c r="E906" s="25">
        <v>6.2</v>
      </c>
      <c r="F906" s="25" t="str" cm="1">
        <f t="array" ref="F9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6" s="26">
        <v>4.4000000000000004</v>
      </c>
      <c r="H906" s="27">
        <v>26371</v>
      </c>
    </row>
    <row r="907" spans="1:8" ht="18" x14ac:dyDescent="0.25">
      <c r="A907" s="24" t="s">
        <v>777</v>
      </c>
      <c r="B907" s="25">
        <v>2014</v>
      </c>
      <c r="C907" s="25" t="s">
        <v>2463</v>
      </c>
      <c r="D907" s="25">
        <v>105</v>
      </c>
      <c r="E907" s="25">
        <v>5.8</v>
      </c>
      <c r="F907" s="25" t="str" cm="1">
        <f t="array" ref="F9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7" s="26">
        <v>2.46</v>
      </c>
      <c r="H907" s="27">
        <v>3815</v>
      </c>
    </row>
    <row r="908" spans="1:8" ht="18" x14ac:dyDescent="0.25">
      <c r="A908" s="24" t="s">
        <v>778</v>
      </c>
      <c r="B908" s="25">
        <v>2014</v>
      </c>
      <c r="C908" s="25" t="s">
        <v>2462</v>
      </c>
      <c r="D908" s="25">
        <v>122</v>
      </c>
      <c r="E908" s="25">
        <v>8.1</v>
      </c>
      <c r="F908" s="25" t="str" cm="1">
        <f t="array" ref="F9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8" s="26">
        <v>3.11</v>
      </c>
      <c r="H908" s="27">
        <v>211062</v>
      </c>
    </row>
    <row r="909" spans="1:8" ht="18" x14ac:dyDescent="0.25">
      <c r="A909" s="24" t="s">
        <v>2204</v>
      </c>
      <c r="B909" s="25">
        <v>2014</v>
      </c>
      <c r="C909" s="25" t="s">
        <v>2462</v>
      </c>
      <c r="D909" s="25">
        <v>97</v>
      </c>
      <c r="E909" s="25">
        <v>5.8</v>
      </c>
      <c r="F909" s="25" t="str" cm="1">
        <f t="array" ref="F9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09" s="26">
        <v>2.46</v>
      </c>
      <c r="H909" s="27">
        <v>1465</v>
      </c>
    </row>
    <row r="910" spans="1:8" ht="18" x14ac:dyDescent="0.25">
      <c r="A910" s="24" t="s">
        <v>782</v>
      </c>
      <c r="B910" s="25">
        <v>2014</v>
      </c>
      <c r="C910" s="25" t="s">
        <v>2462</v>
      </c>
      <c r="D910" s="25">
        <v>112</v>
      </c>
      <c r="E910" s="25">
        <v>5.6</v>
      </c>
      <c r="F910" s="25" t="str" cm="1">
        <f t="array" ref="F9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0" s="26">
        <v>2.46</v>
      </c>
      <c r="H910" s="27">
        <v>7120</v>
      </c>
    </row>
    <row r="911" spans="1:8" ht="18" x14ac:dyDescent="0.25">
      <c r="A911" s="24" t="s">
        <v>783</v>
      </c>
      <c r="B911" s="25">
        <v>2014</v>
      </c>
      <c r="C911" s="25" t="s">
        <v>2462</v>
      </c>
      <c r="D911" s="25">
        <v>148</v>
      </c>
      <c r="E911" s="25">
        <v>6.6</v>
      </c>
      <c r="F911" s="25" t="str" cm="1">
        <f t="array" ref="F9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1" s="26">
        <v>8.11</v>
      </c>
      <c r="H911" s="27">
        <v>109095</v>
      </c>
    </row>
    <row r="912" spans="1:8" ht="18" x14ac:dyDescent="0.25">
      <c r="A912" s="24" t="s">
        <v>784</v>
      </c>
      <c r="B912" s="25">
        <v>2014</v>
      </c>
      <c r="C912" s="25" t="s">
        <v>2462</v>
      </c>
      <c r="D912" s="25">
        <v>115</v>
      </c>
      <c r="E912" s="25">
        <v>7.1</v>
      </c>
      <c r="F912" s="25" t="str" cm="1">
        <f t="array" ref="F9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2" s="26">
        <v>37.880000000000003</v>
      </c>
      <c r="H912" s="27">
        <v>135380</v>
      </c>
    </row>
    <row r="913" spans="1:8" ht="18" x14ac:dyDescent="0.25">
      <c r="A913" s="24" t="s">
        <v>785</v>
      </c>
      <c r="B913" s="25">
        <v>2014</v>
      </c>
      <c r="C913" s="25" t="s">
        <v>2462</v>
      </c>
      <c r="D913" s="25">
        <v>103</v>
      </c>
      <c r="E913" s="25">
        <v>6.7</v>
      </c>
      <c r="F913" s="25" t="str" cm="1">
        <f t="array" ref="F9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3" s="26">
        <v>2.46</v>
      </c>
      <c r="H913" s="27">
        <v>7296</v>
      </c>
    </row>
    <row r="914" spans="1:8" ht="18" x14ac:dyDescent="0.25">
      <c r="A914" s="24" t="s">
        <v>786</v>
      </c>
      <c r="B914" s="25">
        <v>2014</v>
      </c>
      <c r="C914" s="25" t="s">
        <v>2462</v>
      </c>
      <c r="D914" s="25">
        <v>90</v>
      </c>
      <c r="E914" s="25">
        <v>5.8</v>
      </c>
      <c r="F914" s="25" t="str" cm="1">
        <f t="array" ref="F9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4" s="26">
        <v>0.02</v>
      </c>
      <c r="H914" s="27">
        <v>24019</v>
      </c>
    </row>
    <row r="915" spans="1:8" ht="18" x14ac:dyDescent="0.25">
      <c r="A915" s="24" t="s">
        <v>787</v>
      </c>
      <c r="B915" s="25">
        <v>2014</v>
      </c>
      <c r="C915" s="25" t="s">
        <v>2462</v>
      </c>
      <c r="D915" s="25">
        <v>108</v>
      </c>
      <c r="E915" s="25">
        <v>6.3</v>
      </c>
      <c r="F915" s="25" t="str" cm="1">
        <f t="array" ref="F9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5" s="26">
        <v>54.45</v>
      </c>
      <c r="H915" s="27">
        <v>181645</v>
      </c>
    </row>
    <row r="916" spans="1:8" ht="18" x14ac:dyDescent="0.25">
      <c r="A916" s="24" t="s">
        <v>789</v>
      </c>
      <c r="B916" s="25">
        <v>2014</v>
      </c>
      <c r="C916" s="25" t="s">
        <v>2464</v>
      </c>
      <c r="D916" s="25">
        <v>102</v>
      </c>
      <c r="E916" s="25">
        <v>5.5</v>
      </c>
      <c r="F916" s="25" t="str" cm="1">
        <f t="array" ref="F9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6" s="26">
        <v>17.22</v>
      </c>
      <c r="H916" s="27">
        <v>79737</v>
      </c>
    </row>
    <row r="917" spans="1:8" ht="18" x14ac:dyDescent="0.25">
      <c r="A917" s="24" t="s">
        <v>790</v>
      </c>
      <c r="B917" s="25">
        <v>2014</v>
      </c>
      <c r="C917" s="25" t="s">
        <v>2462</v>
      </c>
      <c r="D917" s="25">
        <v>86</v>
      </c>
      <c r="E917" s="25">
        <v>5.8</v>
      </c>
      <c r="F917" s="25" t="str" cm="1">
        <f t="array" ref="F9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7" s="26">
        <v>0.03</v>
      </c>
      <c r="H917" s="27">
        <v>10182</v>
      </c>
    </row>
    <row r="918" spans="1:8" ht="18" x14ac:dyDescent="0.25">
      <c r="A918" s="24" t="s">
        <v>791</v>
      </c>
      <c r="B918" s="25">
        <v>2014</v>
      </c>
      <c r="C918" s="25" t="s">
        <v>2462</v>
      </c>
      <c r="D918" s="25">
        <v>94</v>
      </c>
      <c r="E918" s="25">
        <v>5.9</v>
      </c>
      <c r="F918" s="25" t="str" cm="1">
        <f t="array" ref="F9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8" s="26">
        <v>15.16</v>
      </c>
      <c r="H918" s="27">
        <v>15025</v>
      </c>
    </row>
    <row r="919" spans="1:8" ht="18" x14ac:dyDescent="0.25">
      <c r="A919" s="24" t="s">
        <v>792</v>
      </c>
      <c r="B919" s="25">
        <v>2014</v>
      </c>
      <c r="C919" s="25" t="s">
        <v>2462</v>
      </c>
      <c r="D919" s="25">
        <v>85</v>
      </c>
      <c r="E919" s="25">
        <v>7.2</v>
      </c>
      <c r="F919" s="25" t="str" cm="1">
        <f t="array" ref="F9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19" s="26">
        <v>2.46</v>
      </c>
      <c r="H919" s="27">
        <v>1959</v>
      </c>
    </row>
    <row r="920" spans="1:8" ht="18" x14ac:dyDescent="0.25">
      <c r="A920" s="24" t="s">
        <v>793</v>
      </c>
      <c r="B920" s="25">
        <v>2014</v>
      </c>
      <c r="C920" s="25" t="s">
        <v>2462</v>
      </c>
      <c r="D920" s="25">
        <v>107</v>
      </c>
      <c r="E920" s="25">
        <v>6</v>
      </c>
      <c r="F920" s="25" t="str" cm="1">
        <f t="array" ref="F9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0" s="26">
        <v>2.46</v>
      </c>
      <c r="H920" s="27">
        <v>23792</v>
      </c>
    </row>
    <row r="921" spans="1:8" ht="18" x14ac:dyDescent="0.25">
      <c r="A921" s="24" t="s">
        <v>794</v>
      </c>
      <c r="B921" s="25">
        <v>2014</v>
      </c>
      <c r="C921" s="25" t="s">
        <v>2463</v>
      </c>
      <c r="D921" s="25">
        <v>107</v>
      </c>
      <c r="E921" s="25">
        <v>6.3</v>
      </c>
      <c r="F921" s="25" t="str" cm="1">
        <f t="array" ref="F9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1" s="26">
        <v>2.46</v>
      </c>
      <c r="H921" s="27">
        <v>21619</v>
      </c>
    </row>
    <row r="922" spans="1:8" ht="18" x14ac:dyDescent="0.25">
      <c r="A922" s="24" t="s">
        <v>795</v>
      </c>
      <c r="B922" s="25">
        <v>2014</v>
      </c>
      <c r="C922" s="25" t="s">
        <v>2462</v>
      </c>
      <c r="D922" s="25">
        <v>119</v>
      </c>
      <c r="E922" s="25">
        <v>7.1</v>
      </c>
      <c r="F922" s="25" t="str" cm="1">
        <f t="array" ref="F9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2" s="26">
        <v>2.46</v>
      </c>
      <c r="H922" s="27">
        <v>25450</v>
      </c>
    </row>
    <row r="923" spans="1:8" ht="18" x14ac:dyDescent="0.25">
      <c r="A923" s="24" t="s">
        <v>798</v>
      </c>
      <c r="B923" s="25">
        <v>2014</v>
      </c>
      <c r="C923" s="25" t="s">
        <v>2462</v>
      </c>
      <c r="D923" s="25">
        <v>95</v>
      </c>
      <c r="E923" s="25">
        <v>5.9</v>
      </c>
      <c r="F923" s="25" t="str" cm="1">
        <f t="array" ref="F9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3" s="26">
        <v>2.46</v>
      </c>
      <c r="H923" s="27">
        <v>2603</v>
      </c>
    </row>
    <row r="924" spans="1:8" ht="18" x14ac:dyDescent="0.25">
      <c r="A924" s="24" t="s">
        <v>801</v>
      </c>
      <c r="B924" s="25">
        <v>2014</v>
      </c>
      <c r="C924" s="25" t="s">
        <v>2462</v>
      </c>
      <c r="D924" s="25">
        <v>103</v>
      </c>
      <c r="E924" s="25">
        <v>6.6</v>
      </c>
      <c r="F924" s="25" t="str" cm="1">
        <f t="array" ref="F9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4" s="26">
        <v>3.13</v>
      </c>
      <c r="H924" s="27">
        <v>10919</v>
      </c>
    </row>
    <row r="925" spans="1:8" ht="18" x14ac:dyDescent="0.25">
      <c r="A925" s="24" t="s">
        <v>2205</v>
      </c>
      <c r="B925" s="25">
        <v>2014</v>
      </c>
      <c r="C925" s="25" t="s">
        <v>2462</v>
      </c>
      <c r="D925" s="25">
        <v>116</v>
      </c>
      <c r="E925" s="25">
        <v>7.1</v>
      </c>
      <c r="F925" s="25" t="str" cm="1">
        <f t="array" ref="F9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5" s="26">
        <v>0.05</v>
      </c>
      <c r="H925" s="27">
        <v>28561</v>
      </c>
    </row>
    <row r="926" spans="1:8" ht="18" x14ac:dyDescent="0.25">
      <c r="A926" s="24" t="s">
        <v>803</v>
      </c>
      <c r="B926" s="25">
        <v>2014</v>
      </c>
      <c r="C926" s="25" t="s">
        <v>2462</v>
      </c>
      <c r="D926" s="25">
        <v>110</v>
      </c>
      <c r="E926" s="25">
        <v>7.4</v>
      </c>
      <c r="F926" s="25" t="str" cm="1">
        <f t="array" ref="F9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6" s="26">
        <v>2.72</v>
      </c>
      <c r="H926" s="27">
        <v>29565</v>
      </c>
    </row>
    <row r="927" spans="1:8" ht="18" x14ac:dyDescent="0.25">
      <c r="A927" s="24" t="s">
        <v>2206</v>
      </c>
      <c r="B927" s="25">
        <v>2014</v>
      </c>
      <c r="C927" s="25" t="s">
        <v>2463</v>
      </c>
      <c r="D927" s="25">
        <v>86</v>
      </c>
      <c r="E927" s="25">
        <v>5.8</v>
      </c>
      <c r="F927" s="25" t="str" cm="1">
        <f t="array" ref="F9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7" s="26">
        <v>2.46</v>
      </c>
      <c r="H927" s="27">
        <v>3353</v>
      </c>
    </row>
    <row r="928" spans="1:8" ht="18" x14ac:dyDescent="0.25">
      <c r="A928" s="24" t="s">
        <v>2207</v>
      </c>
      <c r="B928" s="25">
        <v>2014</v>
      </c>
      <c r="C928" s="25" t="s">
        <v>2464</v>
      </c>
      <c r="D928" s="25">
        <v>91</v>
      </c>
      <c r="E928" s="25">
        <v>5.6</v>
      </c>
      <c r="F928" s="25" t="str" cm="1">
        <f t="array" ref="F9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8" s="26">
        <v>0.04</v>
      </c>
      <c r="H928" s="27">
        <v>10906</v>
      </c>
    </row>
    <row r="929" spans="1:8" ht="18" x14ac:dyDescent="0.25">
      <c r="A929" s="24" t="s">
        <v>807</v>
      </c>
      <c r="B929" s="25">
        <v>2014</v>
      </c>
      <c r="C929" s="25" t="s">
        <v>2462</v>
      </c>
      <c r="D929" s="25">
        <v>93</v>
      </c>
      <c r="E929" s="25">
        <v>6.1</v>
      </c>
      <c r="F929" s="25" t="str" cm="1">
        <f t="array" ref="F9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29" s="26">
        <v>2.46</v>
      </c>
      <c r="H929" s="27">
        <v>13480</v>
      </c>
    </row>
    <row r="930" spans="1:8" ht="18" x14ac:dyDescent="0.25">
      <c r="A930" s="24" t="s">
        <v>808</v>
      </c>
      <c r="B930" s="25">
        <v>2014</v>
      </c>
      <c r="C930" s="25" t="s">
        <v>2463</v>
      </c>
      <c r="D930" s="25">
        <v>104</v>
      </c>
      <c r="E930" s="25">
        <v>6</v>
      </c>
      <c r="F930" s="25" t="str" cm="1">
        <f t="array" ref="F9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0" s="26">
        <v>0.34</v>
      </c>
      <c r="H930" s="27">
        <v>6679</v>
      </c>
    </row>
    <row r="931" spans="1:8" ht="18" x14ac:dyDescent="0.25">
      <c r="A931" s="24" t="s">
        <v>809</v>
      </c>
      <c r="B931" s="25">
        <v>2014</v>
      </c>
      <c r="C931" s="25" t="s">
        <v>2462</v>
      </c>
      <c r="D931" s="25">
        <v>108</v>
      </c>
      <c r="E931" s="25">
        <v>6</v>
      </c>
      <c r="F931" s="25" t="str" cm="1">
        <f t="array" ref="F9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1" s="26">
        <v>89.26</v>
      </c>
      <c r="H931" s="27">
        <v>201132</v>
      </c>
    </row>
    <row r="932" spans="1:8" ht="18" x14ac:dyDescent="0.25">
      <c r="A932" s="24" t="s">
        <v>810</v>
      </c>
      <c r="B932" s="25">
        <v>2014</v>
      </c>
      <c r="C932" s="25" t="s">
        <v>2463</v>
      </c>
      <c r="D932" s="25">
        <v>129</v>
      </c>
      <c r="E932" s="25">
        <v>7.7</v>
      </c>
      <c r="F932" s="25" t="str" cm="1">
        <f t="array" ref="F9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2" s="26">
        <v>128.26</v>
      </c>
      <c r="H932" s="27">
        <v>701155</v>
      </c>
    </row>
    <row r="933" spans="1:8" ht="18" x14ac:dyDescent="0.25">
      <c r="A933" s="24" t="s">
        <v>811</v>
      </c>
      <c r="B933" s="25">
        <v>2014</v>
      </c>
      <c r="C933" s="25" t="s">
        <v>2463</v>
      </c>
      <c r="D933" s="25">
        <v>117</v>
      </c>
      <c r="E933" s="25">
        <v>6.9</v>
      </c>
      <c r="F933" s="25" t="str" cm="1">
        <f t="array" ref="F9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3" s="26">
        <v>0.01</v>
      </c>
      <c r="H933" s="27">
        <v>42588</v>
      </c>
    </row>
    <row r="934" spans="1:8" ht="18" x14ac:dyDescent="0.25">
      <c r="A934" s="24" t="s">
        <v>2208</v>
      </c>
      <c r="B934" s="25">
        <v>2014</v>
      </c>
      <c r="C934" s="25" t="s">
        <v>2462</v>
      </c>
      <c r="D934" s="25">
        <v>96</v>
      </c>
      <c r="E934" s="25">
        <v>6.4</v>
      </c>
      <c r="F934" s="25" t="str" cm="1">
        <f t="array" ref="F9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4" s="26">
        <v>0.01</v>
      </c>
      <c r="H934" s="27">
        <v>1683</v>
      </c>
    </row>
    <row r="935" spans="1:8" ht="18" x14ac:dyDescent="0.25">
      <c r="A935" s="24" t="s">
        <v>813</v>
      </c>
      <c r="B935" s="25">
        <v>2014</v>
      </c>
      <c r="C935" s="25" t="s">
        <v>2462</v>
      </c>
      <c r="D935" s="25">
        <v>114</v>
      </c>
      <c r="E935" s="25">
        <v>6.1</v>
      </c>
      <c r="F935" s="25" t="str" cm="1">
        <f t="array" ref="F9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5" s="26">
        <v>0.04</v>
      </c>
      <c r="H935" s="27">
        <v>2186</v>
      </c>
    </row>
    <row r="936" spans="1:8" ht="18" x14ac:dyDescent="0.25">
      <c r="A936" s="24" t="s">
        <v>816</v>
      </c>
      <c r="B936" s="25">
        <v>2014</v>
      </c>
      <c r="C936" s="25" t="s">
        <v>2462</v>
      </c>
      <c r="D936" s="25">
        <v>95</v>
      </c>
      <c r="E936" s="25">
        <v>5.7</v>
      </c>
      <c r="F936" s="25" t="str" cm="1">
        <f t="array" ref="F9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6" s="26">
        <v>0.04</v>
      </c>
      <c r="H936" s="27">
        <v>18893</v>
      </c>
    </row>
    <row r="937" spans="1:8" ht="18" x14ac:dyDescent="0.25">
      <c r="A937" s="24" t="s">
        <v>821</v>
      </c>
      <c r="B937" s="25">
        <v>2014</v>
      </c>
      <c r="C937" s="25" t="s">
        <v>2462</v>
      </c>
      <c r="D937" s="25">
        <v>93</v>
      </c>
      <c r="E937" s="25">
        <v>6.8</v>
      </c>
      <c r="F937" s="25" t="str" cm="1">
        <f t="array" ref="F9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7" s="26">
        <v>5.28</v>
      </c>
      <c r="H937" s="27">
        <v>44219</v>
      </c>
    </row>
    <row r="938" spans="1:8" ht="18" x14ac:dyDescent="0.25">
      <c r="A938" s="24" t="s">
        <v>822</v>
      </c>
      <c r="B938" s="25">
        <v>2014</v>
      </c>
      <c r="C938" s="25" t="s">
        <v>2462</v>
      </c>
      <c r="D938" s="25">
        <v>91</v>
      </c>
      <c r="E938" s="25">
        <v>7</v>
      </c>
      <c r="F938" s="25" t="str" cm="1">
        <f t="array" ref="F9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8" s="26">
        <v>0.04</v>
      </c>
      <c r="H938" s="27">
        <v>7717</v>
      </c>
    </row>
    <row r="939" spans="1:8" ht="18" x14ac:dyDescent="0.25">
      <c r="A939" s="24" t="s">
        <v>2209</v>
      </c>
      <c r="B939" s="25">
        <v>2014</v>
      </c>
      <c r="C939" s="25" t="s">
        <v>2462</v>
      </c>
      <c r="D939" s="25">
        <v>110</v>
      </c>
      <c r="E939" s="25">
        <v>6.3</v>
      </c>
      <c r="F939" s="25" t="str" cm="1">
        <f t="array" ref="F9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39" s="26">
        <v>1.06</v>
      </c>
      <c r="H939" s="27">
        <v>2195</v>
      </c>
    </row>
    <row r="940" spans="1:8" ht="18" x14ac:dyDescent="0.25">
      <c r="A940" s="24" t="s">
        <v>824</v>
      </c>
      <c r="B940" s="25">
        <v>2014</v>
      </c>
      <c r="C940" s="25" t="s">
        <v>2462</v>
      </c>
      <c r="D940" s="25">
        <v>95</v>
      </c>
      <c r="E940" s="25">
        <v>5.8</v>
      </c>
      <c r="F940" s="25" t="str" cm="1">
        <f t="array" ref="F9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0" s="26">
        <v>2.46</v>
      </c>
      <c r="H940" s="27">
        <v>13108</v>
      </c>
    </row>
    <row r="941" spans="1:8" ht="18" x14ac:dyDescent="0.25">
      <c r="A941" s="24" t="s">
        <v>826</v>
      </c>
      <c r="B941" s="25">
        <v>2014</v>
      </c>
      <c r="C941" s="25" t="s">
        <v>2462</v>
      </c>
      <c r="D941" s="25">
        <v>108</v>
      </c>
      <c r="E941" s="25">
        <v>7.7</v>
      </c>
      <c r="F941" s="25" t="str" cm="1">
        <f t="array" ref="F9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1" s="26">
        <v>25.44</v>
      </c>
      <c r="H941" s="27">
        <v>572764</v>
      </c>
    </row>
    <row r="942" spans="1:8" ht="18" x14ac:dyDescent="0.25">
      <c r="A942" s="24" t="s">
        <v>2210</v>
      </c>
      <c r="B942" s="25">
        <v>2014</v>
      </c>
      <c r="C942" s="25" t="s">
        <v>2462</v>
      </c>
      <c r="D942" s="25">
        <v>110</v>
      </c>
      <c r="E942" s="25">
        <v>7</v>
      </c>
      <c r="F942" s="25" t="str" cm="1">
        <f t="array" ref="F9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2" s="26">
        <v>2.46</v>
      </c>
      <c r="H942" s="27">
        <v>3196</v>
      </c>
    </row>
    <row r="943" spans="1:8" ht="18" x14ac:dyDescent="0.25">
      <c r="A943" s="24" t="s">
        <v>829</v>
      </c>
      <c r="B943" s="25">
        <v>2014</v>
      </c>
      <c r="C943" s="25" t="s">
        <v>2462</v>
      </c>
      <c r="D943" s="25">
        <v>92</v>
      </c>
      <c r="E943" s="25">
        <v>6.7</v>
      </c>
      <c r="F943" s="25" t="str" cm="1">
        <f t="array" ref="F9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3" s="26">
        <v>0.01</v>
      </c>
      <c r="H943" s="27">
        <v>41991</v>
      </c>
    </row>
    <row r="944" spans="1:8" ht="18" x14ac:dyDescent="0.25">
      <c r="A944" s="24" t="s">
        <v>832</v>
      </c>
      <c r="B944" s="25">
        <v>2014</v>
      </c>
      <c r="C944" s="25" t="s">
        <v>2462</v>
      </c>
      <c r="D944" s="25">
        <v>102</v>
      </c>
      <c r="E944" s="25">
        <v>6.4</v>
      </c>
      <c r="F944" s="25" t="str" cm="1">
        <f t="array" ref="F9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4" s="26">
        <v>0.32</v>
      </c>
      <c r="H944" s="27">
        <v>24684</v>
      </c>
    </row>
    <row r="945" spans="1:8" ht="18" x14ac:dyDescent="0.25">
      <c r="A945" s="24" t="s">
        <v>834</v>
      </c>
      <c r="B945" s="25">
        <v>2014</v>
      </c>
      <c r="C945" s="25" t="s">
        <v>2463</v>
      </c>
      <c r="D945" s="25">
        <v>116</v>
      </c>
      <c r="E945" s="25">
        <v>6.4</v>
      </c>
      <c r="F945" s="25" t="str" cm="1">
        <f t="array" ref="F9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5" s="26">
        <v>2.46</v>
      </c>
      <c r="H945" s="27">
        <v>3485</v>
      </c>
    </row>
    <row r="946" spans="1:8" ht="18" x14ac:dyDescent="0.25">
      <c r="A946" s="24" t="s">
        <v>836</v>
      </c>
      <c r="B946" s="25">
        <v>2014</v>
      </c>
      <c r="C946" s="25" t="s">
        <v>2462</v>
      </c>
      <c r="D946" s="25">
        <v>91</v>
      </c>
      <c r="E946" s="25">
        <v>7</v>
      </c>
      <c r="F946" s="25" t="str" cm="1">
        <f t="array" ref="F9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6" s="26">
        <v>0.51</v>
      </c>
      <c r="H946" s="27">
        <v>42435</v>
      </c>
    </row>
    <row r="947" spans="1:8" ht="18" x14ac:dyDescent="0.25">
      <c r="A947" s="24" t="s">
        <v>2211</v>
      </c>
      <c r="B947" s="25">
        <v>2014</v>
      </c>
      <c r="C947" s="25" t="s">
        <v>2462</v>
      </c>
      <c r="D947" s="25">
        <v>93</v>
      </c>
      <c r="E947" s="25">
        <v>8</v>
      </c>
      <c r="F947" s="25" t="str" cm="1">
        <f t="array" ref="F9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7" s="26">
        <v>0.86</v>
      </c>
      <c r="H947" s="27">
        <v>61937</v>
      </c>
    </row>
    <row r="948" spans="1:8" ht="18" x14ac:dyDescent="0.25">
      <c r="A948" s="24" t="s">
        <v>2212</v>
      </c>
      <c r="B948" s="25">
        <v>2014</v>
      </c>
      <c r="C948" s="25" t="s">
        <v>2462</v>
      </c>
      <c r="D948" s="25">
        <v>121</v>
      </c>
      <c r="E948" s="25">
        <v>6.6</v>
      </c>
      <c r="F948" s="25" t="str" cm="1">
        <f t="array" ref="F9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8" s="26">
        <v>21.57</v>
      </c>
      <c r="H948" s="27">
        <v>13721</v>
      </c>
    </row>
    <row r="949" spans="1:8" ht="18" x14ac:dyDescent="0.25">
      <c r="A949" s="24" t="s">
        <v>841</v>
      </c>
      <c r="B949" s="25">
        <v>2014</v>
      </c>
      <c r="C949" s="25" t="s">
        <v>2463</v>
      </c>
      <c r="D949" s="25">
        <v>104</v>
      </c>
      <c r="E949" s="25">
        <v>6.5</v>
      </c>
      <c r="F949" s="25" t="str" cm="1">
        <f t="array" ref="F9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49" s="26">
        <v>2.46</v>
      </c>
      <c r="H949" s="27">
        <v>48272</v>
      </c>
    </row>
    <row r="950" spans="1:8" ht="18" x14ac:dyDescent="0.25">
      <c r="A950" s="24" t="s">
        <v>842</v>
      </c>
      <c r="B950" s="25">
        <v>2014</v>
      </c>
      <c r="C950" s="25" t="s">
        <v>2462</v>
      </c>
      <c r="D950" s="25">
        <v>131</v>
      </c>
      <c r="E950" s="25">
        <v>6.4</v>
      </c>
      <c r="F950" s="25" t="str" cm="1">
        <f t="array" ref="F9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0" s="26">
        <v>2.46</v>
      </c>
      <c r="H950" s="27">
        <v>5242</v>
      </c>
    </row>
    <row r="951" spans="1:8" ht="18" x14ac:dyDescent="0.25">
      <c r="A951" s="24" t="s">
        <v>2213</v>
      </c>
      <c r="B951" s="25">
        <v>2014</v>
      </c>
      <c r="C951" s="25" t="s">
        <v>2462</v>
      </c>
      <c r="D951" s="25">
        <v>124</v>
      </c>
      <c r="E951" s="25">
        <v>7.3</v>
      </c>
      <c r="F951" s="25" t="str" cm="1">
        <f t="array" ref="F9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1" s="26">
        <v>0.79</v>
      </c>
      <c r="H951" s="27">
        <v>13791</v>
      </c>
    </row>
    <row r="952" spans="1:8" ht="18" x14ac:dyDescent="0.25">
      <c r="A952" s="24" t="s">
        <v>846</v>
      </c>
      <c r="B952" s="25">
        <v>2014</v>
      </c>
      <c r="C952" s="25" t="s">
        <v>2462</v>
      </c>
      <c r="D952" s="25">
        <v>135</v>
      </c>
      <c r="E952" s="25">
        <v>6.8</v>
      </c>
      <c r="F952" s="25" t="str" cm="1">
        <f t="array" ref="F9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2" s="26">
        <v>2.46</v>
      </c>
      <c r="H952" s="27">
        <v>2956</v>
      </c>
    </row>
    <row r="953" spans="1:8" ht="18" x14ac:dyDescent="0.25">
      <c r="A953" s="24" t="s">
        <v>849</v>
      </c>
      <c r="B953" s="25">
        <v>2014</v>
      </c>
      <c r="C953" s="25" t="s">
        <v>2462</v>
      </c>
      <c r="D953" s="25">
        <v>150</v>
      </c>
      <c r="E953" s="25">
        <v>6.1</v>
      </c>
      <c r="F953" s="25" t="str" cm="1">
        <f t="array" ref="F9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3" s="26">
        <v>0.43</v>
      </c>
      <c r="H953" s="27">
        <v>6357</v>
      </c>
    </row>
    <row r="954" spans="1:8" ht="18" x14ac:dyDescent="0.25">
      <c r="A954" s="24" t="s">
        <v>2214</v>
      </c>
      <c r="B954" s="25">
        <v>2014</v>
      </c>
      <c r="C954" s="25" t="s">
        <v>2463</v>
      </c>
      <c r="D954" s="25">
        <v>129</v>
      </c>
      <c r="E954" s="25">
        <v>7.2</v>
      </c>
      <c r="F954" s="25" t="str" cm="1">
        <f t="array" ref="F9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4" s="26">
        <v>1.82</v>
      </c>
      <c r="H954" s="27">
        <v>30111</v>
      </c>
    </row>
    <row r="955" spans="1:8" ht="18" x14ac:dyDescent="0.25">
      <c r="A955" s="24" t="s">
        <v>851</v>
      </c>
      <c r="B955" s="25">
        <v>2014</v>
      </c>
      <c r="C955" s="25" t="s">
        <v>2463</v>
      </c>
      <c r="D955" s="25">
        <v>75</v>
      </c>
      <c r="E955" s="25">
        <v>6.3</v>
      </c>
      <c r="F955" s="25" t="str" cm="1">
        <f t="array" ref="F9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5" s="26">
        <v>0.33</v>
      </c>
      <c r="H955" s="27">
        <v>1251</v>
      </c>
    </row>
    <row r="956" spans="1:8" ht="18" x14ac:dyDescent="0.25">
      <c r="A956" s="24" t="s">
        <v>853</v>
      </c>
      <c r="B956" s="25">
        <v>2014</v>
      </c>
      <c r="C956" s="25" t="s">
        <v>2462</v>
      </c>
      <c r="D956" s="25">
        <v>91</v>
      </c>
      <c r="E956" s="25">
        <v>6.7</v>
      </c>
      <c r="F956" s="25" t="str" cm="1">
        <f t="array" ref="F9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6" s="26">
        <v>2.46</v>
      </c>
      <c r="H956" s="27">
        <v>19333</v>
      </c>
    </row>
    <row r="957" spans="1:8" ht="18" x14ac:dyDescent="0.25">
      <c r="A957" s="24" t="s">
        <v>2215</v>
      </c>
      <c r="B957" s="25">
        <v>2014</v>
      </c>
      <c r="C957" s="25" t="s">
        <v>2462</v>
      </c>
      <c r="D957" s="25">
        <v>95</v>
      </c>
      <c r="E957" s="25">
        <v>7.1</v>
      </c>
      <c r="F957" s="25" t="str" cm="1">
        <f t="array" ref="F9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7" s="26">
        <v>0.12</v>
      </c>
      <c r="H957" s="27">
        <v>21093</v>
      </c>
    </row>
    <row r="958" spans="1:8" ht="18" x14ac:dyDescent="0.25">
      <c r="A958" s="24" t="s">
        <v>2216</v>
      </c>
      <c r="B958" s="25">
        <v>2014</v>
      </c>
      <c r="C958" s="25" t="s">
        <v>2464</v>
      </c>
      <c r="D958" s="25">
        <v>102</v>
      </c>
      <c r="E958" s="25">
        <v>7.3</v>
      </c>
      <c r="F958" s="25" t="str" cm="1">
        <f t="array" ref="F9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8" s="26">
        <v>2.46</v>
      </c>
      <c r="H958" s="27">
        <v>26509</v>
      </c>
    </row>
    <row r="959" spans="1:8" ht="18" x14ac:dyDescent="0.25">
      <c r="A959" s="24" t="s">
        <v>856</v>
      </c>
      <c r="B959" s="25">
        <v>2014</v>
      </c>
      <c r="C959" s="25" t="s">
        <v>2462</v>
      </c>
      <c r="D959" s="25">
        <v>83</v>
      </c>
      <c r="E959" s="25">
        <v>7.2</v>
      </c>
      <c r="F959" s="25" t="str" cm="1">
        <f t="array" ref="F9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59" s="26">
        <v>0.02</v>
      </c>
      <c r="H959" s="27">
        <v>6520</v>
      </c>
    </row>
    <row r="960" spans="1:8" ht="18" x14ac:dyDescent="0.25">
      <c r="A960" s="24" t="s">
        <v>857</v>
      </c>
      <c r="B960" s="25">
        <v>2014</v>
      </c>
      <c r="C960" s="25" t="s">
        <v>2462</v>
      </c>
      <c r="D960" s="25">
        <v>102</v>
      </c>
      <c r="E960" s="25">
        <v>7.3</v>
      </c>
      <c r="F960" s="25" t="str" cm="1">
        <f t="array" ref="F9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0" s="26">
        <v>2.46</v>
      </c>
      <c r="H960" s="27">
        <v>1675</v>
      </c>
    </row>
    <row r="961" spans="1:8" ht="18" x14ac:dyDescent="0.25">
      <c r="A961" s="24" t="s">
        <v>859</v>
      </c>
      <c r="B961" s="25">
        <v>2014</v>
      </c>
      <c r="C961" s="25" t="s">
        <v>2462</v>
      </c>
      <c r="D961" s="25">
        <v>110</v>
      </c>
      <c r="E961" s="25">
        <v>5.2</v>
      </c>
      <c r="F961" s="25" t="str" cm="1">
        <f t="array" ref="F9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1" s="26">
        <v>2.46</v>
      </c>
      <c r="H961" s="27">
        <v>2204</v>
      </c>
    </row>
    <row r="962" spans="1:8" ht="18" x14ac:dyDescent="0.25">
      <c r="A962" s="24" t="s">
        <v>860</v>
      </c>
      <c r="B962" s="25">
        <v>2014</v>
      </c>
      <c r="C962" s="25" t="s">
        <v>2462</v>
      </c>
      <c r="D962" s="25">
        <v>118</v>
      </c>
      <c r="E962" s="25">
        <v>5.7</v>
      </c>
      <c r="F962" s="25" t="str" cm="1">
        <f t="array" ref="F9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2" s="26">
        <v>2.46</v>
      </c>
      <c r="H962" s="27">
        <v>8717</v>
      </c>
    </row>
    <row r="963" spans="1:8" ht="18" x14ac:dyDescent="0.25">
      <c r="A963" s="24" t="s">
        <v>862</v>
      </c>
      <c r="B963" s="25">
        <v>2014</v>
      </c>
      <c r="C963" s="25" t="s">
        <v>2463</v>
      </c>
      <c r="D963" s="25">
        <v>98</v>
      </c>
      <c r="E963" s="25">
        <v>3.7</v>
      </c>
      <c r="F963" s="25" t="str" cm="1">
        <f t="array" ref="F9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3" s="26">
        <v>2.46</v>
      </c>
      <c r="H963" s="27">
        <v>4174</v>
      </c>
    </row>
    <row r="964" spans="1:8" ht="18" x14ac:dyDescent="0.25">
      <c r="A964" s="24" t="s">
        <v>2217</v>
      </c>
      <c r="B964" s="25">
        <v>2014</v>
      </c>
      <c r="C964" s="25" t="s">
        <v>2462</v>
      </c>
      <c r="D964" s="25">
        <v>107</v>
      </c>
      <c r="E964" s="25">
        <v>7</v>
      </c>
      <c r="F964" s="25" t="str" cm="1">
        <f t="array" ref="F9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4" s="26">
        <v>2.46</v>
      </c>
      <c r="H964" s="27">
        <v>28050</v>
      </c>
    </row>
    <row r="965" spans="1:8" ht="18" x14ac:dyDescent="0.25">
      <c r="A965" s="24" t="s">
        <v>865</v>
      </c>
      <c r="B965" s="25">
        <v>2014</v>
      </c>
      <c r="C965" s="25" t="s">
        <v>2462</v>
      </c>
      <c r="D965" s="25">
        <v>137</v>
      </c>
      <c r="E965" s="25">
        <v>6.4</v>
      </c>
      <c r="F965" s="25" t="str" cm="1">
        <f t="array" ref="F9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5" s="26">
        <v>2.46</v>
      </c>
      <c r="H965" s="27">
        <v>5286</v>
      </c>
    </row>
    <row r="966" spans="1:8" ht="18" x14ac:dyDescent="0.25">
      <c r="A966" s="24" t="s">
        <v>866</v>
      </c>
      <c r="B966" s="25">
        <v>2014</v>
      </c>
      <c r="C966" s="25" t="s">
        <v>2462</v>
      </c>
      <c r="D966" s="25">
        <v>99</v>
      </c>
      <c r="E966" s="25">
        <v>5.8</v>
      </c>
      <c r="F966" s="25" t="str" cm="1">
        <f t="array" ref="F9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6" s="26">
        <v>2.46</v>
      </c>
      <c r="H966" s="27">
        <v>59291</v>
      </c>
    </row>
    <row r="967" spans="1:8" ht="18" x14ac:dyDescent="0.25">
      <c r="A967" s="24" t="s">
        <v>871</v>
      </c>
      <c r="B967" s="25">
        <v>2014</v>
      </c>
      <c r="C967" s="25" t="s">
        <v>2462</v>
      </c>
      <c r="D967" s="25">
        <v>117</v>
      </c>
      <c r="E967" s="25">
        <v>6.5</v>
      </c>
      <c r="F967" s="25" t="str" cm="1">
        <f t="array" ref="F9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7" s="26">
        <v>0.55000000000000004</v>
      </c>
      <c r="H967" s="27">
        <v>24938</v>
      </c>
    </row>
    <row r="968" spans="1:8" ht="18" x14ac:dyDescent="0.25">
      <c r="A968" s="24" t="s">
        <v>873</v>
      </c>
      <c r="B968" s="25">
        <v>2014</v>
      </c>
      <c r="C968" s="25" t="s">
        <v>2462</v>
      </c>
      <c r="D968" s="25">
        <v>88</v>
      </c>
      <c r="E968" s="25">
        <v>6.2</v>
      </c>
      <c r="F968" s="25" t="str" cm="1">
        <f t="array" ref="F9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8" s="26">
        <v>1.01</v>
      </c>
      <c r="H968" s="27">
        <v>11058</v>
      </c>
    </row>
    <row r="969" spans="1:8" ht="18" x14ac:dyDescent="0.25">
      <c r="A969" s="24" t="s">
        <v>2218</v>
      </c>
      <c r="B969" s="25">
        <v>2014</v>
      </c>
      <c r="C969" s="25" t="s">
        <v>2462</v>
      </c>
      <c r="D969" s="25">
        <v>123</v>
      </c>
      <c r="E969" s="25">
        <v>6.3</v>
      </c>
      <c r="F969" s="25" t="str" cm="1">
        <f t="array" ref="F9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69" s="26">
        <v>0.59</v>
      </c>
      <c r="H969" s="27">
        <v>12933</v>
      </c>
    </row>
    <row r="970" spans="1:8" ht="18" x14ac:dyDescent="0.25">
      <c r="A970" s="24" t="s">
        <v>881</v>
      </c>
      <c r="B970" s="25">
        <v>2014</v>
      </c>
      <c r="C970" s="25" t="s">
        <v>2462</v>
      </c>
      <c r="D970" s="25">
        <v>96</v>
      </c>
      <c r="E970" s="25">
        <v>6.8</v>
      </c>
      <c r="F970" s="25" t="str" cm="1">
        <f t="array" ref="F9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0" s="26">
        <v>2.46</v>
      </c>
      <c r="H970" s="27">
        <v>8985</v>
      </c>
    </row>
    <row r="971" spans="1:8" ht="18" x14ac:dyDescent="0.25">
      <c r="A971" s="24" t="s">
        <v>2219</v>
      </c>
      <c r="B971" s="25">
        <v>2014</v>
      </c>
      <c r="C971" s="25" t="s">
        <v>2462</v>
      </c>
      <c r="D971" s="25">
        <v>87</v>
      </c>
      <c r="E971" s="25">
        <v>5.9</v>
      </c>
      <c r="F971" s="25" t="str" cm="1">
        <f t="array" ref="F9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1" s="26">
        <v>0.61</v>
      </c>
      <c r="H971" s="27">
        <v>19431</v>
      </c>
    </row>
    <row r="972" spans="1:8" ht="18" x14ac:dyDescent="0.25">
      <c r="A972" s="24" t="s">
        <v>885</v>
      </c>
      <c r="B972" s="25">
        <v>2014</v>
      </c>
      <c r="C972" s="25" t="s">
        <v>2462</v>
      </c>
      <c r="D972" s="25">
        <v>96</v>
      </c>
      <c r="E972" s="25">
        <v>7</v>
      </c>
      <c r="F972" s="25" t="str" cm="1">
        <f t="array" ref="F9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2" s="26">
        <v>0.02</v>
      </c>
      <c r="H972" s="27">
        <v>27479</v>
      </c>
    </row>
    <row r="973" spans="1:8" ht="18" x14ac:dyDescent="0.25">
      <c r="A973" s="24" t="s">
        <v>889</v>
      </c>
      <c r="B973" s="25">
        <v>2014</v>
      </c>
      <c r="C973" s="25" t="s">
        <v>2462</v>
      </c>
      <c r="D973" s="25">
        <v>125</v>
      </c>
      <c r="E973" s="25">
        <v>7</v>
      </c>
      <c r="F973" s="25" t="str" cm="1">
        <f t="array" ref="F9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3" s="26">
        <v>5.74</v>
      </c>
      <c r="H973" s="27">
        <v>76255</v>
      </c>
    </row>
    <row r="974" spans="1:8" ht="18" x14ac:dyDescent="0.25">
      <c r="A974" s="24" t="s">
        <v>2220</v>
      </c>
      <c r="B974" s="25">
        <v>2014</v>
      </c>
      <c r="C974" s="25" t="s">
        <v>2462</v>
      </c>
      <c r="D974" s="25">
        <v>105</v>
      </c>
      <c r="E974" s="25">
        <v>6.7</v>
      </c>
      <c r="F974" s="25" t="str" cm="1">
        <f t="array" ref="F9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4" s="26">
        <v>0.45</v>
      </c>
      <c r="H974" s="27">
        <v>1631</v>
      </c>
    </row>
    <row r="975" spans="1:8" ht="18" x14ac:dyDescent="0.25">
      <c r="A975" s="24" t="s">
        <v>2221</v>
      </c>
      <c r="B975" s="25">
        <v>2014</v>
      </c>
      <c r="C975" s="25" t="s">
        <v>2462</v>
      </c>
      <c r="D975" s="25">
        <v>116</v>
      </c>
      <c r="E975" s="25">
        <v>6.1</v>
      </c>
      <c r="F975" s="25" t="str" cm="1">
        <f t="array" ref="F9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5" s="26">
        <v>0.28000000000000003</v>
      </c>
      <c r="H975" s="27">
        <v>1833</v>
      </c>
    </row>
    <row r="976" spans="1:8" ht="18" x14ac:dyDescent="0.25">
      <c r="A976" s="24" t="s">
        <v>896</v>
      </c>
      <c r="B976" s="25">
        <v>2014</v>
      </c>
      <c r="C976" s="25" t="s">
        <v>2462</v>
      </c>
      <c r="D976" s="25">
        <v>84</v>
      </c>
      <c r="E976" s="25">
        <v>5.9</v>
      </c>
      <c r="F976" s="25" t="str" cm="1">
        <f t="array" ref="F9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6" s="26">
        <v>0.03</v>
      </c>
      <c r="H976" s="27">
        <v>4443</v>
      </c>
    </row>
    <row r="977" spans="1:8" ht="18" x14ac:dyDescent="0.25">
      <c r="A977" s="24" t="s">
        <v>2222</v>
      </c>
      <c r="B977" s="25">
        <v>2014</v>
      </c>
      <c r="C977" s="25" t="s">
        <v>2462</v>
      </c>
      <c r="D977" s="25">
        <v>115</v>
      </c>
      <c r="E977" s="25">
        <v>7.7</v>
      </c>
      <c r="F977" s="25" t="str" cm="1">
        <f t="array" ref="F9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7" s="26">
        <v>0.99</v>
      </c>
      <c r="H977" s="27">
        <v>6810</v>
      </c>
    </row>
    <row r="978" spans="1:8" ht="18" x14ac:dyDescent="0.25">
      <c r="A978" s="24" t="s">
        <v>906</v>
      </c>
      <c r="B978" s="25">
        <v>2014</v>
      </c>
      <c r="C978" s="25" t="s">
        <v>2462</v>
      </c>
      <c r="D978" s="25">
        <v>100</v>
      </c>
      <c r="E978" s="25">
        <v>6.8</v>
      </c>
      <c r="F978" s="25" t="str" cm="1">
        <f t="array" ref="F9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8" s="26">
        <v>14.67</v>
      </c>
      <c r="H978" s="27">
        <v>261882</v>
      </c>
    </row>
    <row r="979" spans="1:8" ht="18" x14ac:dyDescent="0.25">
      <c r="A979" s="24" t="s">
        <v>2223</v>
      </c>
      <c r="B979" s="25">
        <v>2014</v>
      </c>
      <c r="C979" s="25" t="s">
        <v>2462</v>
      </c>
      <c r="D979" s="25">
        <v>91</v>
      </c>
      <c r="E979" s="25">
        <v>5.7</v>
      </c>
      <c r="F979" s="25" t="str" cm="1">
        <f t="array" ref="F9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79" s="26">
        <v>38.92</v>
      </c>
      <c r="H979" s="27">
        <v>19598</v>
      </c>
    </row>
    <row r="980" spans="1:8" ht="18" x14ac:dyDescent="0.25">
      <c r="A980" s="24" t="s">
        <v>2224</v>
      </c>
      <c r="B980" s="25">
        <v>2014</v>
      </c>
      <c r="C980" s="25" t="s">
        <v>2463</v>
      </c>
      <c r="D980" s="25">
        <v>101</v>
      </c>
      <c r="E980" s="25">
        <v>4.5999999999999996</v>
      </c>
      <c r="F980" s="25" t="str" cm="1">
        <f t="array" ref="F9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0" s="26">
        <v>2.46</v>
      </c>
      <c r="H980" s="27">
        <v>5180</v>
      </c>
    </row>
    <row r="981" spans="1:8" ht="18" x14ac:dyDescent="0.25">
      <c r="A981" s="24" t="s">
        <v>918</v>
      </c>
      <c r="B981" s="25">
        <v>2014</v>
      </c>
      <c r="C981" s="25" t="s">
        <v>2463</v>
      </c>
      <c r="D981" s="25">
        <v>196</v>
      </c>
      <c r="E981" s="25">
        <v>8.1</v>
      </c>
      <c r="F981" s="25" t="str" cm="1">
        <f t="array" ref="F9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1" s="26">
        <v>0.17</v>
      </c>
      <c r="H981" s="27">
        <v>54335</v>
      </c>
    </row>
    <row r="982" spans="1:8" ht="18" x14ac:dyDescent="0.25">
      <c r="A982" s="24" t="s">
        <v>921</v>
      </c>
      <c r="B982" s="25">
        <v>2014</v>
      </c>
      <c r="C982" s="25" t="s">
        <v>2462</v>
      </c>
      <c r="D982" s="25">
        <v>93</v>
      </c>
      <c r="E982" s="25">
        <v>6.1</v>
      </c>
      <c r="F982" s="25" t="str" cm="1">
        <f t="array" ref="F9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2" s="26">
        <v>2.46</v>
      </c>
      <c r="H982" s="27">
        <v>8945</v>
      </c>
    </row>
    <row r="983" spans="1:8" ht="18" x14ac:dyDescent="0.25">
      <c r="A983" s="24" t="s">
        <v>924</v>
      </c>
      <c r="B983" s="25">
        <v>2014</v>
      </c>
      <c r="C983" s="25" t="s">
        <v>2462</v>
      </c>
      <c r="D983" s="25">
        <v>109</v>
      </c>
      <c r="E983" s="25">
        <v>6.7</v>
      </c>
      <c r="F983" s="25" t="str" cm="1">
        <f t="array" ref="F9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3" s="26">
        <v>0.05</v>
      </c>
      <c r="H983" s="27">
        <v>30686</v>
      </c>
    </row>
    <row r="984" spans="1:8" ht="18" x14ac:dyDescent="0.25">
      <c r="A984" s="24" t="s">
        <v>927</v>
      </c>
      <c r="B984" s="25">
        <v>2014</v>
      </c>
      <c r="C984" s="25" t="s">
        <v>2462</v>
      </c>
      <c r="D984" s="25">
        <v>95</v>
      </c>
      <c r="E984" s="25">
        <v>6.8</v>
      </c>
      <c r="F984" s="25" t="str" cm="1">
        <f t="array" ref="F9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4" s="26">
        <v>0.04</v>
      </c>
      <c r="H984" s="27">
        <v>62308</v>
      </c>
    </row>
    <row r="985" spans="1:8" ht="18" x14ac:dyDescent="0.25">
      <c r="A985" s="24" t="s">
        <v>929</v>
      </c>
      <c r="B985" s="25">
        <v>2014</v>
      </c>
      <c r="C985" s="25" t="s">
        <v>2464</v>
      </c>
      <c r="D985" s="25">
        <v>95</v>
      </c>
      <c r="E985" s="25">
        <v>6.6</v>
      </c>
      <c r="F985" s="25" t="str" cm="1">
        <f t="array" ref="F9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5" s="26">
        <v>1.1000000000000001</v>
      </c>
      <c r="H985" s="27">
        <v>3733</v>
      </c>
    </row>
    <row r="986" spans="1:8" ht="18" x14ac:dyDescent="0.25">
      <c r="A986" s="24" t="s">
        <v>930</v>
      </c>
      <c r="B986" s="25">
        <v>2014</v>
      </c>
      <c r="C986" s="25" t="s">
        <v>2462</v>
      </c>
      <c r="D986" s="25">
        <v>89</v>
      </c>
      <c r="E986" s="25">
        <v>6.7</v>
      </c>
      <c r="F986" s="25" t="str" cm="1">
        <f t="array" ref="F9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6" s="26">
        <v>2.46</v>
      </c>
      <c r="H986" s="27">
        <v>10606</v>
      </c>
    </row>
    <row r="987" spans="1:8" ht="18" x14ac:dyDescent="0.25">
      <c r="A987" s="24" t="s">
        <v>933</v>
      </c>
      <c r="B987" s="25">
        <v>2014</v>
      </c>
      <c r="C987" s="25" t="s">
        <v>2462</v>
      </c>
      <c r="D987" s="25">
        <v>90</v>
      </c>
      <c r="E987" s="25">
        <v>3.9</v>
      </c>
      <c r="F987" s="25" t="str" cm="1">
        <f t="array" ref="F9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7" s="26">
        <v>2.46</v>
      </c>
      <c r="H987" s="27">
        <v>791</v>
      </c>
    </row>
    <row r="988" spans="1:8" ht="18" x14ac:dyDescent="0.25">
      <c r="A988" s="24" t="s">
        <v>935</v>
      </c>
      <c r="B988" s="25">
        <v>2014</v>
      </c>
      <c r="C988" s="25" t="s">
        <v>2462</v>
      </c>
      <c r="D988" s="25">
        <v>94</v>
      </c>
      <c r="E988" s="25">
        <v>5</v>
      </c>
      <c r="F988" s="25" t="str" cm="1">
        <f t="array" ref="F9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8" s="26">
        <v>2.46</v>
      </c>
      <c r="H988" s="27">
        <v>17446</v>
      </c>
    </row>
    <row r="989" spans="1:8" ht="18" x14ac:dyDescent="0.25">
      <c r="A989" s="24" t="s">
        <v>941</v>
      </c>
      <c r="B989" s="25">
        <v>2014</v>
      </c>
      <c r="C989" s="25" t="s">
        <v>2462</v>
      </c>
      <c r="D989" s="25">
        <v>93</v>
      </c>
      <c r="E989" s="25">
        <v>4.9000000000000004</v>
      </c>
      <c r="F989" s="25" t="str" cm="1">
        <f t="array" ref="F9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89" s="26">
        <v>2.46</v>
      </c>
      <c r="H989" s="27">
        <v>8547</v>
      </c>
    </row>
    <row r="990" spans="1:8" ht="18" x14ac:dyDescent="0.25">
      <c r="A990" s="24" t="s">
        <v>948</v>
      </c>
      <c r="B990" s="25">
        <v>2014</v>
      </c>
      <c r="C990" s="25" t="s">
        <v>2462</v>
      </c>
      <c r="D990" s="25">
        <v>94</v>
      </c>
      <c r="E990" s="25">
        <v>6.7</v>
      </c>
      <c r="F990" s="25" t="str" cm="1">
        <f t="array" ref="F9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0" s="26">
        <v>2.46</v>
      </c>
      <c r="H990" s="27">
        <v>712</v>
      </c>
    </row>
    <row r="991" spans="1:8" ht="18" x14ac:dyDescent="0.25">
      <c r="A991" s="24" t="s">
        <v>953</v>
      </c>
      <c r="B991" s="25">
        <v>2014</v>
      </c>
      <c r="C991" s="25" t="s">
        <v>2462</v>
      </c>
      <c r="D991" s="25">
        <v>139</v>
      </c>
      <c r="E991" s="25">
        <v>8</v>
      </c>
      <c r="F991" s="25" t="str" cm="1">
        <f t="array" ref="F9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1" s="26">
        <v>3.49</v>
      </c>
      <c r="H991" s="27">
        <v>60572</v>
      </c>
    </row>
    <row r="992" spans="1:8" ht="18" x14ac:dyDescent="0.25">
      <c r="A992" s="24" t="s">
        <v>957</v>
      </c>
      <c r="B992" s="25">
        <v>2014</v>
      </c>
      <c r="C992" s="25" t="s">
        <v>2464</v>
      </c>
      <c r="D992" s="25">
        <v>111</v>
      </c>
      <c r="E992" s="25">
        <v>7.1</v>
      </c>
      <c r="F992" s="25" t="str" cm="1">
        <f t="array" ref="F9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2" s="26">
        <v>0.14000000000000001</v>
      </c>
      <c r="H992" s="27">
        <v>30020</v>
      </c>
    </row>
    <row r="993" spans="1:8" ht="18" x14ac:dyDescent="0.25">
      <c r="A993" s="24" t="s">
        <v>959</v>
      </c>
      <c r="B993" s="25">
        <v>2014</v>
      </c>
      <c r="C993" s="25" t="s">
        <v>2462</v>
      </c>
      <c r="D993" s="25">
        <v>97</v>
      </c>
      <c r="E993" s="25">
        <v>4.9000000000000004</v>
      </c>
      <c r="F993" s="25" t="str" cm="1">
        <f t="array" ref="F9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3" s="26">
        <v>84.53</v>
      </c>
      <c r="H993" s="27">
        <v>54109</v>
      </c>
    </row>
    <row r="994" spans="1:8" ht="18" x14ac:dyDescent="0.25">
      <c r="A994" s="24" t="s">
        <v>2225</v>
      </c>
      <c r="B994" s="25">
        <v>2014</v>
      </c>
      <c r="C994" s="25" t="s">
        <v>2462</v>
      </c>
      <c r="D994" s="25">
        <v>104</v>
      </c>
      <c r="E994" s="25">
        <v>6.5</v>
      </c>
      <c r="F994" s="25" t="str" cm="1">
        <f t="array" ref="F9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4" s="26">
        <v>0.03</v>
      </c>
      <c r="H994" s="27">
        <v>14068</v>
      </c>
    </row>
    <row r="995" spans="1:8" ht="18" x14ac:dyDescent="0.25">
      <c r="A995" s="24" t="s">
        <v>963</v>
      </c>
      <c r="B995" s="25">
        <v>2014</v>
      </c>
      <c r="C995" s="25" t="s">
        <v>2462</v>
      </c>
      <c r="D995" s="25">
        <v>95</v>
      </c>
      <c r="E995" s="25">
        <v>7.1</v>
      </c>
      <c r="F995" s="25" t="str" cm="1">
        <f t="array" ref="F9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5" s="26">
        <v>0.02</v>
      </c>
      <c r="H995" s="27">
        <v>4896</v>
      </c>
    </row>
    <row r="996" spans="1:8" ht="18" x14ac:dyDescent="0.25">
      <c r="A996" s="24" t="s">
        <v>967</v>
      </c>
      <c r="B996" s="25">
        <v>2014</v>
      </c>
      <c r="C996" s="25" t="s">
        <v>2462</v>
      </c>
      <c r="D996" s="25">
        <v>120</v>
      </c>
      <c r="E996" s="25">
        <v>7.2</v>
      </c>
      <c r="F996" s="25" t="str" cm="1">
        <f t="array" ref="F9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6" s="26">
        <v>1.36</v>
      </c>
      <c r="H996" s="27">
        <v>64693</v>
      </c>
    </row>
    <row r="997" spans="1:8" ht="18" x14ac:dyDescent="0.25">
      <c r="A997" s="24" t="s">
        <v>969</v>
      </c>
      <c r="B997" s="25">
        <v>2014</v>
      </c>
      <c r="C997" s="25" t="s">
        <v>2462</v>
      </c>
      <c r="D997" s="25">
        <v>109</v>
      </c>
      <c r="E997" s="25">
        <v>6.8</v>
      </c>
      <c r="F997" s="25" t="str" cm="1">
        <f t="array" ref="F9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7" s="26">
        <v>0.1</v>
      </c>
      <c r="H997" s="27">
        <v>3084</v>
      </c>
    </row>
    <row r="998" spans="1:8" ht="18" x14ac:dyDescent="0.25">
      <c r="A998" s="24" t="s">
        <v>970</v>
      </c>
      <c r="B998" s="25">
        <v>2014</v>
      </c>
      <c r="C998" s="25" t="s">
        <v>2462</v>
      </c>
      <c r="D998" s="25">
        <v>112</v>
      </c>
      <c r="E998" s="25">
        <v>6.8</v>
      </c>
      <c r="F998" s="25" t="str" cm="1">
        <f t="array" ref="F9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8" s="26">
        <v>2.46</v>
      </c>
      <c r="H998" s="27">
        <v>59447</v>
      </c>
    </row>
    <row r="999" spans="1:8" ht="18" x14ac:dyDescent="0.25">
      <c r="A999" s="24" t="s">
        <v>2226</v>
      </c>
      <c r="B999" s="25">
        <v>2014</v>
      </c>
      <c r="C999" s="25" t="s">
        <v>2462</v>
      </c>
      <c r="D999" s="25">
        <v>100</v>
      </c>
      <c r="E999" s="25">
        <v>7.2</v>
      </c>
      <c r="F999" s="25" t="str" cm="1">
        <f t="array" ref="F9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999" s="26">
        <v>2.46</v>
      </c>
      <c r="H999" s="27">
        <v>4039</v>
      </c>
    </row>
    <row r="1000" spans="1:8" ht="18" x14ac:dyDescent="0.25">
      <c r="A1000" s="24" t="s">
        <v>978</v>
      </c>
      <c r="B1000" s="25">
        <v>2014</v>
      </c>
      <c r="C1000" s="25" t="s">
        <v>2462</v>
      </c>
      <c r="D1000" s="25">
        <v>80</v>
      </c>
      <c r="E1000" s="25">
        <v>6.9</v>
      </c>
      <c r="F1000" s="25" t="str" cm="1">
        <f t="array" ref="F10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0" s="26">
        <v>2.46</v>
      </c>
      <c r="H1000" s="27">
        <v>281</v>
      </c>
    </row>
    <row r="1001" spans="1:8" ht="18" x14ac:dyDescent="0.25">
      <c r="A1001" s="24" t="s">
        <v>980</v>
      </c>
      <c r="B1001" s="25">
        <v>2014</v>
      </c>
      <c r="C1001" s="25" t="s">
        <v>2462</v>
      </c>
      <c r="D1001" s="25">
        <v>121</v>
      </c>
      <c r="E1001" s="25">
        <v>7.4</v>
      </c>
      <c r="F1001" s="25" t="str" cm="1">
        <f t="array" ref="F10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1" s="26">
        <v>12.55</v>
      </c>
      <c r="H1001" s="27">
        <v>41801</v>
      </c>
    </row>
    <row r="1002" spans="1:8" ht="18" x14ac:dyDescent="0.25">
      <c r="A1002" s="24" t="s">
        <v>987</v>
      </c>
      <c r="B1002" s="25">
        <v>2014</v>
      </c>
      <c r="C1002" s="25" t="s">
        <v>2462</v>
      </c>
      <c r="D1002" s="25">
        <v>111</v>
      </c>
      <c r="E1002" s="25">
        <v>6.8</v>
      </c>
      <c r="F1002" s="25" t="str" cm="1">
        <f t="array" ref="F10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2" s="26">
        <v>2.46</v>
      </c>
      <c r="H1002" s="27">
        <v>3796</v>
      </c>
    </row>
    <row r="1003" spans="1:8" ht="18" x14ac:dyDescent="0.25">
      <c r="A1003" s="24" t="s">
        <v>988</v>
      </c>
      <c r="B1003" s="25">
        <v>2014</v>
      </c>
      <c r="C1003" s="25" t="s">
        <v>2462</v>
      </c>
      <c r="D1003" s="25">
        <v>135</v>
      </c>
      <c r="E1003" s="25">
        <v>7.1</v>
      </c>
      <c r="F1003" s="25" t="str" cm="1">
        <f t="array" ref="F10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3" s="26">
        <v>2.46</v>
      </c>
      <c r="H1003" s="27">
        <v>12026</v>
      </c>
    </row>
    <row r="1004" spans="1:8" ht="18" x14ac:dyDescent="0.25">
      <c r="A1004" s="24" t="s">
        <v>991</v>
      </c>
      <c r="B1004" s="25">
        <v>2014</v>
      </c>
      <c r="C1004" s="25" t="s">
        <v>2462</v>
      </c>
      <c r="D1004" s="25">
        <v>93</v>
      </c>
      <c r="E1004" s="25">
        <v>6.3</v>
      </c>
      <c r="F1004" s="25" t="str" cm="1">
        <f t="array" ref="F10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4" s="26">
        <v>2.46</v>
      </c>
      <c r="H1004" s="27">
        <v>1571</v>
      </c>
    </row>
    <row r="1005" spans="1:8" ht="18" x14ac:dyDescent="0.25">
      <c r="A1005" s="24" t="s">
        <v>992</v>
      </c>
      <c r="B1005" s="25">
        <v>2014</v>
      </c>
      <c r="C1005" s="25" t="s">
        <v>2462</v>
      </c>
      <c r="D1005" s="25">
        <v>118</v>
      </c>
      <c r="E1005" s="25">
        <v>6.7</v>
      </c>
      <c r="F1005" s="25" t="str" cm="1">
        <f t="array" ref="F10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5" s="26">
        <v>0.15</v>
      </c>
      <c r="H1005" s="27">
        <v>17133</v>
      </c>
    </row>
    <row r="1006" spans="1:8" ht="18" x14ac:dyDescent="0.25">
      <c r="A1006" s="24" t="s">
        <v>993</v>
      </c>
      <c r="B1006" s="25">
        <v>2014</v>
      </c>
      <c r="C1006" s="25" t="s">
        <v>2462</v>
      </c>
      <c r="D1006" s="25">
        <v>110</v>
      </c>
      <c r="E1006" s="25">
        <v>6.7</v>
      </c>
      <c r="F1006" s="25" t="str" cm="1">
        <f t="array" ref="F10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6" s="26">
        <v>2.46</v>
      </c>
      <c r="H1006" s="27">
        <v>9320</v>
      </c>
    </row>
    <row r="1007" spans="1:8" ht="18" x14ac:dyDescent="0.25">
      <c r="A1007" s="24" t="s">
        <v>996</v>
      </c>
      <c r="B1007" s="25">
        <v>2014</v>
      </c>
      <c r="C1007" s="25" t="s">
        <v>2462</v>
      </c>
      <c r="D1007" s="25">
        <v>108</v>
      </c>
      <c r="E1007" s="25">
        <v>5.9</v>
      </c>
      <c r="F1007" s="25" t="str" cm="1">
        <f t="array" ref="F10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7" s="26">
        <v>0.15</v>
      </c>
      <c r="H1007" s="27">
        <v>2602</v>
      </c>
    </row>
    <row r="1008" spans="1:8" ht="18" x14ac:dyDescent="0.25">
      <c r="A1008" s="24" t="s">
        <v>1007</v>
      </c>
      <c r="B1008" s="25">
        <v>2014</v>
      </c>
      <c r="C1008" s="25" t="s">
        <v>2462</v>
      </c>
      <c r="D1008" s="25">
        <v>94</v>
      </c>
      <c r="E1008" s="25">
        <v>5.8</v>
      </c>
      <c r="F1008" s="25" t="str" cm="1">
        <f t="array" ref="F10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8" s="26">
        <v>0.14000000000000001</v>
      </c>
      <c r="H1008" s="27">
        <v>10601</v>
      </c>
    </row>
    <row r="1009" spans="1:8" ht="18" x14ac:dyDescent="0.25">
      <c r="A1009" s="24" t="s">
        <v>1025</v>
      </c>
      <c r="B1009" s="25">
        <v>2014</v>
      </c>
      <c r="C1009" s="25" t="s">
        <v>2464</v>
      </c>
      <c r="D1009" s="25">
        <v>93</v>
      </c>
      <c r="E1009" s="25">
        <v>5.7</v>
      </c>
      <c r="F1009" s="25" t="str" cm="1">
        <f t="array" ref="F10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09" s="26">
        <v>2.46</v>
      </c>
      <c r="H1009" s="27">
        <v>4393</v>
      </c>
    </row>
    <row r="1010" spans="1:8" ht="18" x14ac:dyDescent="0.25">
      <c r="A1010" s="24" t="s">
        <v>2227</v>
      </c>
      <c r="B1010" s="25">
        <v>2014</v>
      </c>
      <c r="C1010" s="25" t="s">
        <v>2462</v>
      </c>
      <c r="D1010" s="25">
        <v>97</v>
      </c>
      <c r="E1010" s="25">
        <v>6.3</v>
      </c>
      <c r="F1010" s="25" t="str" cm="1">
        <f t="array" ref="F10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0" s="26">
        <v>2.46</v>
      </c>
      <c r="H1010" s="27">
        <v>1428</v>
      </c>
    </row>
    <row r="1011" spans="1:8" ht="18" x14ac:dyDescent="0.25">
      <c r="A1011" s="24" t="s">
        <v>1042</v>
      </c>
      <c r="B1011" s="25">
        <v>2014</v>
      </c>
      <c r="C1011" s="25" t="s">
        <v>2463</v>
      </c>
      <c r="D1011" s="25">
        <v>93</v>
      </c>
      <c r="E1011" s="25">
        <v>6</v>
      </c>
      <c r="F1011" s="25" t="str" cm="1">
        <f t="array" ref="F10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1" s="26">
        <v>2.46</v>
      </c>
      <c r="H1011" s="27">
        <v>1582</v>
      </c>
    </row>
    <row r="1012" spans="1:8" ht="18" x14ac:dyDescent="0.25">
      <c r="A1012" s="24" t="s">
        <v>2228</v>
      </c>
      <c r="B1012" s="25">
        <v>2014</v>
      </c>
      <c r="C1012" s="25" t="s">
        <v>2462</v>
      </c>
      <c r="D1012" s="25">
        <v>99</v>
      </c>
      <c r="E1012" s="25">
        <v>5.7</v>
      </c>
      <c r="F1012" s="25" t="str" cm="1">
        <f t="array" ref="F10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2" s="26">
        <v>2.46</v>
      </c>
      <c r="H1012" s="27">
        <v>15669</v>
      </c>
    </row>
    <row r="1013" spans="1:8" ht="18" x14ac:dyDescent="0.25">
      <c r="A1013" s="24" t="s">
        <v>1049</v>
      </c>
      <c r="B1013" s="25">
        <v>2014</v>
      </c>
      <c r="C1013" s="25" t="s">
        <v>2462</v>
      </c>
      <c r="D1013" s="25">
        <v>105</v>
      </c>
      <c r="E1013" s="25">
        <v>6.5</v>
      </c>
      <c r="F1013" s="25" t="str" cm="1">
        <f t="array" ref="F10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3" s="26">
        <v>2.46</v>
      </c>
      <c r="H1013" s="27">
        <v>5290</v>
      </c>
    </row>
    <row r="1014" spans="1:8" ht="18" x14ac:dyDescent="0.25">
      <c r="A1014" s="24" t="s">
        <v>2229</v>
      </c>
      <c r="B1014" s="25">
        <v>2014</v>
      </c>
      <c r="C1014" s="25" t="s">
        <v>2464</v>
      </c>
      <c r="D1014" s="25">
        <v>90</v>
      </c>
      <c r="E1014" s="25">
        <v>7.2</v>
      </c>
      <c r="F1014" s="25" t="str" cm="1">
        <f t="array" ref="F10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4" s="26">
        <v>1.03</v>
      </c>
      <c r="H1014" s="27">
        <v>3979</v>
      </c>
    </row>
    <row r="1015" spans="1:8" ht="18" x14ac:dyDescent="0.25">
      <c r="A1015" s="24" t="s">
        <v>1059</v>
      </c>
      <c r="B1015" s="25">
        <v>2014</v>
      </c>
      <c r="C1015" s="25" t="s">
        <v>2463</v>
      </c>
      <c r="D1015" s="25">
        <v>100</v>
      </c>
      <c r="E1015" s="25">
        <v>7.2</v>
      </c>
      <c r="F1015" s="25" t="str" cm="1">
        <f t="array" ref="F10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5" s="26">
        <v>0.28000000000000003</v>
      </c>
      <c r="H1015" s="27">
        <v>11406</v>
      </c>
    </row>
    <row r="1016" spans="1:8" ht="18" x14ac:dyDescent="0.25">
      <c r="A1016" s="24" t="s">
        <v>2230</v>
      </c>
      <c r="B1016" s="25">
        <v>2014</v>
      </c>
      <c r="C1016" s="25" t="s">
        <v>2462</v>
      </c>
      <c r="D1016" s="25">
        <v>90</v>
      </c>
      <c r="E1016" s="25">
        <v>6.4</v>
      </c>
      <c r="F1016" s="25" t="str" cm="1">
        <f t="array" ref="F10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6" s="26">
        <v>3.45</v>
      </c>
      <c r="H1016" s="27">
        <v>8127</v>
      </c>
    </row>
    <row r="1017" spans="1:8" ht="18" x14ac:dyDescent="0.25">
      <c r="A1017" s="24" t="s">
        <v>1063</v>
      </c>
      <c r="B1017" s="25">
        <v>2014</v>
      </c>
      <c r="C1017" s="25" t="s">
        <v>2462</v>
      </c>
      <c r="D1017" s="25">
        <v>95</v>
      </c>
      <c r="E1017" s="25">
        <v>6</v>
      </c>
      <c r="F1017" s="25" t="str" cm="1">
        <f t="array" ref="F10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7" s="26">
        <v>0.03</v>
      </c>
      <c r="H1017" s="27">
        <v>7459</v>
      </c>
    </row>
    <row r="1018" spans="1:8" ht="18" x14ac:dyDescent="0.25">
      <c r="A1018" s="24" t="s">
        <v>1064</v>
      </c>
      <c r="B1018" s="25">
        <v>2014</v>
      </c>
      <c r="C1018" s="25" t="s">
        <v>2462</v>
      </c>
      <c r="D1018" s="25">
        <v>117</v>
      </c>
      <c r="E1018" s="25">
        <v>6.6</v>
      </c>
      <c r="F1018" s="25" t="str" cm="1">
        <f t="array" ref="F10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8" s="26">
        <v>0.18</v>
      </c>
      <c r="H1018" s="27">
        <v>764</v>
      </c>
    </row>
    <row r="1019" spans="1:8" ht="18" x14ac:dyDescent="0.25">
      <c r="A1019" s="24" t="s">
        <v>1068</v>
      </c>
      <c r="B1019" s="25">
        <v>2014</v>
      </c>
      <c r="C1019" s="25" t="s">
        <v>2462</v>
      </c>
      <c r="D1019" s="25">
        <v>102</v>
      </c>
      <c r="E1019" s="25">
        <v>5.3</v>
      </c>
      <c r="F1019" s="25" t="str" cm="1">
        <f t="array" ref="F10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19" s="26">
        <v>2.46</v>
      </c>
      <c r="H1019" s="27">
        <v>7623</v>
      </c>
    </row>
    <row r="1020" spans="1:8" ht="18" x14ac:dyDescent="0.25">
      <c r="A1020" s="24" t="s">
        <v>2231</v>
      </c>
      <c r="B1020" s="25">
        <v>2014</v>
      </c>
      <c r="C1020" s="25" t="s">
        <v>2462</v>
      </c>
      <c r="D1020" s="25">
        <v>97</v>
      </c>
      <c r="E1020" s="25">
        <v>6.3</v>
      </c>
      <c r="F1020" s="25" t="str" cm="1">
        <f t="array" ref="F10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0" s="26">
        <v>7.57</v>
      </c>
      <c r="H1020" s="27">
        <v>52711</v>
      </c>
    </row>
    <row r="1021" spans="1:8" ht="18" x14ac:dyDescent="0.25">
      <c r="A1021" s="24" t="s">
        <v>1076</v>
      </c>
      <c r="B1021" s="25">
        <v>2014</v>
      </c>
      <c r="C1021" s="25" t="s">
        <v>2462</v>
      </c>
      <c r="D1021" s="25">
        <v>101</v>
      </c>
      <c r="E1021" s="25">
        <v>6.3</v>
      </c>
      <c r="F1021" s="25" t="str" cm="1">
        <f t="array" ref="F10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1" s="26">
        <v>131.54</v>
      </c>
      <c r="H1021" s="27">
        <v>98004</v>
      </c>
    </row>
    <row r="1022" spans="1:8" ht="18" x14ac:dyDescent="0.25">
      <c r="A1022" s="24" t="s">
        <v>1083</v>
      </c>
      <c r="B1022" s="25">
        <v>2014</v>
      </c>
      <c r="C1022" s="25" t="s">
        <v>2463</v>
      </c>
      <c r="D1022" s="25">
        <v>140</v>
      </c>
      <c r="E1022" s="25">
        <v>7.6</v>
      </c>
      <c r="F1022" s="25" t="str" cm="1">
        <f t="array" ref="F10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2" s="26">
        <v>1.0900000000000001</v>
      </c>
      <c r="H1022" s="27">
        <v>56010</v>
      </c>
    </row>
    <row r="1023" spans="1:8" ht="18" x14ac:dyDescent="0.25">
      <c r="A1023" s="24" t="s">
        <v>2232</v>
      </c>
      <c r="B1023" s="25">
        <v>2014</v>
      </c>
      <c r="C1023" s="25" t="s">
        <v>2462</v>
      </c>
      <c r="D1023" s="25">
        <v>120</v>
      </c>
      <c r="E1023" s="25">
        <v>5.7</v>
      </c>
      <c r="F1023" s="25" t="str" cm="1">
        <f t="array" ref="F10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3" s="26">
        <v>0.16</v>
      </c>
      <c r="H1023" s="27">
        <v>4432</v>
      </c>
    </row>
    <row r="1024" spans="1:8" ht="18" x14ac:dyDescent="0.25">
      <c r="A1024" s="24" t="s">
        <v>1087</v>
      </c>
      <c r="B1024" s="25">
        <v>2014</v>
      </c>
      <c r="C1024" s="25" t="s">
        <v>2462</v>
      </c>
      <c r="D1024" s="25">
        <v>112</v>
      </c>
      <c r="E1024" s="25">
        <v>7.1</v>
      </c>
      <c r="F1024" s="25" t="str" cm="1">
        <f t="array" ref="F10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4" s="26">
        <v>1.41</v>
      </c>
      <c r="H1024" s="27">
        <v>36548</v>
      </c>
    </row>
    <row r="1025" spans="1:8" ht="18" x14ac:dyDescent="0.25">
      <c r="A1025" s="24" t="s">
        <v>1092</v>
      </c>
      <c r="B1025" s="25">
        <v>2014</v>
      </c>
      <c r="C1025" s="25" t="s">
        <v>2462</v>
      </c>
      <c r="D1025" s="25">
        <v>94</v>
      </c>
      <c r="E1025" s="25">
        <v>6.3</v>
      </c>
      <c r="F1025" s="25" t="str" cm="1">
        <f t="array" ref="F10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5" s="26">
        <v>2.46</v>
      </c>
      <c r="H1025" s="27">
        <v>2194</v>
      </c>
    </row>
    <row r="1026" spans="1:8" ht="18" x14ac:dyDescent="0.25">
      <c r="A1026" s="24" t="s">
        <v>1102</v>
      </c>
      <c r="B1026" s="25">
        <v>2014</v>
      </c>
      <c r="C1026" s="25" t="s">
        <v>2462</v>
      </c>
      <c r="D1026" s="25">
        <v>90</v>
      </c>
      <c r="E1026" s="25">
        <v>4.5999999999999996</v>
      </c>
      <c r="F1026" s="25" t="str" cm="1">
        <f t="array" ref="F10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6" s="26">
        <v>2.46</v>
      </c>
      <c r="H1026" s="27">
        <v>7604</v>
      </c>
    </row>
    <row r="1027" spans="1:8" ht="18" x14ac:dyDescent="0.25">
      <c r="A1027" s="24" t="s">
        <v>1137</v>
      </c>
      <c r="B1027" s="25">
        <v>2014</v>
      </c>
      <c r="C1027" s="25" t="s">
        <v>2462</v>
      </c>
      <c r="D1027" s="25">
        <v>90</v>
      </c>
      <c r="E1027" s="25">
        <v>7.5</v>
      </c>
      <c r="F1027" s="25" t="str" cm="1">
        <f t="array" ref="F10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7" s="26">
        <v>0.12</v>
      </c>
      <c r="H1027" s="27">
        <v>10398</v>
      </c>
    </row>
    <row r="1028" spans="1:8" ht="18" x14ac:dyDescent="0.25">
      <c r="A1028" s="24" t="s">
        <v>1140</v>
      </c>
      <c r="B1028" s="25">
        <v>2014</v>
      </c>
      <c r="C1028" s="25" t="s">
        <v>2462</v>
      </c>
      <c r="D1028" s="25">
        <v>112</v>
      </c>
      <c r="E1028" s="25">
        <v>5.3</v>
      </c>
      <c r="F1028" s="25" t="str" cm="1">
        <f t="array" ref="F10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8" s="26">
        <v>0.05</v>
      </c>
      <c r="H1028" s="27">
        <v>3952</v>
      </c>
    </row>
    <row r="1029" spans="1:8" ht="18" x14ac:dyDescent="0.25">
      <c r="A1029" s="24" t="s">
        <v>1149</v>
      </c>
      <c r="B1029" s="25">
        <v>2014</v>
      </c>
      <c r="C1029" s="25" t="s">
        <v>2463</v>
      </c>
      <c r="D1029" s="25">
        <v>115</v>
      </c>
      <c r="E1029" s="25">
        <v>7</v>
      </c>
      <c r="F1029" s="25" t="str" cm="1">
        <f t="array" ref="F10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29" s="26">
        <v>2.44</v>
      </c>
      <c r="H1029" s="27">
        <v>48417</v>
      </c>
    </row>
    <row r="1030" spans="1:8" ht="18" x14ac:dyDescent="0.25">
      <c r="A1030" s="24" t="s">
        <v>2233</v>
      </c>
      <c r="B1030" s="25">
        <v>2014</v>
      </c>
      <c r="C1030" s="25" t="s">
        <v>2462</v>
      </c>
      <c r="D1030" s="25">
        <v>97</v>
      </c>
      <c r="E1030" s="25">
        <v>5</v>
      </c>
      <c r="F1030" s="25" t="str" cm="1">
        <f t="array" ref="F10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0" s="26">
        <v>2.46</v>
      </c>
      <c r="H1030" s="27">
        <v>1841</v>
      </c>
    </row>
    <row r="1031" spans="1:8" ht="18" x14ac:dyDescent="0.25">
      <c r="A1031" s="24" t="s">
        <v>1165</v>
      </c>
      <c r="B1031" s="25">
        <v>2014</v>
      </c>
      <c r="C1031" s="25" t="s">
        <v>2462</v>
      </c>
      <c r="D1031" s="25">
        <v>92</v>
      </c>
      <c r="E1031" s="25">
        <v>4.3</v>
      </c>
      <c r="F1031" s="25" t="str" cm="1">
        <f t="array" ref="F10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1" s="26">
        <v>2.46</v>
      </c>
      <c r="H1031" s="27">
        <v>2306</v>
      </c>
    </row>
    <row r="1032" spans="1:8" ht="18" x14ac:dyDescent="0.25">
      <c r="A1032" s="24" t="s">
        <v>1166</v>
      </c>
      <c r="B1032" s="25">
        <v>2014</v>
      </c>
      <c r="C1032" s="25" t="s">
        <v>2462</v>
      </c>
      <c r="D1032" s="25">
        <v>90</v>
      </c>
      <c r="E1032" s="25">
        <v>6.9</v>
      </c>
      <c r="F1032" s="25" t="str" cm="1">
        <f t="array" ref="F10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2" s="26">
        <v>1.43</v>
      </c>
      <c r="H1032" s="27">
        <v>16805</v>
      </c>
    </row>
    <row r="1033" spans="1:8" ht="18" x14ac:dyDescent="0.25">
      <c r="A1033" s="24" t="s">
        <v>1167</v>
      </c>
      <c r="B1033" s="25">
        <v>2014</v>
      </c>
      <c r="C1033" s="25" t="s">
        <v>2462</v>
      </c>
      <c r="D1033" s="25">
        <v>104</v>
      </c>
      <c r="E1033" s="25">
        <v>7.2</v>
      </c>
      <c r="F1033" s="25" t="str" cm="1">
        <f t="array" ref="F10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3" s="26">
        <v>0.28000000000000003</v>
      </c>
      <c r="H1033" s="27">
        <v>1861</v>
      </c>
    </row>
    <row r="1034" spans="1:8" ht="18" x14ac:dyDescent="0.25">
      <c r="A1034" s="24" t="s">
        <v>1170</v>
      </c>
      <c r="B1034" s="25">
        <v>2014</v>
      </c>
      <c r="C1034" s="25" t="s">
        <v>2462</v>
      </c>
      <c r="D1034" s="25">
        <v>98</v>
      </c>
      <c r="E1034" s="25">
        <v>7.3</v>
      </c>
      <c r="F1034" s="25" t="str" cm="1">
        <f t="array" ref="F10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4" s="26">
        <v>2.46</v>
      </c>
      <c r="H1034" s="27">
        <v>20186</v>
      </c>
    </row>
    <row r="1035" spans="1:8" ht="18" x14ac:dyDescent="0.25">
      <c r="A1035" s="24" t="s">
        <v>1179</v>
      </c>
      <c r="B1035" s="25">
        <v>2014</v>
      </c>
      <c r="C1035" s="25" t="s">
        <v>2462</v>
      </c>
      <c r="D1035" s="25">
        <v>97</v>
      </c>
      <c r="E1035" s="25">
        <v>6</v>
      </c>
      <c r="F1035" s="25" t="str" cm="1">
        <f t="array" ref="F10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5" s="26">
        <v>0.6</v>
      </c>
      <c r="H1035" s="27">
        <v>68398</v>
      </c>
    </row>
    <row r="1036" spans="1:8" ht="18" x14ac:dyDescent="0.25">
      <c r="A1036" s="24" t="s">
        <v>1180</v>
      </c>
      <c r="B1036" s="25">
        <v>2014</v>
      </c>
      <c r="C1036" s="25" t="s">
        <v>2463</v>
      </c>
      <c r="D1036" s="25">
        <v>104</v>
      </c>
      <c r="E1036" s="25">
        <v>6.2</v>
      </c>
      <c r="F1036" s="25" t="str" cm="1">
        <f t="array" ref="F10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6" s="26">
        <v>0.14000000000000001</v>
      </c>
      <c r="H1036" s="27">
        <v>2002</v>
      </c>
    </row>
    <row r="1037" spans="1:8" ht="18" x14ac:dyDescent="0.25">
      <c r="A1037" s="24" t="s">
        <v>2234</v>
      </c>
      <c r="B1037" s="25">
        <v>2014</v>
      </c>
      <c r="C1037" s="25" t="s">
        <v>2462</v>
      </c>
      <c r="D1037" s="25">
        <v>110</v>
      </c>
      <c r="E1037" s="25">
        <v>5.0999999999999996</v>
      </c>
      <c r="F1037" s="25" t="str" cm="1">
        <f t="array" ref="F10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7" s="26">
        <v>2.46</v>
      </c>
      <c r="H1037" s="27">
        <v>998</v>
      </c>
    </row>
    <row r="1038" spans="1:8" ht="18" x14ac:dyDescent="0.25">
      <c r="A1038" s="24" t="s">
        <v>1182</v>
      </c>
      <c r="B1038" s="25">
        <v>2014</v>
      </c>
      <c r="C1038" s="25" t="s">
        <v>2462</v>
      </c>
      <c r="D1038" s="25">
        <v>84</v>
      </c>
      <c r="E1038" s="25">
        <v>5.9</v>
      </c>
      <c r="F1038" s="25" t="str" cm="1">
        <f t="array" ref="F10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8" s="26">
        <v>2.46</v>
      </c>
      <c r="H1038" s="27">
        <v>544</v>
      </c>
    </row>
    <row r="1039" spans="1:8" ht="18" x14ac:dyDescent="0.25">
      <c r="A1039" s="24" t="s">
        <v>1185</v>
      </c>
      <c r="B1039" s="25">
        <v>2014</v>
      </c>
      <c r="C1039" s="25" t="s">
        <v>2462</v>
      </c>
      <c r="D1039" s="25">
        <v>99</v>
      </c>
      <c r="E1039" s="25">
        <v>6</v>
      </c>
      <c r="F1039" s="25" t="str" cm="1">
        <f t="array" ref="F10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39" s="26">
        <v>0.04</v>
      </c>
      <c r="H1039" s="27">
        <v>5609</v>
      </c>
    </row>
    <row r="1040" spans="1:8" ht="18" x14ac:dyDescent="0.25">
      <c r="A1040" s="24" t="s">
        <v>1190</v>
      </c>
      <c r="B1040" s="25">
        <v>2014</v>
      </c>
      <c r="C1040" s="25" t="s">
        <v>2462</v>
      </c>
      <c r="D1040" s="25">
        <v>90</v>
      </c>
      <c r="E1040" s="25">
        <v>4.3</v>
      </c>
      <c r="F1040" s="25" t="str" cm="1">
        <f t="array" ref="F10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0" s="26">
        <v>2.46</v>
      </c>
      <c r="H1040" s="27">
        <v>3893</v>
      </c>
    </row>
    <row r="1041" spans="1:8" ht="18" x14ac:dyDescent="0.25">
      <c r="A1041" s="24" t="s">
        <v>1194</v>
      </c>
      <c r="B1041" s="25">
        <v>2014</v>
      </c>
      <c r="C1041" s="25" t="s">
        <v>2462</v>
      </c>
      <c r="D1041" s="25">
        <v>109</v>
      </c>
      <c r="E1041" s="25">
        <v>6.4</v>
      </c>
      <c r="F1041" s="25" t="str" cm="1">
        <f t="array" ref="F10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1" s="26">
        <v>2.46</v>
      </c>
      <c r="H1041" s="27">
        <v>5791</v>
      </c>
    </row>
    <row r="1042" spans="1:8" ht="18" x14ac:dyDescent="0.25">
      <c r="A1042" s="24" t="s">
        <v>2235</v>
      </c>
      <c r="B1042" s="25">
        <v>2014</v>
      </c>
      <c r="C1042" s="25" t="s">
        <v>2462</v>
      </c>
      <c r="D1042" s="25">
        <v>120</v>
      </c>
      <c r="E1042" s="25">
        <v>6.9</v>
      </c>
      <c r="F1042" s="25" t="str" cm="1">
        <f t="array" ref="F10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2" s="26">
        <v>1.1200000000000001</v>
      </c>
      <c r="H1042" s="27">
        <v>49975</v>
      </c>
    </row>
    <row r="1043" spans="1:8" ht="18" x14ac:dyDescent="0.25">
      <c r="A1043" s="24" t="s">
        <v>1205</v>
      </c>
      <c r="B1043" s="25">
        <v>2014</v>
      </c>
      <c r="C1043" s="25" t="s">
        <v>2462</v>
      </c>
      <c r="D1043" s="25">
        <v>138</v>
      </c>
      <c r="E1043" s="25">
        <v>6.2</v>
      </c>
      <c r="F1043" s="25" t="str" cm="1">
        <f t="array" ref="F10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3" s="26">
        <v>0.03</v>
      </c>
      <c r="H1043" s="27">
        <v>7896</v>
      </c>
    </row>
    <row r="1044" spans="1:8" ht="18" x14ac:dyDescent="0.25">
      <c r="A1044" s="24" t="s">
        <v>1207</v>
      </c>
      <c r="B1044" s="25">
        <v>2014</v>
      </c>
      <c r="C1044" s="25" t="s">
        <v>2462</v>
      </c>
      <c r="D1044" s="25">
        <v>93</v>
      </c>
      <c r="E1044" s="25">
        <v>7.2</v>
      </c>
      <c r="F1044" s="25" t="str" cm="1">
        <f t="array" ref="F10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4" s="26">
        <v>0.01</v>
      </c>
      <c r="H1044" s="27">
        <v>9973</v>
      </c>
    </row>
    <row r="1045" spans="1:8" ht="18" x14ac:dyDescent="0.25">
      <c r="A1045" s="24" t="s">
        <v>2236</v>
      </c>
      <c r="B1045" s="25">
        <v>2014</v>
      </c>
      <c r="C1045" s="25" t="s">
        <v>2462</v>
      </c>
      <c r="D1045" s="25">
        <v>102</v>
      </c>
      <c r="E1045" s="25">
        <v>5.5</v>
      </c>
      <c r="F1045" s="25" t="str" cm="1">
        <f t="array" ref="F10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5" s="26">
        <v>2.46</v>
      </c>
      <c r="H1045" s="27">
        <v>1546</v>
      </c>
    </row>
    <row r="1046" spans="1:8" ht="18" x14ac:dyDescent="0.25">
      <c r="A1046" s="24" t="s">
        <v>1210</v>
      </c>
      <c r="B1046" s="25">
        <v>2014</v>
      </c>
      <c r="C1046" s="25" t="s">
        <v>2462</v>
      </c>
      <c r="D1046" s="25">
        <v>98</v>
      </c>
      <c r="E1046" s="25">
        <v>5.0999999999999996</v>
      </c>
      <c r="F1046" s="25" t="str" cm="1">
        <f t="array" ref="F10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6" s="26">
        <v>8.5</v>
      </c>
      <c r="H1046" s="27">
        <v>20948</v>
      </c>
    </row>
    <row r="1047" spans="1:8" ht="18" x14ac:dyDescent="0.25">
      <c r="A1047" s="24" t="s">
        <v>2237</v>
      </c>
      <c r="B1047" s="25">
        <v>2014</v>
      </c>
      <c r="C1047" s="25" t="s">
        <v>2462</v>
      </c>
      <c r="D1047" s="25">
        <v>108</v>
      </c>
      <c r="E1047" s="25">
        <v>6.6</v>
      </c>
      <c r="F1047" s="25" t="str" cm="1">
        <f t="array" ref="F10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7" s="26">
        <v>2.87</v>
      </c>
      <c r="H1047" s="27">
        <v>16052</v>
      </c>
    </row>
    <row r="1048" spans="1:8" ht="18" x14ac:dyDescent="0.25">
      <c r="A1048" s="24" t="s">
        <v>1214</v>
      </c>
      <c r="B1048" s="25">
        <v>2014</v>
      </c>
      <c r="C1048" s="25" t="s">
        <v>2462</v>
      </c>
      <c r="D1048" s="25">
        <v>102</v>
      </c>
      <c r="E1048" s="25">
        <v>6.8</v>
      </c>
      <c r="F1048" s="25" t="str" cm="1">
        <f t="array" ref="F10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8" s="26">
        <v>2.46</v>
      </c>
      <c r="H1048" s="27">
        <v>6731</v>
      </c>
    </row>
    <row r="1049" spans="1:8" ht="18" x14ac:dyDescent="0.25">
      <c r="A1049" s="24" t="s">
        <v>1218</v>
      </c>
      <c r="B1049" s="25">
        <v>2014</v>
      </c>
      <c r="C1049" s="25" t="s">
        <v>2462</v>
      </c>
      <c r="D1049" s="25">
        <v>98</v>
      </c>
      <c r="E1049" s="25">
        <v>7</v>
      </c>
      <c r="F1049" s="25" t="str" cm="1">
        <f t="array" ref="F10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49" s="26">
        <v>2.46</v>
      </c>
      <c r="H1049" s="27">
        <v>13735</v>
      </c>
    </row>
    <row r="1050" spans="1:8" ht="18" x14ac:dyDescent="0.25">
      <c r="A1050" s="24" t="s">
        <v>1221</v>
      </c>
      <c r="B1050" s="25">
        <v>2014</v>
      </c>
      <c r="C1050" s="25" t="s">
        <v>2462</v>
      </c>
      <c r="D1050" s="25">
        <v>104</v>
      </c>
      <c r="E1050" s="25">
        <v>6.9</v>
      </c>
      <c r="F1050" s="25" t="str" cm="1">
        <f t="array" ref="F10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0" s="26">
        <v>0.03</v>
      </c>
      <c r="H1050" s="27">
        <v>4989</v>
      </c>
    </row>
    <row r="1051" spans="1:8" ht="18" x14ac:dyDescent="0.25">
      <c r="A1051" s="24" t="s">
        <v>1222</v>
      </c>
      <c r="B1051" s="25">
        <v>2014</v>
      </c>
      <c r="C1051" s="25" t="s">
        <v>2462</v>
      </c>
      <c r="D1051" s="25">
        <v>117</v>
      </c>
      <c r="E1051" s="25">
        <v>6.1</v>
      </c>
      <c r="F1051" s="25" t="str" cm="1">
        <f t="array" ref="F10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1" s="26">
        <v>2.46</v>
      </c>
      <c r="H1051" s="27">
        <v>2817</v>
      </c>
    </row>
    <row r="1052" spans="1:8" ht="18" x14ac:dyDescent="0.25">
      <c r="A1052" s="24" t="s">
        <v>1223</v>
      </c>
      <c r="B1052" s="25">
        <v>2014</v>
      </c>
      <c r="C1052" s="25" t="s">
        <v>2463</v>
      </c>
      <c r="D1052" s="25">
        <v>108</v>
      </c>
      <c r="E1052" s="25">
        <v>6.3</v>
      </c>
      <c r="F1052" s="25" t="str" cm="1">
        <f t="array" ref="F10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2" s="26">
        <v>0.14000000000000001</v>
      </c>
      <c r="H1052" s="27">
        <v>6887</v>
      </c>
    </row>
    <row r="1053" spans="1:8" ht="18" x14ac:dyDescent="0.25">
      <c r="A1053" s="24" t="s">
        <v>1233</v>
      </c>
      <c r="B1053" s="25">
        <v>2014</v>
      </c>
      <c r="C1053" s="25" t="s">
        <v>2462</v>
      </c>
      <c r="D1053" s="25">
        <v>84</v>
      </c>
      <c r="E1053" s="25">
        <v>7.1</v>
      </c>
      <c r="F1053" s="25" t="str" cm="1">
        <f t="array" ref="F10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3" s="26">
        <v>0.23</v>
      </c>
      <c r="H1053" s="27">
        <v>5797</v>
      </c>
    </row>
    <row r="1054" spans="1:8" ht="18" x14ac:dyDescent="0.25">
      <c r="A1054" s="24" t="s">
        <v>1234</v>
      </c>
      <c r="B1054" s="25">
        <v>2014</v>
      </c>
      <c r="C1054" s="25" t="s">
        <v>2462</v>
      </c>
      <c r="D1054" s="25">
        <v>85</v>
      </c>
      <c r="E1054" s="25">
        <v>6.2</v>
      </c>
      <c r="F1054" s="25" t="str" cm="1">
        <f t="array" ref="F10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4" s="26">
        <v>2.46</v>
      </c>
      <c r="H1054" s="27">
        <v>1706</v>
      </c>
    </row>
    <row r="1055" spans="1:8" ht="18" x14ac:dyDescent="0.25">
      <c r="A1055" s="24" t="s">
        <v>1244</v>
      </c>
      <c r="B1055" s="25">
        <v>2014</v>
      </c>
      <c r="C1055" s="25" t="s">
        <v>2462</v>
      </c>
      <c r="D1055" s="25">
        <v>87</v>
      </c>
      <c r="E1055" s="25">
        <v>5.0999999999999996</v>
      </c>
      <c r="F1055" s="25" t="str" cm="1">
        <f t="array" ref="F10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5" s="26">
        <v>2.46</v>
      </c>
      <c r="H1055" s="27">
        <v>977</v>
      </c>
    </row>
    <row r="1056" spans="1:8" ht="18" x14ac:dyDescent="0.25">
      <c r="A1056" s="24" t="s">
        <v>1245</v>
      </c>
      <c r="B1056" s="25">
        <v>2014</v>
      </c>
      <c r="C1056" s="25" t="s">
        <v>2462</v>
      </c>
      <c r="D1056" s="25">
        <v>90</v>
      </c>
      <c r="E1056" s="25">
        <v>5.9</v>
      </c>
      <c r="F1056" s="25" t="str" cm="1">
        <f t="array" ref="F10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6" s="26">
        <v>2.46</v>
      </c>
      <c r="H1056" s="27">
        <v>4630</v>
      </c>
    </row>
    <row r="1057" spans="1:8" ht="18" x14ac:dyDescent="0.25">
      <c r="A1057" s="24" t="s">
        <v>2238</v>
      </c>
      <c r="B1057" s="25">
        <v>2014</v>
      </c>
      <c r="C1057" s="25" t="s">
        <v>2462</v>
      </c>
      <c r="D1057" s="25">
        <v>103</v>
      </c>
      <c r="E1057" s="25">
        <v>8.3000000000000007</v>
      </c>
      <c r="F1057" s="25" t="str" cm="1">
        <f t="array" ref="F10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7" s="26">
        <v>0.11</v>
      </c>
      <c r="H1057" s="27">
        <v>13643</v>
      </c>
    </row>
    <row r="1058" spans="1:8" ht="18" x14ac:dyDescent="0.25">
      <c r="A1058" s="24" t="s">
        <v>1263</v>
      </c>
      <c r="B1058" s="25">
        <v>2014</v>
      </c>
      <c r="C1058" s="25" t="s">
        <v>2462</v>
      </c>
      <c r="D1058" s="25">
        <v>104</v>
      </c>
      <c r="E1058" s="25">
        <v>7.6</v>
      </c>
      <c r="F1058" s="25" t="str" cm="1">
        <f t="array" ref="F10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8" s="26">
        <v>0.01</v>
      </c>
      <c r="H1058" s="27">
        <v>6175</v>
      </c>
    </row>
    <row r="1059" spans="1:8" ht="18" x14ac:dyDescent="0.25">
      <c r="A1059" s="24" t="s">
        <v>2239</v>
      </c>
      <c r="B1059" s="25">
        <v>2014</v>
      </c>
      <c r="C1059" s="25" t="s">
        <v>2462</v>
      </c>
      <c r="D1059" s="25">
        <v>71</v>
      </c>
      <c r="E1059" s="25">
        <v>6.9</v>
      </c>
      <c r="F1059" s="25" t="str" cm="1">
        <f t="array" ref="F10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59" s="26">
        <v>0.01</v>
      </c>
      <c r="H1059" s="27">
        <v>1807</v>
      </c>
    </row>
    <row r="1060" spans="1:8" ht="18" x14ac:dyDescent="0.25">
      <c r="A1060" s="24" t="s">
        <v>1273</v>
      </c>
      <c r="B1060" s="25">
        <v>2014</v>
      </c>
      <c r="C1060" s="25" t="s">
        <v>2462</v>
      </c>
      <c r="D1060" s="25">
        <v>103</v>
      </c>
      <c r="E1060" s="25">
        <v>5.7</v>
      </c>
      <c r="F1060" s="25" t="str" cm="1">
        <f t="array" ref="F10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0" s="26">
        <v>1.01</v>
      </c>
      <c r="H1060" s="27">
        <v>3281</v>
      </c>
    </row>
    <row r="1061" spans="1:8" ht="18" x14ac:dyDescent="0.25">
      <c r="A1061" s="24" t="s">
        <v>2240</v>
      </c>
      <c r="B1061" s="25">
        <v>2014</v>
      </c>
      <c r="C1061" s="25" t="s">
        <v>2462</v>
      </c>
      <c r="D1061" s="25">
        <v>92</v>
      </c>
      <c r="E1061" s="25">
        <v>4.5999999999999996</v>
      </c>
      <c r="F1061" s="25" t="str" cm="1">
        <f t="array" ref="F10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1" s="26">
        <v>0.01</v>
      </c>
      <c r="H1061" s="27">
        <v>1100</v>
      </c>
    </row>
    <row r="1062" spans="1:8" ht="18" x14ac:dyDescent="0.25">
      <c r="A1062" s="24" t="s">
        <v>1280</v>
      </c>
      <c r="B1062" s="25">
        <v>2014</v>
      </c>
      <c r="C1062" s="25" t="s">
        <v>2462</v>
      </c>
      <c r="D1062" s="25">
        <v>111</v>
      </c>
      <c r="E1062" s="25">
        <v>5.6</v>
      </c>
      <c r="F1062" s="25" t="str" cm="1">
        <f t="array" ref="F10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2" s="26">
        <v>2.46</v>
      </c>
      <c r="H1062" s="27">
        <v>869</v>
      </c>
    </row>
    <row r="1063" spans="1:8" ht="18" x14ac:dyDescent="0.25">
      <c r="A1063" s="24" t="s">
        <v>1284</v>
      </c>
      <c r="B1063" s="25">
        <v>2014</v>
      </c>
      <c r="C1063" s="25" t="s">
        <v>2462</v>
      </c>
      <c r="D1063" s="25">
        <v>95</v>
      </c>
      <c r="E1063" s="25">
        <v>7</v>
      </c>
      <c r="F1063" s="25" t="str" cm="1">
        <f t="array" ref="F10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3" s="26">
        <v>0.17</v>
      </c>
      <c r="H1063" s="27">
        <v>2221</v>
      </c>
    </row>
    <row r="1064" spans="1:8" ht="18" x14ac:dyDescent="0.25">
      <c r="A1064" s="24" t="s">
        <v>1287</v>
      </c>
      <c r="B1064" s="25">
        <v>2014</v>
      </c>
      <c r="C1064" s="25" t="s">
        <v>2462</v>
      </c>
      <c r="D1064" s="25">
        <v>100</v>
      </c>
      <c r="E1064" s="25">
        <v>5.0999999999999996</v>
      </c>
      <c r="F1064" s="25" t="str" cm="1">
        <f t="array" ref="F10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4" s="26">
        <v>2.46</v>
      </c>
      <c r="H1064" s="27">
        <v>14962</v>
      </c>
    </row>
    <row r="1065" spans="1:8" ht="18" x14ac:dyDescent="0.25">
      <c r="A1065" s="24" t="s">
        <v>2241</v>
      </c>
      <c r="B1065" s="25">
        <v>2014</v>
      </c>
      <c r="C1065" s="25" t="s">
        <v>2462</v>
      </c>
      <c r="D1065" s="25">
        <v>90</v>
      </c>
      <c r="E1065" s="25">
        <v>5.2</v>
      </c>
      <c r="F1065" s="25" t="str" cm="1">
        <f t="array" ref="F10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5" s="26">
        <v>0</v>
      </c>
      <c r="H1065" s="27">
        <v>1026</v>
      </c>
    </row>
    <row r="1066" spans="1:8" ht="18" x14ac:dyDescent="0.25">
      <c r="A1066" s="24" t="s">
        <v>2242</v>
      </c>
      <c r="B1066" s="25">
        <v>2014</v>
      </c>
      <c r="C1066" s="25" t="s">
        <v>2462</v>
      </c>
      <c r="D1066" s="25">
        <v>110</v>
      </c>
      <c r="E1066" s="25">
        <v>8.4</v>
      </c>
      <c r="F1066" s="25" t="str" cm="1">
        <f t="array" ref="F10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6" s="26">
        <v>1.34</v>
      </c>
      <c r="H1066" s="27">
        <v>22898</v>
      </c>
    </row>
    <row r="1067" spans="1:8" ht="18" x14ac:dyDescent="0.25">
      <c r="A1067" s="24" t="s">
        <v>1298</v>
      </c>
      <c r="B1067" s="25">
        <v>2014</v>
      </c>
      <c r="C1067" s="25" t="s">
        <v>2463</v>
      </c>
      <c r="D1067" s="25">
        <v>90</v>
      </c>
      <c r="E1067" s="25">
        <v>7.4</v>
      </c>
      <c r="F1067" s="25" t="str" cm="1">
        <f t="array" ref="F10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7" s="26">
        <v>2.46</v>
      </c>
      <c r="H1067" s="27">
        <v>10680</v>
      </c>
    </row>
    <row r="1068" spans="1:8" ht="18" x14ac:dyDescent="0.25">
      <c r="A1068" s="24" t="s">
        <v>1316</v>
      </c>
      <c r="B1068" s="25">
        <v>2014</v>
      </c>
      <c r="C1068" s="25" t="s">
        <v>2462</v>
      </c>
      <c r="D1068" s="25">
        <v>74</v>
      </c>
      <c r="E1068" s="25">
        <v>7</v>
      </c>
      <c r="F1068" s="25" t="str" cm="1">
        <f t="array" ref="F10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8" s="26">
        <v>0.11</v>
      </c>
      <c r="H1068" s="27">
        <v>3305</v>
      </c>
    </row>
    <row r="1069" spans="1:8" ht="18" x14ac:dyDescent="0.25">
      <c r="A1069" s="24" t="s">
        <v>1336</v>
      </c>
      <c r="B1069" s="25">
        <v>2014</v>
      </c>
      <c r="C1069" s="25" t="s">
        <v>2462</v>
      </c>
      <c r="D1069" s="25">
        <v>97</v>
      </c>
      <c r="E1069" s="25">
        <v>5.5</v>
      </c>
      <c r="F1069" s="25" t="str" cm="1">
        <f t="array" ref="F10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69" s="26">
        <v>0.13</v>
      </c>
      <c r="H1069" s="27">
        <v>7916</v>
      </c>
    </row>
    <row r="1070" spans="1:8" ht="18" x14ac:dyDescent="0.25">
      <c r="A1070" s="24" t="s">
        <v>1337</v>
      </c>
      <c r="B1070" s="25">
        <v>2014</v>
      </c>
      <c r="C1070" s="25" t="s">
        <v>2462</v>
      </c>
      <c r="D1070" s="25">
        <v>138</v>
      </c>
      <c r="E1070" s="25">
        <v>6.2</v>
      </c>
      <c r="F1070" s="25" t="str" cm="1">
        <f t="array" ref="F10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0" s="26">
        <v>0.05</v>
      </c>
      <c r="H1070" s="27">
        <v>1579</v>
      </c>
    </row>
    <row r="1071" spans="1:8" ht="18" x14ac:dyDescent="0.25">
      <c r="A1071" s="24" t="s">
        <v>1341</v>
      </c>
      <c r="B1071" s="25">
        <v>2014</v>
      </c>
      <c r="C1071" s="25" t="s">
        <v>2462</v>
      </c>
      <c r="D1071" s="25">
        <v>92</v>
      </c>
      <c r="E1071" s="25">
        <v>6.8</v>
      </c>
      <c r="F1071" s="25" t="str" cm="1">
        <f t="array" ref="F10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1" s="26">
        <v>111.51</v>
      </c>
      <c r="H1071" s="27">
        <v>76105</v>
      </c>
    </row>
    <row r="1072" spans="1:8" ht="18" x14ac:dyDescent="0.25">
      <c r="A1072" s="24" t="s">
        <v>1349</v>
      </c>
      <c r="B1072" s="25">
        <v>2014</v>
      </c>
      <c r="C1072" s="25" t="s">
        <v>2462</v>
      </c>
      <c r="D1072" s="25">
        <v>120</v>
      </c>
      <c r="E1072" s="25">
        <v>8.1999999999999993</v>
      </c>
      <c r="F1072" s="25" t="str" cm="1">
        <f t="array" ref="F10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2" s="26">
        <v>2.46</v>
      </c>
      <c r="H1072" s="27">
        <v>3731</v>
      </c>
    </row>
    <row r="1073" spans="1:8" ht="18" x14ac:dyDescent="0.25">
      <c r="A1073" s="24" t="s">
        <v>2243</v>
      </c>
      <c r="B1073" s="25">
        <v>2014</v>
      </c>
      <c r="C1073" s="25" t="s">
        <v>2462</v>
      </c>
      <c r="D1073" s="25">
        <v>83</v>
      </c>
      <c r="E1073" s="25">
        <v>5.7</v>
      </c>
      <c r="F1073" s="25" t="str" cm="1">
        <f t="array" ref="F10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3" s="26">
        <v>2.46</v>
      </c>
      <c r="H1073" s="27">
        <v>23694</v>
      </c>
    </row>
    <row r="1074" spans="1:8" ht="18" x14ac:dyDescent="0.25">
      <c r="A1074" s="24" t="s">
        <v>1355</v>
      </c>
      <c r="B1074" s="25">
        <v>2014</v>
      </c>
      <c r="C1074" s="25" t="s">
        <v>2462</v>
      </c>
      <c r="D1074" s="25">
        <v>84</v>
      </c>
      <c r="E1074" s="25">
        <v>7.5</v>
      </c>
      <c r="F1074" s="25" t="str" cm="1">
        <f t="array" ref="F10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4" s="26">
        <v>0.57999999999999996</v>
      </c>
      <c r="H1074" s="27">
        <v>1135</v>
      </c>
    </row>
    <row r="1075" spans="1:8" ht="18" x14ac:dyDescent="0.25">
      <c r="A1075" s="24" t="s">
        <v>2244</v>
      </c>
      <c r="B1075" s="25">
        <v>2014</v>
      </c>
      <c r="C1075" s="25" t="s">
        <v>2462</v>
      </c>
      <c r="D1075" s="25">
        <v>91</v>
      </c>
      <c r="E1075" s="25">
        <v>6.9</v>
      </c>
      <c r="F1075" s="25" t="str" cm="1">
        <f t="array" ref="F10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5" s="26">
        <v>0.02</v>
      </c>
      <c r="H1075" s="27">
        <v>961</v>
      </c>
    </row>
    <row r="1076" spans="1:8" ht="18" x14ac:dyDescent="0.25">
      <c r="A1076" s="24" t="s">
        <v>1390</v>
      </c>
      <c r="B1076" s="25">
        <v>2014</v>
      </c>
      <c r="C1076" s="25" t="s">
        <v>2462</v>
      </c>
      <c r="D1076" s="25">
        <v>88</v>
      </c>
      <c r="E1076" s="25">
        <v>5.0999999999999996</v>
      </c>
      <c r="F1076" s="25" t="str" cm="1">
        <f t="array" ref="F10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6" s="26">
        <v>2.46</v>
      </c>
      <c r="H1076" s="27">
        <v>7742</v>
      </c>
    </row>
    <row r="1077" spans="1:8" ht="18" x14ac:dyDescent="0.25">
      <c r="A1077" s="24" t="s">
        <v>2245</v>
      </c>
      <c r="B1077" s="25">
        <v>2014</v>
      </c>
      <c r="C1077" s="25" t="s">
        <v>2462</v>
      </c>
      <c r="D1077" s="25">
        <v>118</v>
      </c>
      <c r="E1077" s="25">
        <v>6.5</v>
      </c>
      <c r="F1077" s="25" t="str" cm="1">
        <f t="array" ref="F10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7" s="26">
        <v>0.02</v>
      </c>
      <c r="H1077" s="27">
        <v>5749</v>
      </c>
    </row>
    <row r="1078" spans="1:8" ht="18" x14ac:dyDescent="0.25">
      <c r="A1078" s="24" t="s">
        <v>1392</v>
      </c>
      <c r="B1078" s="25">
        <v>2014</v>
      </c>
      <c r="C1078" s="25" t="s">
        <v>2462</v>
      </c>
      <c r="D1078" s="25">
        <v>114</v>
      </c>
      <c r="E1078" s="25">
        <v>7.1</v>
      </c>
      <c r="F1078" s="25" t="str" cm="1">
        <f t="array" ref="F10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8" s="26">
        <v>0.01</v>
      </c>
      <c r="H1078" s="27">
        <v>22578</v>
      </c>
    </row>
    <row r="1079" spans="1:8" ht="18" x14ac:dyDescent="0.25">
      <c r="A1079" s="24" t="s">
        <v>1393</v>
      </c>
      <c r="B1079" s="25">
        <v>2014</v>
      </c>
      <c r="C1079" s="25" t="s">
        <v>2462</v>
      </c>
      <c r="D1079" s="25">
        <v>85</v>
      </c>
      <c r="E1079" s="25">
        <v>5.7</v>
      </c>
      <c r="F1079" s="25" t="str" cm="1">
        <f t="array" ref="F10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79" s="26">
        <v>64.25</v>
      </c>
      <c r="H1079" s="27">
        <v>29778</v>
      </c>
    </row>
    <row r="1080" spans="1:8" ht="18" x14ac:dyDescent="0.25">
      <c r="A1080" s="24" t="s">
        <v>1394</v>
      </c>
      <c r="B1080" s="25">
        <v>2014</v>
      </c>
      <c r="C1080" s="25" t="s">
        <v>2463</v>
      </c>
      <c r="D1080" s="25">
        <v>121</v>
      </c>
      <c r="E1080" s="25">
        <v>6.8</v>
      </c>
      <c r="F1080" s="25" t="str" cm="1">
        <f t="array" ref="F10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0" s="26">
        <v>0.28000000000000003</v>
      </c>
      <c r="H1080" s="27">
        <v>16915</v>
      </c>
    </row>
    <row r="1081" spans="1:8" ht="18" x14ac:dyDescent="0.25">
      <c r="A1081" s="24" t="s">
        <v>2246</v>
      </c>
      <c r="B1081" s="25">
        <v>2014</v>
      </c>
      <c r="C1081" s="25" t="s">
        <v>2463</v>
      </c>
      <c r="D1081" s="25">
        <v>101</v>
      </c>
      <c r="E1081" s="25">
        <v>6.9</v>
      </c>
      <c r="F1081" s="25" t="str" cm="1">
        <f t="array" ref="F10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1" s="26">
        <v>0.22</v>
      </c>
      <c r="H1081" s="27">
        <v>19301</v>
      </c>
    </row>
    <row r="1082" spans="1:8" ht="18" x14ac:dyDescent="0.25">
      <c r="A1082" s="24" t="s">
        <v>1410</v>
      </c>
      <c r="B1082" s="25">
        <v>2014</v>
      </c>
      <c r="C1082" s="25" t="s">
        <v>2462</v>
      </c>
      <c r="D1082" s="25">
        <v>90</v>
      </c>
      <c r="E1082" s="25">
        <v>6.2</v>
      </c>
      <c r="F1082" s="25" t="str" cm="1">
        <f t="array" ref="F10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2" s="26">
        <v>0.03</v>
      </c>
      <c r="H1082" s="27">
        <v>2697</v>
      </c>
    </row>
    <row r="1083" spans="1:8" ht="18" x14ac:dyDescent="0.25">
      <c r="A1083" s="24" t="s">
        <v>1423</v>
      </c>
      <c r="B1083" s="25">
        <v>2014</v>
      </c>
      <c r="C1083" s="25" t="s">
        <v>2462</v>
      </c>
      <c r="D1083" s="25">
        <v>104</v>
      </c>
      <c r="E1083" s="25">
        <v>6.4</v>
      </c>
      <c r="F1083" s="25" t="str" cm="1">
        <f t="array" ref="F10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3" s="26">
        <v>2.46</v>
      </c>
      <c r="H1083" s="27">
        <v>237</v>
      </c>
    </row>
    <row r="1084" spans="1:8" ht="18" x14ac:dyDescent="0.25">
      <c r="A1084" s="24" t="s">
        <v>1466</v>
      </c>
      <c r="B1084" s="25">
        <v>2014</v>
      </c>
      <c r="C1084" s="25" t="s">
        <v>2463</v>
      </c>
      <c r="D1084" s="25">
        <v>94</v>
      </c>
      <c r="E1084" s="25">
        <v>6.8</v>
      </c>
      <c r="F1084" s="25" t="str" cm="1">
        <f t="array" ref="F10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4" s="26">
        <v>2.46</v>
      </c>
      <c r="H1084" s="27">
        <v>1973</v>
      </c>
    </row>
    <row r="1085" spans="1:8" ht="18" x14ac:dyDescent="0.25">
      <c r="A1085" s="24" t="s">
        <v>2247</v>
      </c>
      <c r="B1085" s="25">
        <v>2014</v>
      </c>
      <c r="C1085" s="25" t="s">
        <v>2462</v>
      </c>
      <c r="D1085" s="25">
        <v>116</v>
      </c>
      <c r="E1085" s="25">
        <v>6.8</v>
      </c>
      <c r="F1085" s="25" t="str" cm="1">
        <f t="array" ref="F10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5" s="26">
        <v>14.62</v>
      </c>
      <c r="H1085" s="27">
        <v>17175</v>
      </c>
    </row>
    <row r="1086" spans="1:8" ht="18" x14ac:dyDescent="0.25">
      <c r="A1086" s="24" t="s">
        <v>1470</v>
      </c>
      <c r="B1086" s="25">
        <v>2014</v>
      </c>
      <c r="C1086" s="25" t="s">
        <v>2462</v>
      </c>
      <c r="D1086" s="25">
        <v>77</v>
      </c>
      <c r="E1086" s="25">
        <v>6.3</v>
      </c>
      <c r="F1086" s="25" t="str" cm="1">
        <f t="array" ref="F10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6" s="26">
        <v>2.46</v>
      </c>
      <c r="H1086" s="27">
        <v>607</v>
      </c>
    </row>
    <row r="1087" spans="1:8" ht="18" x14ac:dyDescent="0.25">
      <c r="A1087" s="24" t="s">
        <v>1474</v>
      </c>
      <c r="B1087" s="25">
        <v>2014</v>
      </c>
      <c r="C1087" s="25" t="s">
        <v>2462</v>
      </c>
      <c r="D1087" s="25">
        <v>79</v>
      </c>
      <c r="E1087" s="25">
        <v>7.1</v>
      </c>
      <c r="F1087" s="25" t="str" cm="1">
        <f t="array" ref="F10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7" s="26">
        <v>1.31</v>
      </c>
      <c r="H1087" s="27">
        <v>4570</v>
      </c>
    </row>
    <row r="1088" spans="1:8" ht="18" x14ac:dyDescent="0.25">
      <c r="A1088" s="24" t="s">
        <v>1483</v>
      </c>
      <c r="B1088" s="25">
        <v>2014</v>
      </c>
      <c r="C1088" s="25" t="s">
        <v>2462</v>
      </c>
      <c r="D1088" s="25">
        <v>99</v>
      </c>
      <c r="E1088" s="25">
        <v>5.6</v>
      </c>
      <c r="F1088" s="25" t="str" cm="1">
        <f t="array" ref="F10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8" s="26">
        <v>2.46</v>
      </c>
      <c r="H1088" s="27">
        <v>1115</v>
      </c>
    </row>
    <row r="1089" spans="1:8" ht="18" x14ac:dyDescent="0.25">
      <c r="A1089" s="24" t="s">
        <v>1576</v>
      </c>
      <c r="B1089" s="25">
        <v>2014</v>
      </c>
      <c r="C1089" s="25" t="s">
        <v>2463</v>
      </c>
      <c r="D1089" s="25">
        <v>115</v>
      </c>
      <c r="E1089" s="25">
        <v>6.8</v>
      </c>
      <c r="F1089" s="25" t="str" cm="1">
        <f t="array" ref="F10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89" s="26">
        <v>2.46</v>
      </c>
      <c r="H1089" s="27">
        <v>3008</v>
      </c>
    </row>
    <row r="1090" spans="1:8" ht="18" x14ac:dyDescent="0.25">
      <c r="A1090" s="24" t="s">
        <v>1620</v>
      </c>
      <c r="B1090" s="25">
        <v>2014</v>
      </c>
      <c r="C1090" s="25" t="s">
        <v>2462</v>
      </c>
      <c r="D1090" s="25">
        <v>86</v>
      </c>
      <c r="E1090" s="25">
        <v>6.5</v>
      </c>
      <c r="F1090" s="25" t="str" cm="1">
        <f t="array" ref="F10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0" s="26">
        <v>2.46</v>
      </c>
      <c r="H1090" s="27">
        <v>4617</v>
      </c>
    </row>
    <row r="1091" spans="1:8" ht="18" x14ac:dyDescent="0.25">
      <c r="A1091" s="24" t="s">
        <v>1633</v>
      </c>
      <c r="B1091" s="25">
        <v>2014</v>
      </c>
      <c r="C1091" s="25" t="s">
        <v>2462</v>
      </c>
      <c r="D1091" s="25">
        <v>84</v>
      </c>
      <c r="E1091" s="25">
        <v>5.8</v>
      </c>
      <c r="F1091" s="25" t="str" cm="1">
        <f t="array" ref="F10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1" s="26">
        <v>2.46</v>
      </c>
      <c r="H1091" s="27">
        <v>4003</v>
      </c>
    </row>
    <row r="1092" spans="1:8" ht="18" x14ac:dyDescent="0.25">
      <c r="A1092" s="24" t="s">
        <v>1694</v>
      </c>
      <c r="B1092" s="25">
        <v>2014</v>
      </c>
      <c r="C1092" s="25" t="s">
        <v>2463</v>
      </c>
      <c r="D1092" s="25">
        <v>112</v>
      </c>
      <c r="E1092" s="25">
        <v>6.8</v>
      </c>
      <c r="F1092" s="25" t="str" cm="1">
        <f t="array" ref="F10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2" s="26">
        <v>0.12</v>
      </c>
      <c r="H1092" s="27">
        <v>369</v>
      </c>
    </row>
    <row r="1093" spans="1:8" ht="18" x14ac:dyDescent="0.25">
      <c r="A1093" s="24" t="s">
        <v>1783</v>
      </c>
      <c r="B1093" s="25">
        <v>2014</v>
      </c>
      <c r="C1093" s="25" t="s">
        <v>2462</v>
      </c>
      <c r="D1093" s="25">
        <v>106</v>
      </c>
      <c r="E1093" s="25">
        <v>7.1</v>
      </c>
      <c r="F1093" s="25" t="str" cm="1">
        <f t="array" ref="F10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3" s="26">
        <v>3.5</v>
      </c>
      <c r="H1093" s="27">
        <v>4521</v>
      </c>
    </row>
    <row r="1094" spans="1:8" ht="18" x14ac:dyDescent="0.25">
      <c r="A1094" s="24" t="s">
        <v>1789</v>
      </c>
      <c r="B1094" s="25">
        <v>2014</v>
      </c>
      <c r="C1094" s="25" t="s">
        <v>2462</v>
      </c>
      <c r="D1094" s="25">
        <v>102</v>
      </c>
      <c r="E1094" s="25">
        <v>5</v>
      </c>
      <c r="F1094" s="25" t="str" cm="1">
        <f t="array" ref="F10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4" s="26">
        <v>2.46</v>
      </c>
      <c r="H1094" s="27">
        <v>1990</v>
      </c>
    </row>
    <row r="1095" spans="1:8" ht="18" x14ac:dyDescent="0.25">
      <c r="A1095" s="24" t="s">
        <v>1803</v>
      </c>
      <c r="B1095" s="25">
        <v>2014</v>
      </c>
      <c r="C1095" s="25" t="s">
        <v>2462</v>
      </c>
      <c r="D1095" s="25">
        <v>85</v>
      </c>
      <c r="E1095" s="25">
        <v>4.8</v>
      </c>
      <c r="F1095" s="25" t="str" cm="1">
        <f t="array" ref="F10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5" s="26">
        <v>2.46</v>
      </c>
      <c r="H1095" s="27">
        <v>765</v>
      </c>
    </row>
    <row r="1096" spans="1:8" ht="18" x14ac:dyDescent="0.25">
      <c r="A1096" s="24" t="s">
        <v>1825</v>
      </c>
      <c r="B1096" s="25">
        <v>2014</v>
      </c>
      <c r="C1096" s="25" t="s">
        <v>2462</v>
      </c>
      <c r="D1096" s="25">
        <v>95</v>
      </c>
      <c r="E1096" s="25">
        <v>4.9000000000000004</v>
      </c>
      <c r="F1096" s="25" t="str" cm="1">
        <f t="array" ref="F10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6" s="26">
        <v>2.46</v>
      </c>
      <c r="H1096" s="27">
        <v>3189</v>
      </c>
    </row>
    <row r="1097" spans="1:8" ht="18" x14ac:dyDescent="0.25">
      <c r="A1097" s="24" t="s">
        <v>2248</v>
      </c>
      <c r="B1097" s="25">
        <v>2014</v>
      </c>
      <c r="C1097" s="25" t="s">
        <v>2462</v>
      </c>
      <c r="D1097" s="25">
        <v>88</v>
      </c>
      <c r="E1097" s="25">
        <v>7.4</v>
      </c>
      <c r="F1097" s="25" t="str" cm="1">
        <f t="array" ref="F10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7" s="26">
        <v>0.02</v>
      </c>
      <c r="H1097" s="27">
        <v>888</v>
      </c>
    </row>
    <row r="1098" spans="1:8" ht="18" x14ac:dyDescent="0.25">
      <c r="A1098" s="24" t="s">
        <v>1898</v>
      </c>
      <c r="B1098" s="25">
        <v>2014</v>
      </c>
      <c r="C1098" s="25" t="s">
        <v>2462</v>
      </c>
      <c r="D1098" s="25">
        <v>103</v>
      </c>
      <c r="E1098" s="25">
        <v>6.9</v>
      </c>
      <c r="F1098" s="25" t="str" cm="1">
        <f t="array" ref="F10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8" s="26">
        <v>2.46</v>
      </c>
      <c r="H1098" s="27">
        <v>1908</v>
      </c>
    </row>
    <row r="1099" spans="1:8" ht="18" x14ac:dyDescent="0.25">
      <c r="A1099" s="24" t="s">
        <v>2249</v>
      </c>
      <c r="B1099" s="25">
        <v>2014</v>
      </c>
      <c r="C1099" s="25" t="s">
        <v>2462</v>
      </c>
      <c r="D1099" s="25">
        <v>99</v>
      </c>
      <c r="E1099" s="25">
        <v>5.8</v>
      </c>
      <c r="F1099" s="25" t="str" cm="1">
        <f t="array" ref="F10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099" s="26">
        <v>91.44</v>
      </c>
      <c r="H1099" s="27">
        <v>28153</v>
      </c>
    </row>
    <row r="1100" spans="1:8" ht="18" x14ac:dyDescent="0.25">
      <c r="A1100" s="24" t="s">
        <v>1904</v>
      </c>
      <c r="B1100" s="25">
        <v>2014</v>
      </c>
      <c r="C1100" s="25" t="s">
        <v>2462</v>
      </c>
      <c r="D1100" s="25">
        <v>97</v>
      </c>
      <c r="E1100" s="25">
        <v>7.2</v>
      </c>
      <c r="F1100" s="25" t="str" cm="1">
        <f t="array" ref="F11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0" s="26">
        <v>0.1</v>
      </c>
      <c r="H1100" s="27">
        <v>4461</v>
      </c>
    </row>
    <row r="1101" spans="1:8" ht="18" x14ac:dyDescent="0.25">
      <c r="A1101" s="24" t="s">
        <v>2250</v>
      </c>
      <c r="B1101" s="25">
        <v>2015</v>
      </c>
      <c r="C1101" s="25" t="s">
        <v>2462</v>
      </c>
      <c r="D1101" s="25">
        <v>96</v>
      </c>
      <c r="E1101" s="25">
        <v>5.7</v>
      </c>
      <c r="F1101" s="25" t="str" cm="1">
        <f t="array" ref="F11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1" s="26">
        <v>2.46</v>
      </c>
      <c r="H1101" s="27">
        <v>2049</v>
      </c>
    </row>
    <row r="1102" spans="1:8" ht="18" x14ac:dyDescent="0.25">
      <c r="A1102" s="24" t="s">
        <v>740</v>
      </c>
      <c r="B1102" s="25">
        <v>2015</v>
      </c>
      <c r="C1102" s="25" t="s">
        <v>2462</v>
      </c>
      <c r="D1102" s="25">
        <v>92</v>
      </c>
      <c r="E1102" s="25">
        <v>5.6</v>
      </c>
      <c r="F1102" s="25" t="str" cm="1">
        <f t="array" ref="F11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2" s="26">
        <v>0</v>
      </c>
      <c r="H1102" s="27">
        <v>58859</v>
      </c>
    </row>
    <row r="1103" spans="1:8" ht="18" x14ac:dyDescent="0.25">
      <c r="A1103" s="24" t="s">
        <v>761</v>
      </c>
      <c r="B1103" s="25">
        <v>2015</v>
      </c>
      <c r="C1103" s="25" t="s">
        <v>2463</v>
      </c>
      <c r="D1103" s="25">
        <v>109</v>
      </c>
      <c r="E1103" s="25">
        <v>4.5999999999999996</v>
      </c>
      <c r="F1103" s="25" t="str" cm="1">
        <f t="array" ref="F11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3" s="26">
        <v>2.46</v>
      </c>
      <c r="H1103" s="27">
        <v>3390</v>
      </c>
    </row>
    <row r="1104" spans="1:8" ht="18" x14ac:dyDescent="0.25">
      <c r="A1104" s="24" t="s">
        <v>765</v>
      </c>
      <c r="B1104" s="25">
        <v>2015</v>
      </c>
      <c r="C1104" s="25" t="s">
        <v>2462</v>
      </c>
      <c r="D1104" s="25">
        <v>127</v>
      </c>
      <c r="E1104" s="25">
        <v>5.3</v>
      </c>
      <c r="F1104" s="25" t="str" cm="1">
        <f t="array" ref="F11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4" s="26">
        <v>47.39</v>
      </c>
      <c r="H1104" s="27">
        <v>192841</v>
      </c>
    </row>
    <row r="1105" spans="1:8" ht="18" x14ac:dyDescent="0.25">
      <c r="A1105" s="24" t="s">
        <v>776</v>
      </c>
      <c r="B1105" s="25">
        <v>2015</v>
      </c>
      <c r="C1105" s="25" t="s">
        <v>2464</v>
      </c>
      <c r="D1105" s="25">
        <v>127</v>
      </c>
      <c r="E1105" s="25">
        <v>5.9</v>
      </c>
      <c r="F1105" s="25" t="str" cm="1">
        <f t="array" ref="F11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5" s="26">
        <v>7.0000000000000007E-2</v>
      </c>
      <c r="H1105" s="27">
        <v>20950</v>
      </c>
    </row>
    <row r="1106" spans="1:8" ht="18" x14ac:dyDescent="0.25">
      <c r="A1106" s="24" t="s">
        <v>779</v>
      </c>
      <c r="B1106" s="25">
        <v>2015</v>
      </c>
      <c r="C1106" s="25" t="s">
        <v>2462</v>
      </c>
      <c r="D1106" s="25">
        <v>91</v>
      </c>
      <c r="E1106" s="25">
        <v>4.7</v>
      </c>
      <c r="F1106" s="25" t="str" cm="1">
        <f t="array" ref="F11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6" s="26">
        <v>35.39</v>
      </c>
      <c r="H1106" s="27">
        <v>44590</v>
      </c>
    </row>
    <row r="1107" spans="1:8" ht="18" x14ac:dyDescent="0.25">
      <c r="A1107" s="24" t="s">
        <v>780</v>
      </c>
      <c r="B1107" s="25">
        <v>2015</v>
      </c>
      <c r="C1107" s="25" t="s">
        <v>2462</v>
      </c>
      <c r="D1107" s="25">
        <v>95</v>
      </c>
      <c r="E1107" s="25">
        <v>6.1</v>
      </c>
      <c r="F1107" s="25" t="str" cm="1">
        <f t="array" ref="F11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7" s="26">
        <v>2.46</v>
      </c>
      <c r="H1107" s="27">
        <v>21479</v>
      </c>
    </row>
    <row r="1108" spans="1:8" ht="18" x14ac:dyDescent="0.25">
      <c r="A1108" s="24" t="s">
        <v>788</v>
      </c>
      <c r="B1108" s="25">
        <v>2015</v>
      </c>
      <c r="C1108" s="25" t="s">
        <v>2462</v>
      </c>
      <c r="D1108" s="25">
        <v>123</v>
      </c>
      <c r="E1108" s="25">
        <v>7</v>
      </c>
      <c r="F1108" s="25" t="str" cm="1">
        <f t="array" ref="F11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8" s="26">
        <v>37.450000000000003</v>
      </c>
      <c r="H1108" s="27">
        <v>87080</v>
      </c>
    </row>
    <row r="1109" spans="1:8" ht="18" x14ac:dyDescent="0.25">
      <c r="A1109" s="24" t="s">
        <v>796</v>
      </c>
      <c r="B1109" s="25">
        <v>2015</v>
      </c>
      <c r="C1109" s="25" t="s">
        <v>2462</v>
      </c>
      <c r="D1109" s="25">
        <v>115</v>
      </c>
      <c r="E1109" s="25">
        <v>6.2</v>
      </c>
      <c r="F1109" s="25" t="str" cm="1">
        <f t="array" ref="F11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09" s="26">
        <v>2.46</v>
      </c>
      <c r="H1109" s="27">
        <v>44935</v>
      </c>
    </row>
    <row r="1110" spans="1:8" ht="18" x14ac:dyDescent="0.25">
      <c r="A1110" s="24" t="s">
        <v>2251</v>
      </c>
      <c r="B1110" s="25">
        <v>2015</v>
      </c>
      <c r="C1110" s="25" t="s">
        <v>2462</v>
      </c>
      <c r="D1110" s="25">
        <v>125</v>
      </c>
      <c r="E1110" s="25">
        <v>4.2</v>
      </c>
      <c r="F1110" s="25" t="str" cm="1">
        <f t="array" ref="F11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0" s="26">
        <v>166.17</v>
      </c>
      <c r="H1110" s="27">
        <v>330856</v>
      </c>
    </row>
    <row r="1111" spans="1:8" ht="18" x14ac:dyDescent="0.25">
      <c r="A1111" s="24" t="s">
        <v>799</v>
      </c>
      <c r="B1111" s="25">
        <v>2015</v>
      </c>
      <c r="C1111" s="25" t="s">
        <v>2462</v>
      </c>
      <c r="D1111" s="25">
        <v>94</v>
      </c>
      <c r="E1111" s="25">
        <v>5.4</v>
      </c>
      <c r="F1111" s="25" t="str" cm="1">
        <f t="array" ref="F11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1" s="26">
        <v>2.46</v>
      </c>
      <c r="H1111" s="27">
        <v>2075</v>
      </c>
    </row>
    <row r="1112" spans="1:8" ht="18" x14ac:dyDescent="0.25">
      <c r="A1112" s="24" t="s">
        <v>800</v>
      </c>
      <c r="B1112" s="25">
        <v>2015</v>
      </c>
      <c r="C1112" s="25" t="s">
        <v>2462</v>
      </c>
      <c r="D1112" s="25">
        <v>96</v>
      </c>
      <c r="E1112" s="25">
        <v>4.2</v>
      </c>
      <c r="F1112" s="25" t="str" cm="1">
        <f t="array" ref="F11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2" s="26">
        <v>2.46</v>
      </c>
      <c r="H1112" s="27">
        <v>16945</v>
      </c>
    </row>
    <row r="1113" spans="1:8" ht="18" x14ac:dyDescent="0.25">
      <c r="A1113" s="24" t="s">
        <v>806</v>
      </c>
      <c r="B1113" s="25">
        <v>2015</v>
      </c>
      <c r="C1113" s="25" t="s">
        <v>2462</v>
      </c>
      <c r="D1113" s="25">
        <v>133</v>
      </c>
      <c r="E1113" s="25">
        <v>5.5</v>
      </c>
      <c r="F1113" s="25" t="str" cm="1">
        <f t="array" ref="F11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3" s="26">
        <v>7.1</v>
      </c>
      <c r="H1113" s="27">
        <v>63099</v>
      </c>
    </row>
    <row r="1114" spans="1:8" ht="18" x14ac:dyDescent="0.25">
      <c r="A1114" s="24" t="s">
        <v>817</v>
      </c>
      <c r="B1114" s="25">
        <v>2015</v>
      </c>
      <c r="C1114" s="25" t="s">
        <v>2462</v>
      </c>
      <c r="D1114" s="25">
        <v>95</v>
      </c>
      <c r="E1114" s="25">
        <v>5.6</v>
      </c>
      <c r="F1114" s="25" t="str" cm="1">
        <f t="array" ref="F11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4" s="26">
        <v>0.19</v>
      </c>
      <c r="H1114" s="27">
        <v>46078</v>
      </c>
    </row>
    <row r="1115" spans="1:8" ht="18" x14ac:dyDescent="0.25">
      <c r="A1115" s="24" t="s">
        <v>2252</v>
      </c>
      <c r="B1115" s="25">
        <v>2015</v>
      </c>
      <c r="C1115" s="25" t="s">
        <v>2464</v>
      </c>
      <c r="D1115" s="25">
        <v>129</v>
      </c>
      <c r="E1115" s="25">
        <v>7.4</v>
      </c>
      <c r="F1115" s="25" t="str" cm="1">
        <f t="array" ref="F11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5" s="26">
        <v>44.47</v>
      </c>
      <c r="H1115" s="27">
        <v>41291</v>
      </c>
    </row>
    <row r="1116" spans="1:8" ht="18" x14ac:dyDescent="0.25">
      <c r="A1116" s="24" t="s">
        <v>2253</v>
      </c>
      <c r="B1116" s="25">
        <v>2015</v>
      </c>
      <c r="C1116" s="25" t="s">
        <v>2462</v>
      </c>
      <c r="D1116" s="25">
        <v>112</v>
      </c>
      <c r="E1116" s="25">
        <v>7.2</v>
      </c>
      <c r="F1116" s="25" t="str" cm="1">
        <f t="array" ref="F11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6" s="26">
        <v>42.48</v>
      </c>
      <c r="H1116" s="27">
        <v>196317</v>
      </c>
    </row>
    <row r="1117" spans="1:8" ht="18" x14ac:dyDescent="0.25">
      <c r="A1117" s="24" t="s">
        <v>833</v>
      </c>
      <c r="B1117" s="25">
        <v>2015</v>
      </c>
      <c r="C1117" s="25" t="s">
        <v>2462</v>
      </c>
      <c r="D1117" s="25">
        <v>114</v>
      </c>
      <c r="E1117" s="25">
        <v>7.2</v>
      </c>
      <c r="F1117" s="25" t="str" cm="1">
        <f t="array" ref="F11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7" s="26">
        <v>3.61</v>
      </c>
      <c r="H1117" s="27">
        <v>11684</v>
      </c>
    </row>
    <row r="1118" spans="1:8" ht="18" x14ac:dyDescent="0.25">
      <c r="A1118" s="24" t="s">
        <v>843</v>
      </c>
      <c r="B1118" s="25">
        <v>2015</v>
      </c>
      <c r="C1118" s="25" t="s">
        <v>2462</v>
      </c>
      <c r="D1118" s="25">
        <v>114</v>
      </c>
      <c r="E1118" s="25">
        <v>6.6</v>
      </c>
      <c r="F1118" s="25" t="str" cm="1">
        <f t="array" ref="F11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8" s="26">
        <v>26.46</v>
      </c>
      <c r="H1118" s="27">
        <v>113591</v>
      </c>
    </row>
    <row r="1119" spans="1:8" ht="18" x14ac:dyDescent="0.25">
      <c r="A1119" s="24" t="s">
        <v>844</v>
      </c>
      <c r="B1119" s="25">
        <v>2015</v>
      </c>
      <c r="C1119" s="25" t="s">
        <v>2462</v>
      </c>
      <c r="D1119" s="25">
        <v>83</v>
      </c>
      <c r="E1119" s="25">
        <v>5.2</v>
      </c>
      <c r="F1119" s="25" t="str" cm="1">
        <f t="array" ref="F11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19" s="26">
        <v>25.8</v>
      </c>
      <c r="H1119" s="27">
        <v>45552</v>
      </c>
    </row>
    <row r="1120" spans="1:8" ht="18" x14ac:dyDescent="0.25">
      <c r="A1120" s="24" t="s">
        <v>847</v>
      </c>
      <c r="B1120" s="25">
        <v>2015</v>
      </c>
      <c r="C1120" s="25" t="s">
        <v>2462</v>
      </c>
      <c r="D1120" s="25">
        <v>120</v>
      </c>
      <c r="E1120" s="25">
        <v>6.8</v>
      </c>
      <c r="F1120" s="25" t="str" cm="1">
        <f t="array" ref="F11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0" s="26">
        <v>31.57</v>
      </c>
      <c r="H1120" s="27">
        <v>264981</v>
      </c>
    </row>
    <row r="1121" spans="1:8" ht="18" x14ac:dyDescent="0.25">
      <c r="A1121" s="24" t="s">
        <v>848</v>
      </c>
      <c r="B1121" s="25">
        <v>2015</v>
      </c>
      <c r="C1121" s="25" t="s">
        <v>2462</v>
      </c>
      <c r="D1121" s="25">
        <v>96</v>
      </c>
      <c r="E1121" s="25">
        <v>5.6</v>
      </c>
      <c r="F1121" s="25" t="str" cm="1">
        <f t="array" ref="F11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1" s="26">
        <v>2.46</v>
      </c>
      <c r="H1121" s="27">
        <v>35276</v>
      </c>
    </row>
    <row r="1122" spans="1:8" ht="18" x14ac:dyDescent="0.25">
      <c r="A1122" s="24" t="s">
        <v>861</v>
      </c>
      <c r="B1122" s="25">
        <v>2015</v>
      </c>
      <c r="C1122" s="25" t="s">
        <v>2462</v>
      </c>
      <c r="D1122" s="25">
        <v>106</v>
      </c>
      <c r="E1122" s="25">
        <v>7</v>
      </c>
      <c r="F1122" s="25" t="str" cm="1">
        <f t="array" ref="F11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2" s="26">
        <v>5.35</v>
      </c>
      <c r="H1122" s="27">
        <v>32812</v>
      </c>
    </row>
    <row r="1123" spans="1:8" ht="18" x14ac:dyDescent="0.25">
      <c r="A1123" s="24" t="s">
        <v>867</v>
      </c>
      <c r="B1123" s="25">
        <v>2015</v>
      </c>
      <c r="C1123" s="25" t="s">
        <v>2462</v>
      </c>
      <c r="D1123" s="25">
        <v>100</v>
      </c>
      <c r="E1123" s="25">
        <v>4.8</v>
      </c>
      <c r="F1123" s="25" t="str" cm="1">
        <f t="array" ref="F11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3" s="26">
        <v>2.46</v>
      </c>
      <c r="H1123" s="27">
        <v>3867</v>
      </c>
    </row>
    <row r="1124" spans="1:8" ht="18" x14ac:dyDescent="0.25">
      <c r="A1124" s="24" t="s">
        <v>2254</v>
      </c>
      <c r="B1124" s="25">
        <v>2015</v>
      </c>
      <c r="C1124" s="25" t="s">
        <v>2462</v>
      </c>
      <c r="D1124" s="25">
        <v>109</v>
      </c>
      <c r="E1124" s="25">
        <v>7.3</v>
      </c>
      <c r="F1124" s="25" t="str" cm="1">
        <f t="array" ref="F11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4" s="26">
        <v>33.31</v>
      </c>
      <c r="H1124" s="27">
        <v>62045</v>
      </c>
    </row>
    <row r="1125" spans="1:8" ht="18" x14ac:dyDescent="0.25">
      <c r="A1125" s="24" t="s">
        <v>875</v>
      </c>
      <c r="B1125" s="25">
        <v>2015</v>
      </c>
      <c r="C1125" s="25" t="s">
        <v>2462</v>
      </c>
      <c r="D1125" s="25">
        <v>119</v>
      </c>
      <c r="E1125" s="25">
        <v>6.2</v>
      </c>
      <c r="F1125" s="25" t="str" cm="1">
        <f t="array" ref="F11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5" s="26">
        <v>130.18</v>
      </c>
      <c r="H1125" s="27">
        <v>249902</v>
      </c>
    </row>
    <row r="1126" spans="1:8" ht="18" x14ac:dyDescent="0.25">
      <c r="A1126" s="24" t="s">
        <v>880</v>
      </c>
      <c r="B1126" s="25">
        <v>2015</v>
      </c>
      <c r="C1126" s="25" t="s">
        <v>2462</v>
      </c>
      <c r="D1126" s="25">
        <v>105</v>
      </c>
      <c r="E1126" s="25">
        <v>5.5</v>
      </c>
      <c r="F1126" s="25" t="str" cm="1">
        <f t="array" ref="F11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6" s="26">
        <v>0.1</v>
      </c>
      <c r="H1126" s="27">
        <v>7609</v>
      </c>
    </row>
    <row r="1127" spans="1:8" ht="18" x14ac:dyDescent="0.25">
      <c r="A1127" s="24" t="s">
        <v>2255</v>
      </c>
      <c r="B1127" s="25">
        <v>2015</v>
      </c>
      <c r="C1127" s="25" t="s">
        <v>2462</v>
      </c>
      <c r="D1127" s="25">
        <v>132</v>
      </c>
      <c r="E1127" s="25">
        <v>7.5</v>
      </c>
      <c r="F1127" s="25" t="str" cm="1">
        <f t="array" ref="F11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7" s="26">
        <v>2.46</v>
      </c>
      <c r="H1127" s="27">
        <v>31642</v>
      </c>
    </row>
    <row r="1128" spans="1:8" ht="18" x14ac:dyDescent="0.25">
      <c r="A1128" s="24" t="s">
        <v>886</v>
      </c>
      <c r="B1128" s="25">
        <v>2015</v>
      </c>
      <c r="C1128" s="25" t="s">
        <v>2462</v>
      </c>
      <c r="D1128" s="25">
        <v>105</v>
      </c>
      <c r="E1128" s="25">
        <v>6.9</v>
      </c>
      <c r="F1128" s="25" t="str" cm="1">
        <f t="array" ref="F11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8" s="26">
        <v>201.15</v>
      </c>
      <c r="H1128" s="27">
        <v>186922</v>
      </c>
    </row>
    <row r="1129" spans="1:8" ht="18" x14ac:dyDescent="0.25">
      <c r="A1129" s="24" t="s">
        <v>887</v>
      </c>
      <c r="B1129" s="25">
        <v>2015</v>
      </c>
      <c r="C1129" s="25" t="s">
        <v>2462</v>
      </c>
      <c r="D1129" s="25">
        <v>100</v>
      </c>
      <c r="E1129" s="25">
        <v>4.9000000000000004</v>
      </c>
      <c r="F1129" s="25" t="str" cm="1">
        <f t="array" ref="F11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29" s="26">
        <v>2.46</v>
      </c>
      <c r="H1129" s="27">
        <v>1319</v>
      </c>
    </row>
    <row r="1130" spans="1:8" ht="18" x14ac:dyDescent="0.25">
      <c r="A1130" s="24" t="s">
        <v>890</v>
      </c>
      <c r="B1130" s="25">
        <v>2015</v>
      </c>
      <c r="C1130" s="25" t="s">
        <v>2462</v>
      </c>
      <c r="D1130" s="25">
        <v>137</v>
      </c>
      <c r="E1130" s="25">
        <v>7.1</v>
      </c>
      <c r="F1130" s="25" t="str" cm="1">
        <f t="array" ref="F11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0" s="26">
        <v>353.01</v>
      </c>
      <c r="H1130" s="27">
        <v>408496</v>
      </c>
    </row>
    <row r="1131" spans="1:8" ht="18" x14ac:dyDescent="0.25">
      <c r="A1131" s="24" t="s">
        <v>891</v>
      </c>
      <c r="B1131" s="25">
        <v>2015</v>
      </c>
      <c r="C1131" s="25" t="s">
        <v>2462</v>
      </c>
      <c r="D1131" s="25">
        <v>98</v>
      </c>
      <c r="E1131" s="25">
        <v>5.5</v>
      </c>
      <c r="F1131" s="25" t="str" cm="1">
        <f t="array" ref="F11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1" s="26">
        <v>2.46</v>
      </c>
      <c r="H1131" s="27">
        <v>16300</v>
      </c>
    </row>
    <row r="1132" spans="1:8" ht="18" x14ac:dyDescent="0.25">
      <c r="A1132" s="24" t="s">
        <v>892</v>
      </c>
      <c r="B1132" s="25">
        <v>2015</v>
      </c>
      <c r="C1132" s="25" t="s">
        <v>2462</v>
      </c>
      <c r="D1132" s="25">
        <v>115</v>
      </c>
      <c r="E1132" s="25">
        <v>5.8</v>
      </c>
      <c r="F1132" s="25" t="str" cm="1">
        <f t="array" ref="F11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2" s="26">
        <v>10.64</v>
      </c>
      <c r="H1132" s="27">
        <v>42959</v>
      </c>
    </row>
    <row r="1133" spans="1:8" ht="18" x14ac:dyDescent="0.25">
      <c r="A1133" s="24" t="s">
        <v>897</v>
      </c>
      <c r="B1133" s="25">
        <v>2015</v>
      </c>
      <c r="C1133" s="25" t="s">
        <v>2462</v>
      </c>
      <c r="D1133" s="25">
        <v>107</v>
      </c>
      <c r="E1133" s="25">
        <v>5.5</v>
      </c>
      <c r="F1133" s="25" t="str" cm="1">
        <f t="array" ref="F11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3" s="26">
        <v>7.61</v>
      </c>
      <c r="H1133" s="27">
        <v>75889</v>
      </c>
    </row>
    <row r="1134" spans="1:8" ht="18" x14ac:dyDescent="0.25">
      <c r="A1134" s="24" t="s">
        <v>898</v>
      </c>
      <c r="B1134" s="25">
        <v>2015</v>
      </c>
      <c r="C1134" s="25" t="s">
        <v>2463</v>
      </c>
      <c r="D1134" s="25">
        <v>137</v>
      </c>
      <c r="E1134" s="25">
        <v>6.4</v>
      </c>
      <c r="F1134" s="25" t="str" cm="1">
        <f t="array" ref="F11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4" s="26">
        <v>1.21</v>
      </c>
      <c r="H1134" s="27">
        <v>74772</v>
      </c>
    </row>
    <row r="1135" spans="1:8" ht="18" x14ac:dyDescent="0.25">
      <c r="A1135" s="24" t="s">
        <v>2256</v>
      </c>
      <c r="B1135" s="25">
        <v>2015</v>
      </c>
      <c r="C1135" s="25" t="s">
        <v>2462</v>
      </c>
      <c r="D1135" s="25">
        <v>119</v>
      </c>
      <c r="E1135" s="25">
        <v>7.1</v>
      </c>
      <c r="F1135" s="25" t="str" cm="1">
        <f t="array" ref="F11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5" s="26">
        <v>12.23</v>
      </c>
      <c r="H1135" s="27">
        <v>52527</v>
      </c>
    </row>
    <row r="1136" spans="1:8" ht="18" x14ac:dyDescent="0.25">
      <c r="A1136" s="24" t="s">
        <v>902</v>
      </c>
      <c r="B1136" s="25">
        <v>2015</v>
      </c>
      <c r="C1136" s="25" t="s">
        <v>2462</v>
      </c>
      <c r="D1136" s="25">
        <v>99</v>
      </c>
      <c r="E1136" s="25">
        <v>6.3</v>
      </c>
      <c r="F1136" s="25" t="str" cm="1">
        <f t="array" ref="F11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6" s="26">
        <v>4.72</v>
      </c>
      <c r="H1136" s="27">
        <v>71638</v>
      </c>
    </row>
    <row r="1137" spans="1:8" ht="18" x14ac:dyDescent="0.25">
      <c r="A1137" s="24" t="s">
        <v>903</v>
      </c>
      <c r="B1137" s="25">
        <v>2015</v>
      </c>
      <c r="C1137" s="25" t="s">
        <v>2462</v>
      </c>
      <c r="D1137" s="25">
        <v>87</v>
      </c>
      <c r="E1137" s="25">
        <v>5.0999999999999996</v>
      </c>
      <c r="F1137" s="25" t="str" cm="1">
        <f t="array" ref="F11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7" s="26">
        <v>34.51</v>
      </c>
      <c r="H1137" s="27">
        <v>53382</v>
      </c>
    </row>
    <row r="1138" spans="1:8" ht="18" x14ac:dyDescent="0.25">
      <c r="A1138" s="24" t="s">
        <v>904</v>
      </c>
      <c r="B1138" s="25">
        <v>2015</v>
      </c>
      <c r="C1138" s="25" t="s">
        <v>2462</v>
      </c>
      <c r="D1138" s="25">
        <v>112</v>
      </c>
      <c r="E1138" s="25">
        <v>6.1</v>
      </c>
      <c r="F1138" s="25" t="str" cm="1">
        <f t="array" ref="F11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8" s="26">
        <v>2.46</v>
      </c>
      <c r="H1138" s="27">
        <v>4291</v>
      </c>
    </row>
    <row r="1139" spans="1:8" ht="18" x14ac:dyDescent="0.25">
      <c r="A1139" s="24" t="s">
        <v>905</v>
      </c>
      <c r="B1139" s="25">
        <v>2015</v>
      </c>
      <c r="C1139" s="25" t="s">
        <v>2464</v>
      </c>
      <c r="D1139" s="25">
        <v>119</v>
      </c>
      <c r="E1139" s="25">
        <v>5.5</v>
      </c>
      <c r="F1139" s="25" t="str" cm="1">
        <f t="array" ref="F11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39" s="26">
        <v>2.46</v>
      </c>
      <c r="H1139" s="27">
        <v>2029</v>
      </c>
    </row>
    <row r="1140" spans="1:8" ht="18" x14ac:dyDescent="0.25">
      <c r="A1140" s="24" t="s">
        <v>907</v>
      </c>
      <c r="B1140" s="25">
        <v>2015</v>
      </c>
      <c r="C1140" s="25" t="s">
        <v>2462</v>
      </c>
      <c r="D1140" s="25">
        <v>120</v>
      </c>
      <c r="E1140" s="25">
        <v>8.1</v>
      </c>
      <c r="F1140" s="25" t="str" cm="1">
        <f t="array" ref="F11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0" s="26">
        <v>154.06</v>
      </c>
      <c r="H1140" s="27">
        <v>1055728</v>
      </c>
    </row>
    <row r="1141" spans="1:8" ht="18" x14ac:dyDescent="0.25">
      <c r="A1141" s="24" t="s">
        <v>2257</v>
      </c>
      <c r="B1141" s="25">
        <v>2015</v>
      </c>
      <c r="C1141" s="25" t="s">
        <v>2462</v>
      </c>
      <c r="D1141" s="25">
        <v>94</v>
      </c>
      <c r="E1141" s="25">
        <v>5.6</v>
      </c>
      <c r="F1141" s="25" t="str" cm="1">
        <f t="array" ref="F11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1" s="26">
        <v>0</v>
      </c>
      <c r="H1141" s="27">
        <v>11754</v>
      </c>
    </row>
    <row r="1142" spans="1:8" ht="18" x14ac:dyDescent="0.25">
      <c r="A1142" s="24" t="s">
        <v>909</v>
      </c>
      <c r="B1142" s="25">
        <v>2015</v>
      </c>
      <c r="C1142" s="25" t="s">
        <v>2464</v>
      </c>
      <c r="D1142" s="25">
        <v>84</v>
      </c>
      <c r="E1142" s="25">
        <v>6.9</v>
      </c>
      <c r="F1142" s="25" t="str" cm="1">
        <f t="array" ref="F11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2" s="26">
        <v>0.23</v>
      </c>
      <c r="H1142" s="27">
        <v>47237</v>
      </c>
    </row>
    <row r="1143" spans="1:8" ht="18" x14ac:dyDescent="0.25">
      <c r="A1143" s="24" t="s">
        <v>910</v>
      </c>
      <c r="B1143" s="25">
        <v>2015</v>
      </c>
      <c r="C1143" s="25" t="s">
        <v>2462</v>
      </c>
      <c r="D1143" s="25">
        <v>112</v>
      </c>
      <c r="E1143" s="25">
        <v>5.8</v>
      </c>
      <c r="F1143" s="25" t="str" cm="1">
        <f t="array" ref="F11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3" s="26">
        <v>2.46</v>
      </c>
      <c r="H1143" s="27">
        <v>17663</v>
      </c>
    </row>
    <row r="1144" spans="1:8" ht="18" x14ac:dyDescent="0.25">
      <c r="A1144" s="24" t="s">
        <v>911</v>
      </c>
      <c r="B1144" s="25">
        <v>2015</v>
      </c>
      <c r="C1144" s="25" t="s">
        <v>2462</v>
      </c>
      <c r="D1144" s="25">
        <v>124</v>
      </c>
      <c r="E1144" s="25">
        <v>6.9</v>
      </c>
      <c r="F1144" s="25" t="str" cm="1">
        <f t="array" ref="F11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4" s="26">
        <v>652.27</v>
      </c>
      <c r="H1144" s="27">
        <v>668605</v>
      </c>
    </row>
    <row r="1145" spans="1:8" ht="18" x14ac:dyDescent="0.25">
      <c r="A1145" s="24" t="s">
        <v>916</v>
      </c>
      <c r="B1145" s="25">
        <v>2015</v>
      </c>
      <c r="C1145" s="25" t="s">
        <v>2463</v>
      </c>
      <c r="D1145" s="25">
        <v>112</v>
      </c>
      <c r="E1145" s="25">
        <v>5.2</v>
      </c>
      <c r="F1145" s="25" t="str" cm="1">
        <f t="array" ref="F11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5" s="26">
        <v>0.02</v>
      </c>
      <c r="H1145" s="27">
        <v>9909</v>
      </c>
    </row>
    <row r="1146" spans="1:8" ht="18" x14ac:dyDescent="0.25">
      <c r="A1146" s="24" t="s">
        <v>917</v>
      </c>
      <c r="B1146" s="25">
        <v>2015</v>
      </c>
      <c r="C1146" s="25" t="s">
        <v>2462</v>
      </c>
      <c r="D1146" s="25">
        <v>94</v>
      </c>
      <c r="E1146" s="25">
        <v>5.8</v>
      </c>
      <c r="F1146" s="25" t="str" cm="1">
        <f t="array" ref="F11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6" s="26">
        <v>0.04</v>
      </c>
      <c r="H1146" s="27">
        <v>8954</v>
      </c>
    </row>
    <row r="1147" spans="1:8" ht="18" x14ac:dyDescent="0.25">
      <c r="A1147" s="24" t="s">
        <v>920</v>
      </c>
      <c r="B1147" s="25">
        <v>2015</v>
      </c>
      <c r="C1147" s="25" t="s">
        <v>2462</v>
      </c>
      <c r="D1147" s="25">
        <v>87</v>
      </c>
      <c r="E1147" s="25">
        <v>5.0999999999999996</v>
      </c>
      <c r="F1147" s="25" t="str" cm="1">
        <f t="array" ref="F11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7" s="26">
        <v>2.46</v>
      </c>
      <c r="H1147" s="27">
        <v>5202</v>
      </c>
    </row>
    <row r="1148" spans="1:8" ht="18" x14ac:dyDescent="0.25">
      <c r="A1148" s="24" t="s">
        <v>923</v>
      </c>
      <c r="B1148" s="25">
        <v>2015</v>
      </c>
      <c r="C1148" s="25" t="s">
        <v>2463</v>
      </c>
      <c r="D1148" s="25">
        <v>105</v>
      </c>
      <c r="E1148" s="25">
        <v>5.4</v>
      </c>
      <c r="F1148" s="25" t="str" cm="1">
        <f t="array" ref="F11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8" s="26">
        <v>20.99</v>
      </c>
      <c r="H1148" s="27">
        <v>69932</v>
      </c>
    </row>
    <row r="1149" spans="1:8" ht="18" x14ac:dyDescent="0.25">
      <c r="A1149" s="24" t="s">
        <v>928</v>
      </c>
      <c r="B1149" s="25">
        <v>2015</v>
      </c>
      <c r="C1149" s="25" t="s">
        <v>2464</v>
      </c>
      <c r="D1149" s="25">
        <v>113</v>
      </c>
      <c r="E1149" s="25">
        <v>6.2</v>
      </c>
      <c r="F1149" s="25" t="str" cm="1">
        <f t="array" ref="F11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49" s="26">
        <v>2.46</v>
      </c>
      <c r="H1149" s="27">
        <v>47259</v>
      </c>
    </row>
    <row r="1150" spans="1:8" ht="18" x14ac:dyDescent="0.25">
      <c r="A1150" s="24" t="s">
        <v>934</v>
      </c>
      <c r="B1150" s="25">
        <v>2015</v>
      </c>
      <c r="C1150" s="25" t="s">
        <v>2462</v>
      </c>
      <c r="D1150" s="25">
        <v>106</v>
      </c>
      <c r="E1150" s="25">
        <v>6.8</v>
      </c>
      <c r="F1150" s="25" t="str" cm="1">
        <f t="array" ref="F11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0" s="26">
        <v>0.3</v>
      </c>
      <c r="H1150" s="27">
        <v>7680</v>
      </c>
    </row>
    <row r="1151" spans="1:8" ht="18" x14ac:dyDescent="0.25">
      <c r="A1151" s="24" t="s">
        <v>2258</v>
      </c>
      <c r="B1151" s="25">
        <v>2015</v>
      </c>
      <c r="C1151" s="25" t="s">
        <v>2464</v>
      </c>
      <c r="D1151" s="25">
        <v>92</v>
      </c>
      <c r="E1151" s="25">
        <v>6.7</v>
      </c>
      <c r="F1151" s="25" t="str" cm="1">
        <f t="array" ref="F11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1" s="26">
        <v>7.43</v>
      </c>
      <c r="H1151" s="27">
        <v>7841</v>
      </c>
    </row>
    <row r="1152" spans="1:8" ht="18" x14ac:dyDescent="0.25">
      <c r="A1152" s="24" t="s">
        <v>946</v>
      </c>
      <c r="B1152" s="25">
        <v>2015</v>
      </c>
      <c r="C1152" s="25" t="s">
        <v>2462</v>
      </c>
      <c r="D1152" s="25">
        <v>147</v>
      </c>
      <c r="E1152" s="25">
        <v>7.8</v>
      </c>
      <c r="F1152" s="25" t="str" cm="1">
        <f t="array" ref="F11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2" s="26">
        <v>161.19999999999999</v>
      </c>
      <c r="H1152" s="27">
        <v>213821</v>
      </c>
    </row>
    <row r="1153" spans="1:8" ht="18" x14ac:dyDescent="0.25">
      <c r="A1153" s="24" t="s">
        <v>2259</v>
      </c>
      <c r="B1153" s="25">
        <v>2015</v>
      </c>
      <c r="C1153" s="25" t="s">
        <v>2462</v>
      </c>
      <c r="D1153" s="25">
        <v>98</v>
      </c>
      <c r="E1153" s="25">
        <v>6</v>
      </c>
      <c r="F1153" s="25" t="str" cm="1">
        <f t="array" ref="F11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3" s="26">
        <v>0.12</v>
      </c>
      <c r="H1153" s="27">
        <v>32242</v>
      </c>
    </row>
    <row r="1154" spans="1:8" ht="18" x14ac:dyDescent="0.25">
      <c r="A1154" s="24" t="s">
        <v>2260</v>
      </c>
      <c r="B1154" s="25">
        <v>2015</v>
      </c>
      <c r="C1154" s="25" t="s">
        <v>2463</v>
      </c>
      <c r="D1154" s="25">
        <v>117</v>
      </c>
      <c r="E1154" s="25">
        <v>6.5</v>
      </c>
      <c r="F1154" s="25" t="str" cm="1">
        <f t="array" ref="F11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4" s="26">
        <v>12.28</v>
      </c>
      <c r="H1154" s="27">
        <v>102863</v>
      </c>
    </row>
    <row r="1155" spans="1:8" ht="18" x14ac:dyDescent="0.25">
      <c r="A1155" s="24" t="s">
        <v>2261</v>
      </c>
      <c r="B1155" s="25">
        <v>2015</v>
      </c>
      <c r="C1155" s="25" t="s">
        <v>2462</v>
      </c>
      <c r="D1155" s="25">
        <v>141</v>
      </c>
      <c r="E1155" s="25">
        <v>7.3</v>
      </c>
      <c r="F1155" s="25" t="str" cm="1">
        <f t="array" ref="F11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5" s="26">
        <v>459.01</v>
      </c>
      <c r="H1155" s="27">
        <v>904606</v>
      </c>
    </row>
    <row r="1156" spans="1:8" ht="18" x14ac:dyDescent="0.25">
      <c r="A1156" s="24" t="s">
        <v>954</v>
      </c>
      <c r="B1156" s="25">
        <v>2015</v>
      </c>
      <c r="C1156" s="25" t="s">
        <v>2462</v>
      </c>
      <c r="D1156" s="25">
        <v>97</v>
      </c>
      <c r="E1156" s="25">
        <v>6.5</v>
      </c>
      <c r="F1156" s="25" t="str" cm="1">
        <f t="array" ref="F11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6" s="26">
        <v>0.2</v>
      </c>
      <c r="H1156" s="27">
        <v>10905</v>
      </c>
    </row>
    <row r="1157" spans="1:8" ht="18" x14ac:dyDescent="0.25">
      <c r="A1157" s="24" t="s">
        <v>955</v>
      </c>
      <c r="B1157" s="25">
        <v>2015</v>
      </c>
      <c r="C1157" s="25" t="s">
        <v>2462</v>
      </c>
      <c r="D1157" s="25">
        <v>100</v>
      </c>
      <c r="E1157" s="25">
        <v>4.3</v>
      </c>
      <c r="F1157" s="25" t="str" cm="1">
        <f t="array" ref="F11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7" s="26">
        <v>56.12</v>
      </c>
      <c r="H1157" s="27">
        <v>173776</v>
      </c>
    </row>
    <row r="1158" spans="1:8" ht="18" x14ac:dyDescent="0.25">
      <c r="A1158" s="24" t="s">
        <v>2262</v>
      </c>
      <c r="B1158" s="25">
        <v>2015</v>
      </c>
      <c r="C1158" s="25" t="s">
        <v>2463</v>
      </c>
      <c r="D1158" s="25">
        <v>128</v>
      </c>
      <c r="E1158" s="25">
        <v>6.9</v>
      </c>
      <c r="F1158" s="25" t="str" cm="1">
        <f t="array" ref="F11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8" s="26">
        <v>0.49</v>
      </c>
      <c r="H1158" s="27">
        <v>6427</v>
      </c>
    </row>
    <row r="1159" spans="1:8" ht="18" x14ac:dyDescent="0.25">
      <c r="A1159" s="24" t="s">
        <v>958</v>
      </c>
      <c r="B1159" s="25">
        <v>2015</v>
      </c>
      <c r="C1159" s="25" t="s">
        <v>2462</v>
      </c>
      <c r="D1159" s="25">
        <v>90</v>
      </c>
      <c r="E1159" s="25">
        <v>5.8</v>
      </c>
      <c r="F1159" s="25" t="str" cm="1">
        <f t="array" ref="F11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59" s="26">
        <v>2.46</v>
      </c>
      <c r="H1159" s="27">
        <v>3228</v>
      </c>
    </row>
    <row r="1160" spans="1:8" ht="18" x14ac:dyDescent="0.25">
      <c r="A1160" s="24" t="s">
        <v>964</v>
      </c>
      <c r="B1160" s="25">
        <v>2015</v>
      </c>
      <c r="C1160" s="25" t="s">
        <v>2462</v>
      </c>
      <c r="D1160" s="25">
        <v>104</v>
      </c>
      <c r="E1160" s="25">
        <v>6.2</v>
      </c>
      <c r="F1160" s="25" t="str" cm="1">
        <f t="array" ref="F11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0" s="26">
        <v>2.46</v>
      </c>
      <c r="H1160" s="27">
        <v>23569</v>
      </c>
    </row>
    <row r="1161" spans="1:8" ht="18" x14ac:dyDescent="0.25">
      <c r="A1161" s="24" t="s">
        <v>971</v>
      </c>
      <c r="B1161" s="25">
        <v>2015</v>
      </c>
      <c r="C1161" s="25" t="s">
        <v>2462</v>
      </c>
      <c r="D1161" s="25">
        <v>114</v>
      </c>
      <c r="E1161" s="25">
        <v>6.1</v>
      </c>
      <c r="F1161" s="25" t="str" cm="1">
        <f t="array" ref="F11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1" s="26">
        <v>155.19</v>
      </c>
      <c r="H1161" s="27">
        <v>251655</v>
      </c>
    </row>
    <row r="1162" spans="1:8" ht="18" x14ac:dyDescent="0.25">
      <c r="A1162" s="24" t="s">
        <v>2263</v>
      </c>
      <c r="B1162" s="25">
        <v>2015</v>
      </c>
      <c r="C1162" s="25" t="s">
        <v>2463</v>
      </c>
      <c r="D1162" s="25">
        <v>115</v>
      </c>
      <c r="E1162" s="25">
        <v>5.6</v>
      </c>
      <c r="F1162" s="25" t="str" cm="1">
        <f t="array" ref="F11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2" s="26">
        <v>66.010000000000005</v>
      </c>
      <c r="H1162" s="27">
        <v>60603</v>
      </c>
    </row>
    <row r="1163" spans="1:8" ht="18" x14ac:dyDescent="0.25">
      <c r="A1163" s="24" t="s">
        <v>973</v>
      </c>
      <c r="B1163" s="25">
        <v>2015</v>
      </c>
      <c r="C1163" s="25" t="s">
        <v>2462</v>
      </c>
      <c r="D1163" s="25">
        <v>99</v>
      </c>
      <c r="E1163" s="25">
        <v>6</v>
      </c>
      <c r="F1163" s="25" t="str" cm="1">
        <f t="array" ref="F11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3" s="26">
        <v>2.46</v>
      </c>
      <c r="H1163" s="27">
        <v>2528</v>
      </c>
    </row>
    <row r="1164" spans="1:8" ht="18" x14ac:dyDescent="0.25">
      <c r="A1164" s="24" t="s">
        <v>2264</v>
      </c>
      <c r="B1164" s="25">
        <v>2015</v>
      </c>
      <c r="C1164" s="25" t="s">
        <v>2462</v>
      </c>
      <c r="D1164" s="25">
        <v>92</v>
      </c>
      <c r="E1164" s="25">
        <v>5.0999999999999996</v>
      </c>
      <c r="F1164" s="25" t="str" cm="1">
        <f t="array" ref="F11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4" s="26">
        <v>2.46</v>
      </c>
      <c r="H1164" s="27">
        <v>14337</v>
      </c>
    </row>
    <row r="1165" spans="1:8" ht="18" x14ac:dyDescent="0.25">
      <c r="A1165" s="24" t="s">
        <v>976</v>
      </c>
      <c r="B1165" s="25">
        <v>2015</v>
      </c>
      <c r="C1165" s="25" t="s">
        <v>2462</v>
      </c>
      <c r="D1165" s="25">
        <v>122</v>
      </c>
      <c r="E1165" s="25">
        <v>6.5</v>
      </c>
      <c r="F1165" s="25" t="str" cm="1">
        <f t="array" ref="F11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5" s="26">
        <v>33.08</v>
      </c>
      <c r="H1165" s="27">
        <v>35375</v>
      </c>
    </row>
    <row r="1166" spans="1:8" ht="18" x14ac:dyDescent="0.25">
      <c r="A1166" s="24" t="s">
        <v>2265</v>
      </c>
      <c r="B1166" s="25">
        <v>2015</v>
      </c>
      <c r="C1166" s="25" t="s">
        <v>2462</v>
      </c>
      <c r="D1166" s="25">
        <v>105</v>
      </c>
      <c r="E1166" s="25">
        <v>7.7</v>
      </c>
      <c r="F1166" s="25" t="str" cm="1">
        <f t="array" ref="F11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6" s="26">
        <v>6.74</v>
      </c>
      <c r="H1166" s="27">
        <v>136558</v>
      </c>
    </row>
    <row r="1167" spans="1:8" ht="18" x14ac:dyDescent="0.25">
      <c r="A1167" s="24" t="s">
        <v>981</v>
      </c>
      <c r="B1167" s="25">
        <v>2015</v>
      </c>
      <c r="C1167" s="25" t="s">
        <v>2462</v>
      </c>
      <c r="D1167" s="25">
        <v>131</v>
      </c>
      <c r="E1167" s="25">
        <v>7.4</v>
      </c>
      <c r="F1167" s="25" t="str" cm="1">
        <f t="array" ref="F11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7" s="26">
        <v>195.04</v>
      </c>
      <c r="H1167" s="27">
        <v>402662</v>
      </c>
    </row>
    <row r="1168" spans="1:8" ht="18" x14ac:dyDescent="0.25">
      <c r="A1168" s="24" t="s">
        <v>982</v>
      </c>
      <c r="B1168" s="25">
        <v>2015</v>
      </c>
      <c r="C1168" s="25" t="s">
        <v>2462</v>
      </c>
      <c r="D1168" s="25">
        <v>130</v>
      </c>
      <c r="E1168" s="25">
        <v>6.4</v>
      </c>
      <c r="F1168" s="25" t="str" cm="1">
        <f t="array" ref="F11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8" s="26">
        <v>93.44</v>
      </c>
      <c r="H1168" s="27">
        <v>188668</v>
      </c>
    </row>
    <row r="1169" spans="1:8" ht="18" x14ac:dyDescent="0.25">
      <c r="A1169" s="24" t="s">
        <v>983</v>
      </c>
      <c r="B1169" s="25">
        <v>2015</v>
      </c>
      <c r="C1169" s="25" t="s">
        <v>2464</v>
      </c>
      <c r="D1169" s="25">
        <v>113</v>
      </c>
      <c r="E1169" s="25">
        <v>5.9</v>
      </c>
      <c r="F1169" s="25" t="str" cm="1">
        <f t="array" ref="F11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69" s="26">
        <v>0.06</v>
      </c>
      <c r="H1169" s="27">
        <v>5936</v>
      </c>
    </row>
    <row r="1170" spans="1:8" ht="18" x14ac:dyDescent="0.25">
      <c r="A1170" s="24" t="s">
        <v>985</v>
      </c>
      <c r="B1170" s="25">
        <v>2015</v>
      </c>
      <c r="C1170" s="25" t="s">
        <v>2462</v>
      </c>
      <c r="D1170" s="25">
        <v>112</v>
      </c>
      <c r="E1170" s="25">
        <v>5.8</v>
      </c>
      <c r="F1170" s="25" t="str" cm="1">
        <f t="array" ref="F11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0" s="26">
        <v>2.46</v>
      </c>
      <c r="H1170" s="27">
        <v>8009</v>
      </c>
    </row>
    <row r="1171" spans="1:8" ht="18" x14ac:dyDescent="0.25">
      <c r="A1171" s="24" t="s">
        <v>989</v>
      </c>
      <c r="B1171" s="25">
        <v>2015</v>
      </c>
      <c r="C1171" s="25" t="s">
        <v>2463</v>
      </c>
      <c r="D1171" s="25">
        <v>124</v>
      </c>
      <c r="E1171" s="25">
        <v>7.3</v>
      </c>
      <c r="F1171" s="25" t="str" cm="1">
        <f t="array" ref="F11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1" s="26">
        <v>52.42</v>
      </c>
      <c r="H1171" s="27">
        <v>252691</v>
      </c>
    </row>
    <row r="1172" spans="1:8" ht="18" x14ac:dyDescent="0.25">
      <c r="A1172" s="24" t="s">
        <v>990</v>
      </c>
      <c r="B1172" s="25">
        <v>2015</v>
      </c>
      <c r="C1172" s="25" t="s">
        <v>2462</v>
      </c>
      <c r="D1172" s="25">
        <v>103</v>
      </c>
      <c r="E1172" s="25">
        <v>7.2</v>
      </c>
      <c r="F1172" s="25" t="str" cm="1">
        <f t="array" ref="F11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2" s="26">
        <v>17.510000000000002</v>
      </c>
      <c r="H1172" s="27">
        <v>88541</v>
      </c>
    </row>
    <row r="1173" spans="1:8" ht="18" x14ac:dyDescent="0.25">
      <c r="A1173" s="24" t="s">
        <v>994</v>
      </c>
      <c r="B1173" s="25">
        <v>2015</v>
      </c>
      <c r="C1173" s="25" t="s">
        <v>2462</v>
      </c>
      <c r="D1173" s="25">
        <v>109</v>
      </c>
      <c r="E1173" s="25">
        <v>6.2</v>
      </c>
      <c r="F1173" s="25" t="str" cm="1">
        <f t="array" ref="F11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3" s="26">
        <v>32</v>
      </c>
      <c r="H1173" s="27">
        <v>106807</v>
      </c>
    </row>
    <row r="1174" spans="1:8" ht="18" x14ac:dyDescent="0.25">
      <c r="A1174" s="24" t="s">
        <v>995</v>
      </c>
      <c r="B1174" s="25">
        <v>2015</v>
      </c>
      <c r="C1174" s="25" t="s">
        <v>2462</v>
      </c>
      <c r="D1174" s="25">
        <v>90</v>
      </c>
      <c r="E1174" s="25">
        <v>4.4000000000000004</v>
      </c>
      <c r="F1174" s="25" t="str" cm="1">
        <f t="array" ref="F11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4" s="26">
        <v>2.46</v>
      </c>
      <c r="H1174" s="27">
        <v>1636</v>
      </c>
    </row>
    <row r="1175" spans="1:8" ht="18" x14ac:dyDescent="0.25">
      <c r="A1175" s="24" t="s">
        <v>997</v>
      </c>
      <c r="B1175" s="25">
        <v>2015</v>
      </c>
      <c r="C1175" s="25" t="s">
        <v>2462</v>
      </c>
      <c r="D1175" s="25">
        <v>104</v>
      </c>
      <c r="E1175" s="25">
        <v>6.8</v>
      </c>
      <c r="F1175" s="25" t="str" cm="1">
        <f t="array" ref="F11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5" s="26">
        <v>17.739999999999998</v>
      </c>
      <c r="H1175" s="27">
        <v>66703</v>
      </c>
    </row>
    <row r="1176" spans="1:8" ht="18" x14ac:dyDescent="0.25">
      <c r="A1176" s="24" t="s">
        <v>2266</v>
      </c>
      <c r="B1176" s="25">
        <v>2015</v>
      </c>
      <c r="C1176" s="25" t="s">
        <v>2462</v>
      </c>
      <c r="D1176" s="25">
        <v>85</v>
      </c>
      <c r="E1176" s="25">
        <v>5.8</v>
      </c>
      <c r="F1176" s="25" t="str" cm="1">
        <f t="array" ref="F11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6" s="26">
        <v>0.12</v>
      </c>
      <c r="H1176" s="27">
        <v>6673</v>
      </c>
    </row>
    <row r="1177" spans="1:8" ht="18" x14ac:dyDescent="0.25">
      <c r="A1177" s="24" t="s">
        <v>999</v>
      </c>
      <c r="B1177" s="25">
        <v>2015</v>
      </c>
      <c r="C1177" s="25" t="s">
        <v>2463</v>
      </c>
      <c r="D1177" s="25">
        <v>85</v>
      </c>
      <c r="E1177" s="25">
        <v>6.8</v>
      </c>
      <c r="F1177" s="25" t="str" cm="1">
        <f t="array" ref="F11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7" s="26">
        <v>2.46</v>
      </c>
      <c r="H1177" s="27">
        <v>10911</v>
      </c>
    </row>
    <row r="1178" spans="1:8" ht="18" x14ac:dyDescent="0.25">
      <c r="A1178" s="24" t="s">
        <v>1000</v>
      </c>
      <c r="B1178" s="25">
        <v>2015</v>
      </c>
      <c r="C1178" s="25" t="s">
        <v>2462</v>
      </c>
      <c r="D1178" s="25">
        <v>100</v>
      </c>
      <c r="E1178" s="25">
        <v>6.4</v>
      </c>
      <c r="F1178" s="25" t="str" cm="1">
        <f t="array" ref="F11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8" s="26">
        <v>0</v>
      </c>
      <c r="H1178" s="27">
        <v>16091</v>
      </c>
    </row>
    <row r="1179" spans="1:8" ht="18" x14ac:dyDescent="0.25">
      <c r="A1179" s="24" t="s">
        <v>2267</v>
      </c>
      <c r="B1179" s="25">
        <v>2015</v>
      </c>
      <c r="C1179" s="25" t="s">
        <v>2462</v>
      </c>
      <c r="D1179" s="25">
        <v>91</v>
      </c>
      <c r="E1179" s="25">
        <v>6.8</v>
      </c>
      <c r="F1179" s="25" t="str" cm="1">
        <f t="array" ref="F11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79" s="26">
        <v>0.11</v>
      </c>
      <c r="H1179" s="27">
        <v>6688</v>
      </c>
    </row>
    <row r="1180" spans="1:8" ht="18" x14ac:dyDescent="0.25">
      <c r="A1180" s="24" t="s">
        <v>2268</v>
      </c>
      <c r="B1180" s="25">
        <v>2015</v>
      </c>
      <c r="C1180" s="25" t="s">
        <v>2462</v>
      </c>
      <c r="D1180" s="25">
        <v>134</v>
      </c>
      <c r="E1180" s="25">
        <v>6.4</v>
      </c>
      <c r="F1180" s="25" t="str" cm="1">
        <f t="array" ref="F11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0" s="26">
        <v>0.08</v>
      </c>
      <c r="H1180" s="27">
        <v>30567</v>
      </c>
    </row>
    <row r="1181" spans="1:8" ht="18" x14ac:dyDescent="0.25">
      <c r="A1181" s="24" t="s">
        <v>1003</v>
      </c>
      <c r="B1181" s="25">
        <v>2015</v>
      </c>
      <c r="C1181" s="25" t="s">
        <v>2462</v>
      </c>
      <c r="D1181" s="25">
        <v>90</v>
      </c>
      <c r="E1181" s="25">
        <v>4.7</v>
      </c>
      <c r="F1181" s="25" t="str" cm="1">
        <f t="array" ref="F11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1" s="26">
        <v>2.46</v>
      </c>
      <c r="H1181" s="27">
        <v>5782</v>
      </c>
    </row>
    <row r="1182" spans="1:8" ht="18" x14ac:dyDescent="0.25">
      <c r="A1182" s="24" t="s">
        <v>1004</v>
      </c>
      <c r="B1182" s="25">
        <v>2015</v>
      </c>
      <c r="C1182" s="25" t="s">
        <v>2464</v>
      </c>
      <c r="D1182" s="25">
        <v>94</v>
      </c>
      <c r="E1182" s="25">
        <v>6.2</v>
      </c>
      <c r="F1182" s="25" t="str" cm="1">
        <f t="array" ref="F11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2" s="26">
        <v>65.209999999999994</v>
      </c>
      <c r="H1182" s="27">
        <v>146584</v>
      </c>
    </row>
    <row r="1183" spans="1:8" ht="18" x14ac:dyDescent="0.25">
      <c r="A1183" s="24" t="s">
        <v>1005</v>
      </c>
      <c r="B1183" s="25">
        <v>2015</v>
      </c>
      <c r="C1183" s="25" t="s">
        <v>2462</v>
      </c>
      <c r="D1183" s="25">
        <v>104</v>
      </c>
      <c r="E1183" s="25">
        <v>6.5</v>
      </c>
      <c r="F1183" s="25" t="str" cm="1">
        <f t="array" ref="F11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3" s="26">
        <v>32.36</v>
      </c>
      <c r="H1183" s="27">
        <v>82297</v>
      </c>
    </row>
    <row r="1184" spans="1:8" ht="18" x14ac:dyDescent="0.25">
      <c r="A1184" s="24" t="s">
        <v>1006</v>
      </c>
      <c r="B1184" s="25">
        <v>2015</v>
      </c>
      <c r="C1184" s="25" t="s">
        <v>2464</v>
      </c>
      <c r="D1184" s="25">
        <v>118</v>
      </c>
      <c r="E1184" s="25">
        <v>5.4</v>
      </c>
      <c r="F1184" s="25" t="str" cm="1">
        <f t="array" ref="F11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4" s="26">
        <v>2.46</v>
      </c>
      <c r="H1184" s="27">
        <v>6376</v>
      </c>
    </row>
    <row r="1185" spans="1:8" ht="18" x14ac:dyDescent="0.25">
      <c r="A1185" s="24" t="s">
        <v>1008</v>
      </c>
      <c r="B1185" s="25">
        <v>2015</v>
      </c>
      <c r="C1185" s="25" t="s">
        <v>2462</v>
      </c>
      <c r="D1185" s="25">
        <v>96</v>
      </c>
      <c r="E1185" s="25">
        <v>5.7</v>
      </c>
      <c r="F1185" s="25" t="str" cm="1">
        <f t="array" ref="F11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5" s="26">
        <v>22.47</v>
      </c>
      <c r="H1185" s="27">
        <v>94442</v>
      </c>
    </row>
    <row r="1186" spans="1:8" ht="18" x14ac:dyDescent="0.25">
      <c r="A1186" s="24" t="s">
        <v>2269</v>
      </c>
      <c r="B1186" s="25">
        <v>2015</v>
      </c>
      <c r="C1186" s="25" t="s">
        <v>2462</v>
      </c>
      <c r="D1186" s="25">
        <v>94</v>
      </c>
      <c r="E1186" s="25">
        <v>5.3</v>
      </c>
      <c r="F1186" s="25" t="str" cm="1">
        <f t="array" ref="F11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6" s="26">
        <v>2.46</v>
      </c>
      <c r="H1186" s="27">
        <v>10567</v>
      </c>
    </row>
    <row r="1187" spans="1:8" ht="18" x14ac:dyDescent="0.25">
      <c r="A1187" s="24" t="s">
        <v>1012</v>
      </c>
      <c r="B1187" s="25">
        <v>2015</v>
      </c>
      <c r="C1187" s="25" t="s">
        <v>2462</v>
      </c>
      <c r="D1187" s="25">
        <v>106</v>
      </c>
      <c r="E1187" s="25">
        <v>7.3</v>
      </c>
      <c r="F1187" s="25" t="str" cm="1">
        <f t="array" ref="F11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7" s="26">
        <v>6.42</v>
      </c>
      <c r="H1187" s="27">
        <v>23997</v>
      </c>
    </row>
    <row r="1188" spans="1:8" ht="18" x14ac:dyDescent="0.25">
      <c r="A1188" s="24" t="s">
        <v>1013</v>
      </c>
      <c r="B1188" s="25">
        <v>2015</v>
      </c>
      <c r="C1188" s="25" t="s">
        <v>2463</v>
      </c>
      <c r="D1188" s="25">
        <v>96</v>
      </c>
      <c r="E1188" s="25">
        <v>4.4000000000000004</v>
      </c>
      <c r="F1188" s="25" t="str" cm="1">
        <f t="array" ref="F11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8" s="26">
        <v>2.46</v>
      </c>
      <c r="H1188" s="27">
        <v>1882</v>
      </c>
    </row>
    <row r="1189" spans="1:8" ht="18" x14ac:dyDescent="0.25">
      <c r="A1189" s="24" t="s">
        <v>1014</v>
      </c>
      <c r="B1189" s="25">
        <v>2015</v>
      </c>
      <c r="C1189" s="25" t="s">
        <v>2463</v>
      </c>
      <c r="D1189" s="25">
        <v>108</v>
      </c>
      <c r="E1189" s="25">
        <v>6.4</v>
      </c>
      <c r="F1189" s="25" t="str" cm="1">
        <f t="array" ref="F11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89" s="26">
        <v>0.13</v>
      </c>
      <c r="H1189" s="27">
        <v>25554</v>
      </c>
    </row>
    <row r="1190" spans="1:8" ht="18" x14ac:dyDescent="0.25">
      <c r="A1190" s="24" t="s">
        <v>2270</v>
      </c>
      <c r="B1190" s="25">
        <v>2015</v>
      </c>
      <c r="C1190" s="25" t="s">
        <v>2462</v>
      </c>
      <c r="D1190" s="25">
        <v>119</v>
      </c>
      <c r="E1190" s="25">
        <v>8</v>
      </c>
      <c r="F1190" s="25" t="str" cm="1">
        <f t="array" ref="F11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0" s="26">
        <v>2.46</v>
      </c>
      <c r="H1190" s="27">
        <v>40501</v>
      </c>
    </row>
    <row r="1191" spans="1:8" ht="18" x14ac:dyDescent="0.25">
      <c r="A1191" s="24" t="s">
        <v>2271</v>
      </c>
      <c r="B1191" s="25">
        <v>2015</v>
      </c>
      <c r="C1191" s="25" t="s">
        <v>2462</v>
      </c>
      <c r="D1191" s="25">
        <v>116</v>
      </c>
      <c r="E1191" s="25">
        <v>7.2</v>
      </c>
      <c r="F1191" s="25" t="str" cm="1">
        <f t="array" ref="F11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1" s="26">
        <v>45.45</v>
      </c>
      <c r="H1191" s="27">
        <v>326243</v>
      </c>
    </row>
    <row r="1192" spans="1:8" ht="18" x14ac:dyDescent="0.25">
      <c r="A1192" s="24" t="s">
        <v>1019</v>
      </c>
      <c r="B1192" s="25">
        <v>2015</v>
      </c>
      <c r="C1192" s="25" t="s">
        <v>2462</v>
      </c>
      <c r="D1192" s="25">
        <v>87</v>
      </c>
      <c r="E1192" s="25">
        <v>4.8</v>
      </c>
      <c r="F1192" s="25" t="str" cm="1">
        <f t="array" ref="F11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2" s="26">
        <v>2.46</v>
      </c>
      <c r="H1192" s="27">
        <v>559</v>
      </c>
    </row>
    <row r="1193" spans="1:8" ht="18" x14ac:dyDescent="0.25">
      <c r="A1193" s="24" t="s">
        <v>1020</v>
      </c>
      <c r="B1193" s="25">
        <v>2015</v>
      </c>
      <c r="C1193" s="25" t="s">
        <v>2462</v>
      </c>
      <c r="D1193" s="25">
        <v>105</v>
      </c>
      <c r="E1193" s="25">
        <v>6.3</v>
      </c>
      <c r="F1193" s="25" t="str" cm="1">
        <f t="array" ref="F11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3" s="26">
        <v>0.61</v>
      </c>
      <c r="H1193" s="27">
        <v>17703</v>
      </c>
    </row>
    <row r="1194" spans="1:8" ht="18" x14ac:dyDescent="0.25">
      <c r="A1194" s="24" t="s">
        <v>1021</v>
      </c>
      <c r="B1194" s="25">
        <v>2015</v>
      </c>
      <c r="C1194" s="25" t="s">
        <v>2462</v>
      </c>
      <c r="D1194" s="25">
        <v>135</v>
      </c>
      <c r="E1194" s="25">
        <v>6.1</v>
      </c>
      <c r="F1194" s="25" t="str" cm="1">
        <f t="array" ref="F11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4" s="26">
        <v>2.46</v>
      </c>
      <c r="H1194" s="27">
        <v>64779</v>
      </c>
    </row>
    <row r="1195" spans="1:8" ht="18" x14ac:dyDescent="0.25">
      <c r="A1195" s="24" t="s">
        <v>2272</v>
      </c>
      <c r="B1195" s="25">
        <v>2015</v>
      </c>
      <c r="C1195" s="25" t="s">
        <v>2462</v>
      </c>
      <c r="D1195" s="25">
        <v>96</v>
      </c>
      <c r="E1195" s="25">
        <v>5.5</v>
      </c>
      <c r="F1195" s="25" t="str" cm="1">
        <f t="array" ref="F11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5" s="26">
        <v>0.05</v>
      </c>
      <c r="H1195" s="27">
        <v>2991</v>
      </c>
    </row>
    <row r="1196" spans="1:8" ht="18" x14ac:dyDescent="0.25">
      <c r="A1196" s="24" t="s">
        <v>1026</v>
      </c>
      <c r="B1196" s="25">
        <v>2015</v>
      </c>
      <c r="C1196" s="25" t="s">
        <v>2462</v>
      </c>
      <c r="D1196" s="25">
        <v>96</v>
      </c>
      <c r="E1196" s="25">
        <v>6.2</v>
      </c>
      <c r="F1196" s="25" t="str" cm="1">
        <f t="array" ref="F11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6" s="26">
        <v>3.59</v>
      </c>
      <c r="H1196" s="27">
        <v>40062</v>
      </c>
    </row>
    <row r="1197" spans="1:8" ht="18" x14ac:dyDescent="0.25">
      <c r="A1197" s="24" t="s">
        <v>1027</v>
      </c>
      <c r="B1197" s="25">
        <v>2015</v>
      </c>
      <c r="C1197" s="25" t="s">
        <v>2462</v>
      </c>
      <c r="D1197" s="25">
        <v>132</v>
      </c>
      <c r="E1197" s="25">
        <v>7.1</v>
      </c>
      <c r="F1197" s="25" t="str" cm="1">
        <f t="array" ref="F11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7" s="26">
        <v>2.46</v>
      </c>
      <c r="H1197" s="27">
        <v>113299</v>
      </c>
    </row>
    <row r="1198" spans="1:8" ht="18" x14ac:dyDescent="0.25">
      <c r="A1198" s="24" t="s">
        <v>2273</v>
      </c>
      <c r="B1198" s="25">
        <v>2015</v>
      </c>
      <c r="C1198" s="25" t="s">
        <v>2462</v>
      </c>
      <c r="D1198" s="25">
        <v>101</v>
      </c>
      <c r="E1198" s="25">
        <v>6</v>
      </c>
      <c r="F1198" s="25" t="str" cm="1">
        <f t="array" ref="F11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8" s="26">
        <v>26.82</v>
      </c>
      <c r="H1198" s="27">
        <v>24514</v>
      </c>
    </row>
    <row r="1199" spans="1:8" ht="18" x14ac:dyDescent="0.25">
      <c r="A1199" s="24" t="s">
        <v>1032</v>
      </c>
      <c r="B1199" s="25">
        <v>2015</v>
      </c>
      <c r="C1199" s="25" t="s">
        <v>2462</v>
      </c>
      <c r="D1199" s="25">
        <v>84</v>
      </c>
      <c r="E1199" s="25">
        <v>6.7</v>
      </c>
      <c r="F1199" s="25" t="str" cm="1">
        <f t="array" ref="F11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199" s="26">
        <v>2.46</v>
      </c>
      <c r="H1199" s="27">
        <v>28256</v>
      </c>
    </row>
    <row r="1200" spans="1:8" ht="18" x14ac:dyDescent="0.25">
      <c r="A1200" s="24" t="s">
        <v>1033</v>
      </c>
      <c r="B1200" s="25">
        <v>2015</v>
      </c>
      <c r="C1200" s="25" t="s">
        <v>2463</v>
      </c>
      <c r="D1200" s="25">
        <v>120</v>
      </c>
      <c r="E1200" s="25">
        <v>7</v>
      </c>
      <c r="F1200" s="25" t="str" cm="1">
        <f t="array" ref="F12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0" s="26">
        <v>110.83</v>
      </c>
      <c r="H1200" s="27">
        <v>254796</v>
      </c>
    </row>
    <row r="1201" spans="1:8" ht="18" x14ac:dyDescent="0.25">
      <c r="A1201" s="24" t="s">
        <v>1034</v>
      </c>
      <c r="B1201" s="25">
        <v>2015</v>
      </c>
      <c r="C1201" s="25" t="s">
        <v>2462</v>
      </c>
      <c r="D1201" s="25">
        <v>108</v>
      </c>
      <c r="E1201" s="25">
        <v>7</v>
      </c>
      <c r="F1201" s="25" t="str" cm="1">
        <f t="array" ref="F12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1" s="26">
        <v>43.77</v>
      </c>
      <c r="H1201" s="27">
        <v>167779</v>
      </c>
    </row>
    <row r="1202" spans="1:8" ht="18" x14ac:dyDescent="0.25">
      <c r="A1202" s="24" t="s">
        <v>1036</v>
      </c>
      <c r="B1202" s="25">
        <v>2015</v>
      </c>
      <c r="C1202" s="25" t="s">
        <v>2462</v>
      </c>
      <c r="D1202" s="25">
        <v>85</v>
      </c>
      <c r="E1202" s="25">
        <v>6</v>
      </c>
      <c r="F1202" s="25" t="str" cm="1">
        <f t="array" ref="F12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2" s="26">
        <v>2.46</v>
      </c>
      <c r="H1202" s="27">
        <v>46772</v>
      </c>
    </row>
    <row r="1203" spans="1:8" ht="18" x14ac:dyDescent="0.25">
      <c r="A1203" s="24" t="s">
        <v>1037</v>
      </c>
      <c r="B1203" s="25">
        <v>2015</v>
      </c>
      <c r="C1203" s="25" t="s">
        <v>2462</v>
      </c>
      <c r="D1203" s="25">
        <v>119</v>
      </c>
      <c r="E1203" s="25">
        <v>6.5</v>
      </c>
      <c r="F1203" s="25" t="str" cm="1">
        <f t="array" ref="F12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3" s="26">
        <v>31.09</v>
      </c>
      <c r="H1203" s="27">
        <v>155905</v>
      </c>
    </row>
    <row r="1204" spans="1:8" ht="18" x14ac:dyDescent="0.25">
      <c r="A1204" s="24" t="s">
        <v>1038</v>
      </c>
      <c r="B1204" s="25">
        <v>2015</v>
      </c>
      <c r="C1204" s="25" t="s">
        <v>2462</v>
      </c>
      <c r="D1204" s="25">
        <v>98</v>
      </c>
      <c r="E1204" s="25">
        <v>6.6</v>
      </c>
      <c r="F1204" s="25" t="str" cm="1">
        <f t="array" ref="F12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4" s="26">
        <v>0.16</v>
      </c>
      <c r="H1204" s="27">
        <v>19411</v>
      </c>
    </row>
    <row r="1205" spans="1:8" ht="18" x14ac:dyDescent="0.25">
      <c r="A1205" s="24" t="s">
        <v>1039</v>
      </c>
      <c r="B1205" s="25">
        <v>2015</v>
      </c>
      <c r="C1205" s="25" t="s">
        <v>2462</v>
      </c>
      <c r="D1205" s="25">
        <v>144</v>
      </c>
      <c r="E1205" s="25">
        <v>8</v>
      </c>
      <c r="F1205" s="25" t="str" cm="1">
        <f t="array" ref="F12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5" s="26">
        <v>228.43</v>
      </c>
      <c r="H1205" s="27">
        <v>900381</v>
      </c>
    </row>
    <row r="1206" spans="1:8" ht="18" x14ac:dyDescent="0.25">
      <c r="A1206" s="24" t="s">
        <v>1041</v>
      </c>
      <c r="B1206" s="25">
        <v>2015</v>
      </c>
      <c r="C1206" s="25" t="s">
        <v>2463</v>
      </c>
      <c r="D1206" s="25">
        <v>96</v>
      </c>
      <c r="E1206" s="25">
        <v>5.5</v>
      </c>
      <c r="F1206" s="25" t="str" cm="1">
        <f t="array" ref="F12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6" s="26">
        <v>2.46</v>
      </c>
      <c r="H1206" s="27">
        <v>16646</v>
      </c>
    </row>
    <row r="1207" spans="1:8" ht="18" x14ac:dyDescent="0.25">
      <c r="A1207" s="24" t="s">
        <v>1043</v>
      </c>
      <c r="B1207" s="25">
        <v>2015</v>
      </c>
      <c r="C1207" s="25" t="s">
        <v>2462</v>
      </c>
      <c r="D1207" s="25">
        <v>117</v>
      </c>
      <c r="E1207" s="25">
        <v>7.3</v>
      </c>
      <c r="F1207" s="25" t="str" cm="1">
        <f t="array" ref="F12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7" s="26">
        <v>180.2</v>
      </c>
      <c r="H1207" s="27">
        <v>707890</v>
      </c>
    </row>
    <row r="1208" spans="1:8" ht="18" x14ac:dyDescent="0.25">
      <c r="A1208" s="24" t="s">
        <v>1044</v>
      </c>
      <c r="B1208" s="25">
        <v>2015</v>
      </c>
      <c r="C1208" s="25" t="s">
        <v>2462</v>
      </c>
      <c r="D1208" s="25">
        <v>121</v>
      </c>
      <c r="E1208" s="25">
        <v>7.1</v>
      </c>
      <c r="F1208" s="25" t="str" cm="1">
        <f t="array" ref="F12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8" s="26">
        <v>43.48</v>
      </c>
      <c r="H1208" s="27">
        <v>227505</v>
      </c>
    </row>
    <row r="1209" spans="1:8" ht="18" x14ac:dyDescent="0.25">
      <c r="A1209" s="24" t="s">
        <v>1045</v>
      </c>
      <c r="B1209" s="25">
        <v>2015</v>
      </c>
      <c r="C1209" s="25" t="s">
        <v>2462</v>
      </c>
      <c r="D1209" s="25">
        <v>97</v>
      </c>
      <c r="E1209" s="25">
        <v>7.6</v>
      </c>
      <c r="F1209" s="25" t="str" cm="1">
        <f t="array" ref="F12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09" s="26">
        <v>0.85</v>
      </c>
      <c r="H1209" s="27">
        <v>40347</v>
      </c>
    </row>
    <row r="1210" spans="1:8" ht="18" x14ac:dyDescent="0.25">
      <c r="A1210" s="24" t="s">
        <v>1047</v>
      </c>
      <c r="B1210" s="25">
        <v>2015</v>
      </c>
      <c r="C1210" s="25" t="s">
        <v>2462</v>
      </c>
      <c r="D1210" s="25">
        <v>91</v>
      </c>
      <c r="E1210" s="25">
        <v>6.4</v>
      </c>
      <c r="F1210" s="25" t="str" cm="1">
        <f t="array" ref="F12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0" s="26">
        <v>336.05</v>
      </c>
      <c r="H1210" s="27">
        <v>253065</v>
      </c>
    </row>
    <row r="1211" spans="1:8" ht="18" x14ac:dyDescent="0.25">
      <c r="A1211" s="24" t="s">
        <v>1048</v>
      </c>
      <c r="B1211" s="25">
        <v>2015</v>
      </c>
      <c r="C1211" s="25" t="s">
        <v>2462</v>
      </c>
      <c r="D1211" s="25">
        <v>103</v>
      </c>
      <c r="E1211" s="25">
        <v>6.7</v>
      </c>
      <c r="F1211" s="25" t="str" cm="1">
        <f t="array" ref="F12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1" s="26">
        <v>27.29</v>
      </c>
      <c r="H1211" s="27">
        <v>91184</v>
      </c>
    </row>
    <row r="1212" spans="1:8" ht="18" x14ac:dyDescent="0.25">
      <c r="A1212" s="24" t="s">
        <v>1051</v>
      </c>
      <c r="B1212" s="25">
        <v>2015</v>
      </c>
      <c r="C1212" s="25" t="s">
        <v>2462</v>
      </c>
      <c r="D1212" s="25">
        <v>120</v>
      </c>
      <c r="E1212" s="25">
        <v>6.9</v>
      </c>
      <c r="F1212" s="25" t="str" cm="1">
        <f t="array" ref="F12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2" s="26">
        <v>0.02</v>
      </c>
      <c r="H1212" s="27">
        <v>3785</v>
      </c>
    </row>
    <row r="1213" spans="1:8" ht="18" x14ac:dyDescent="0.25">
      <c r="A1213" s="24" t="s">
        <v>2274</v>
      </c>
      <c r="B1213" s="25">
        <v>2015</v>
      </c>
      <c r="C1213" s="25" t="s">
        <v>2462</v>
      </c>
      <c r="D1213" s="25">
        <v>121</v>
      </c>
      <c r="E1213" s="25">
        <v>4.9000000000000004</v>
      </c>
      <c r="F1213" s="25" t="str" cm="1">
        <f t="array" ref="F12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3" s="26">
        <v>4.7</v>
      </c>
      <c r="H1213" s="27">
        <v>4232</v>
      </c>
    </row>
    <row r="1214" spans="1:8" ht="18" x14ac:dyDescent="0.25">
      <c r="A1214" s="24" t="s">
        <v>1053</v>
      </c>
      <c r="B1214" s="25">
        <v>2015</v>
      </c>
      <c r="C1214" s="25" t="s">
        <v>2462</v>
      </c>
      <c r="D1214" s="25">
        <v>128</v>
      </c>
      <c r="E1214" s="25">
        <v>7.8</v>
      </c>
      <c r="F1214" s="25" t="str" cm="1">
        <f t="array" ref="F12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4" s="26">
        <v>8.41</v>
      </c>
      <c r="H1214" s="27">
        <v>54110</v>
      </c>
    </row>
    <row r="1215" spans="1:8" ht="18" x14ac:dyDescent="0.25">
      <c r="A1215" s="24" t="s">
        <v>1054</v>
      </c>
      <c r="B1215" s="25">
        <v>2015</v>
      </c>
      <c r="C1215" s="25" t="s">
        <v>2462</v>
      </c>
      <c r="D1215" s="25">
        <v>131</v>
      </c>
      <c r="E1215" s="25">
        <v>6.3</v>
      </c>
      <c r="F1215" s="25" t="str" cm="1">
        <f t="array" ref="F12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5" s="26">
        <v>81.7</v>
      </c>
      <c r="H1215" s="27">
        <v>267917</v>
      </c>
    </row>
    <row r="1216" spans="1:8" ht="18" x14ac:dyDescent="0.25">
      <c r="A1216" s="24" t="s">
        <v>2275</v>
      </c>
      <c r="B1216" s="25">
        <v>2015</v>
      </c>
      <c r="C1216" s="25" t="s">
        <v>2462</v>
      </c>
      <c r="D1216" s="25">
        <v>137</v>
      </c>
      <c r="E1216" s="25">
        <v>7.7</v>
      </c>
      <c r="F1216" s="25" t="str" cm="1">
        <f t="array" ref="F12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6" s="26">
        <v>0.08</v>
      </c>
      <c r="H1216" s="27">
        <v>85460</v>
      </c>
    </row>
    <row r="1217" spans="1:8" ht="18" x14ac:dyDescent="0.25">
      <c r="A1217" s="24" t="s">
        <v>1057</v>
      </c>
      <c r="B1217" s="25">
        <v>2015</v>
      </c>
      <c r="C1217" s="25" t="s">
        <v>2462</v>
      </c>
      <c r="D1217" s="25">
        <v>105</v>
      </c>
      <c r="E1217" s="25">
        <v>5.8</v>
      </c>
      <c r="F1217" s="25" t="str" cm="1">
        <f t="array" ref="F12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7" s="26">
        <v>2.46</v>
      </c>
      <c r="H1217" s="27">
        <v>4140</v>
      </c>
    </row>
    <row r="1218" spans="1:8" ht="18" x14ac:dyDescent="0.25">
      <c r="A1218" s="24" t="s">
        <v>1058</v>
      </c>
      <c r="B1218" s="25">
        <v>2015</v>
      </c>
      <c r="C1218" s="25" t="s">
        <v>2462</v>
      </c>
      <c r="D1218" s="25">
        <v>94</v>
      </c>
      <c r="E1218" s="25">
        <v>5.8</v>
      </c>
      <c r="F1218" s="25" t="str" cm="1">
        <f t="array" ref="F12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8" s="26">
        <v>2.46</v>
      </c>
      <c r="H1218" s="27">
        <v>4147</v>
      </c>
    </row>
    <row r="1219" spans="1:8" ht="18" x14ac:dyDescent="0.25">
      <c r="A1219" s="24" t="s">
        <v>1060</v>
      </c>
      <c r="B1219" s="25">
        <v>2015</v>
      </c>
      <c r="C1219" s="25" t="s">
        <v>2462</v>
      </c>
      <c r="D1219" s="25">
        <v>123</v>
      </c>
      <c r="E1219" s="25">
        <v>6.9</v>
      </c>
      <c r="F1219" s="25" t="str" cm="1">
        <f t="array" ref="F12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19" s="26">
        <v>62.58</v>
      </c>
      <c r="H1219" s="27">
        <v>189474</v>
      </c>
    </row>
    <row r="1220" spans="1:8" ht="18" x14ac:dyDescent="0.25">
      <c r="A1220" s="24" t="s">
        <v>1061</v>
      </c>
      <c r="B1220" s="25">
        <v>2015</v>
      </c>
      <c r="C1220" s="25" t="s">
        <v>2463</v>
      </c>
      <c r="D1220" s="25">
        <v>90</v>
      </c>
      <c r="E1220" s="25">
        <v>5.0999999999999996</v>
      </c>
      <c r="F1220" s="25" t="str" cm="1">
        <f t="array" ref="F12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0" s="26">
        <v>2.46</v>
      </c>
      <c r="H1220" s="27">
        <v>1786</v>
      </c>
    </row>
    <row r="1221" spans="1:8" ht="18" x14ac:dyDescent="0.25">
      <c r="A1221" s="24" t="s">
        <v>1065</v>
      </c>
      <c r="B1221" s="25">
        <v>2015</v>
      </c>
      <c r="C1221" s="25" t="s">
        <v>2462</v>
      </c>
      <c r="D1221" s="25">
        <v>127</v>
      </c>
      <c r="E1221" s="25">
        <v>6.9</v>
      </c>
      <c r="F1221" s="25" t="str" cm="1">
        <f t="array" ref="F12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1" s="26">
        <v>12.19</v>
      </c>
      <c r="H1221" s="27">
        <v>39294</v>
      </c>
    </row>
    <row r="1222" spans="1:8" ht="18" x14ac:dyDescent="0.25">
      <c r="A1222" s="24" t="s">
        <v>1066</v>
      </c>
      <c r="B1222" s="25">
        <v>2015</v>
      </c>
      <c r="C1222" s="25" t="s">
        <v>2462</v>
      </c>
      <c r="D1222" s="25">
        <v>105</v>
      </c>
      <c r="E1222" s="25">
        <v>6.6</v>
      </c>
      <c r="F1222" s="25" t="str" cm="1">
        <f t="array" ref="F12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2" s="26">
        <v>53.86</v>
      </c>
      <c r="H1222" s="27">
        <v>267781</v>
      </c>
    </row>
    <row r="1223" spans="1:8" ht="18" x14ac:dyDescent="0.25">
      <c r="A1223" s="24" t="s">
        <v>1069</v>
      </c>
      <c r="B1223" s="25">
        <v>2015</v>
      </c>
      <c r="C1223" s="25" t="s">
        <v>2462</v>
      </c>
      <c r="D1223" s="25">
        <v>99</v>
      </c>
      <c r="E1223" s="25">
        <v>4.9000000000000004</v>
      </c>
      <c r="F1223" s="25" t="str" cm="1">
        <f t="array" ref="F12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3" s="26">
        <v>0.04</v>
      </c>
      <c r="H1223" s="27">
        <v>102007</v>
      </c>
    </row>
    <row r="1224" spans="1:8" ht="18" x14ac:dyDescent="0.25">
      <c r="A1224" s="24" t="s">
        <v>1070</v>
      </c>
      <c r="B1224" s="25">
        <v>2015</v>
      </c>
      <c r="C1224" s="25" t="s">
        <v>2462</v>
      </c>
      <c r="D1224" s="25">
        <v>126</v>
      </c>
      <c r="E1224" s="25">
        <v>6.3</v>
      </c>
      <c r="F1224" s="25" t="str" cm="1">
        <f t="array" ref="F12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4" s="26">
        <v>89.76</v>
      </c>
      <c r="H1224" s="27">
        <v>289082</v>
      </c>
    </row>
    <row r="1225" spans="1:8" ht="18" x14ac:dyDescent="0.25">
      <c r="A1225" s="24" t="s">
        <v>1071</v>
      </c>
      <c r="B1225" s="25">
        <v>2015</v>
      </c>
      <c r="C1225" s="25" t="s">
        <v>2462</v>
      </c>
      <c r="D1225" s="25">
        <v>105</v>
      </c>
      <c r="E1225" s="25">
        <v>5.6</v>
      </c>
      <c r="F1225" s="25" t="str" cm="1">
        <f t="array" ref="F12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5" s="26">
        <v>78.75</v>
      </c>
      <c r="H1225" s="27">
        <v>155037</v>
      </c>
    </row>
    <row r="1226" spans="1:8" ht="18" x14ac:dyDescent="0.25">
      <c r="A1226" s="24" t="s">
        <v>1072</v>
      </c>
      <c r="B1226" s="25">
        <v>2015</v>
      </c>
      <c r="C1226" s="25" t="s">
        <v>2462</v>
      </c>
      <c r="D1226" s="25">
        <v>106</v>
      </c>
      <c r="E1226" s="25">
        <v>5.8</v>
      </c>
      <c r="F1226" s="25" t="str" cm="1">
        <f t="array" ref="F12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6" s="26">
        <v>2.46</v>
      </c>
      <c r="H1226" s="27">
        <v>4366</v>
      </c>
    </row>
    <row r="1227" spans="1:8" ht="18" x14ac:dyDescent="0.25">
      <c r="A1227" s="24" t="s">
        <v>1073</v>
      </c>
      <c r="B1227" s="25">
        <v>2015</v>
      </c>
      <c r="C1227" s="25" t="s">
        <v>2462</v>
      </c>
      <c r="D1227" s="25">
        <v>118</v>
      </c>
      <c r="E1227" s="25">
        <v>7.2</v>
      </c>
      <c r="F1227" s="25" t="str" cm="1">
        <f t="array" ref="F12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7" s="26">
        <v>12.71</v>
      </c>
      <c r="H1227" s="27">
        <v>138497</v>
      </c>
    </row>
    <row r="1228" spans="1:8" ht="18" x14ac:dyDescent="0.25">
      <c r="A1228" s="24" t="s">
        <v>2276</v>
      </c>
      <c r="B1228" s="25">
        <v>2015</v>
      </c>
      <c r="C1228" s="25" t="s">
        <v>2462</v>
      </c>
      <c r="D1228" s="25">
        <v>106</v>
      </c>
      <c r="E1228" s="25">
        <v>7.2</v>
      </c>
      <c r="F1228" s="25" t="str" cm="1">
        <f t="array" ref="F12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8" s="26">
        <v>2.99</v>
      </c>
      <c r="H1228" s="27">
        <v>32194</v>
      </c>
    </row>
    <row r="1229" spans="1:8" ht="18" x14ac:dyDescent="0.25">
      <c r="A1229" s="24" t="s">
        <v>2277</v>
      </c>
      <c r="B1229" s="25">
        <v>2015</v>
      </c>
      <c r="C1229" s="25" t="s">
        <v>2462</v>
      </c>
      <c r="D1229" s="25">
        <v>142</v>
      </c>
      <c r="E1229" s="25">
        <v>7.6</v>
      </c>
      <c r="F1229" s="25" t="str" cm="1">
        <f t="array" ref="F12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29" s="26">
        <v>72.31</v>
      </c>
      <c r="H1229" s="27">
        <v>323289</v>
      </c>
    </row>
    <row r="1230" spans="1:8" ht="18" x14ac:dyDescent="0.25">
      <c r="A1230" s="24" t="s">
        <v>1080</v>
      </c>
      <c r="B1230" s="25">
        <v>2015</v>
      </c>
      <c r="C1230" s="25" t="s">
        <v>2462</v>
      </c>
      <c r="D1230" s="25">
        <v>123</v>
      </c>
      <c r="E1230" s="25">
        <v>7.3</v>
      </c>
      <c r="F1230" s="25" t="str" cm="1">
        <f t="array" ref="F12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0" s="26">
        <v>10.14</v>
      </c>
      <c r="H1230" s="27">
        <v>133630</v>
      </c>
    </row>
    <row r="1231" spans="1:8" ht="18" x14ac:dyDescent="0.25">
      <c r="A1231" s="24" t="s">
        <v>1081</v>
      </c>
      <c r="B1231" s="25">
        <v>2015</v>
      </c>
      <c r="C1231" s="25" t="s">
        <v>2462</v>
      </c>
      <c r="D1231" s="25">
        <v>148</v>
      </c>
      <c r="E1231" s="25">
        <v>6.8</v>
      </c>
      <c r="F1231" s="25" t="str" cm="1">
        <f t="array" ref="F12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1" s="26">
        <v>200.07</v>
      </c>
      <c r="H1231" s="27">
        <v>458505</v>
      </c>
    </row>
    <row r="1232" spans="1:8" ht="18" x14ac:dyDescent="0.25">
      <c r="A1232" s="24" t="s">
        <v>1082</v>
      </c>
      <c r="B1232" s="25">
        <v>2015</v>
      </c>
      <c r="C1232" s="25" t="s">
        <v>2462</v>
      </c>
      <c r="D1232" s="25">
        <v>81</v>
      </c>
      <c r="E1232" s="25">
        <v>5.7</v>
      </c>
      <c r="F1232" s="25" t="str" cm="1">
        <f t="array" ref="F12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2" s="26">
        <v>2.46</v>
      </c>
      <c r="H1232" s="27">
        <v>1774</v>
      </c>
    </row>
    <row r="1233" spans="1:8" ht="18" x14ac:dyDescent="0.25">
      <c r="A1233" s="24" t="s">
        <v>10</v>
      </c>
      <c r="B1233" s="25">
        <v>2015</v>
      </c>
      <c r="C1233" s="25" t="s">
        <v>2462</v>
      </c>
      <c r="D1233" s="25">
        <v>92</v>
      </c>
      <c r="E1233" s="25">
        <v>4.0999999999999996</v>
      </c>
      <c r="F1233" s="25" t="str" cm="1">
        <f t="array" ref="F12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3" s="26">
        <v>2.46</v>
      </c>
      <c r="H1233" s="27">
        <v>11883</v>
      </c>
    </row>
    <row r="1234" spans="1:8" ht="18" x14ac:dyDescent="0.25">
      <c r="A1234" s="24" t="s">
        <v>1085</v>
      </c>
      <c r="B1234" s="25">
        <v>2015</v>
      </c>
      <c r="C1234" s="25" t="s">
        <v>2462</v>
      </c>
      <c r="D1234" s="25">
        <v>124</v>
      </c>
      <c r="E1234" s="25">
        <v>7.3</v>
      </c>
      <c r="F1234" s="25" t="str" cm="1">
        <f t="array" ref="F12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4" s="26">
        <v>2.7</v>
      </c>
      <c r="H1234" s="27">
        <v>81946</v>
      </c>
    </row>
    <row r="1235" spans="1:8" ht="18" x14ac:dyDescent="0.25">
      <c r="A1235" s="24" t="s">
        <v>2278</v>
      </c>
      <c r="B1235" s="25">
        <v>2015</v>
      </c>
      <c r="C1235" s="25" t="s">
        <v>2463</v>
      </c>
      <c r="D1235" s="25">
        <v>91</v>
      </c>
      <c r="E1235" s="25">
        <v>6.1</v>
      </c>
      <c r="F1235" s="25" t="str" cm="1">
        <f t="array" ref="F12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5" s="26">
        <v>0.03</v>
      </c>
      <c r="H1235" s="27">
        <v>2293</v>
      </c>
    </row>
    <row r="1236" spans="1:8" ht="18" x14ac:dyDescent="0.25">
      <c r="A1236" s="24" t="s">
        <v>2279</v>
      </c>
      <c r="B1236" s="25">
        <v>2015</v>
      </c>
      <c r="C1236" s="25" t="s">
        <v>2462</v>
      </c>
      <c r="D1236" s="25">
        <v>104</v>
      </c>
      <c r="E1236" s="25">
        <v>6.4</v>
      </c>
      <c r="F1236" s="25" t="str" cm="1">
        <f t="array" ref="F12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6" s="26">
        <v>29.47</v>
      </c>
      <c r="H1236" s="27">
        <v>28465</v>
      </c>
    </row>
    <row r="1237" spans="1:8" ht="18" x14ac:dyDescent="0.25">
      <c r="A1237" s="24" t="s">
        <v>1089</v>
      </c>
      <c r="B1237" s="25">
        <v>2015</v>
      </c>
      <c r="C1237" s="25" t="s">
        <v>2462</v>
      </c>
      <c r="D1237" s="25">
        <v>117</v>
      </c>
      <c r="E1237" s="25">
        <v>7.5</v>
      </c>
      <c r="F1237" s="25" t="str" cm="1">
        <f t="array" ref="F12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7" s="26">
        <v>38.32</v>
      </c>
      <c r="H1237" s="27">
        <v>148056</v>
      </c>
    </row>
    <row r="1238" spans="1:8" ht="18" x14ac:dyDescent="0.25">
      <c r="A1238" s="24" t="s">
        <v>1090</v>
      </c>
      <c r="B1238" s="25">
        <v>2015</v>
      </c>
      <c r="C1238" s="25" t="s">
        <v>2462</v>
      </c>
      <c r="D1238" s="25">
        <v>118</v>
      </c>
      <c r="E1238" s="25">
        <v>8.1</v>
      </c>
      <c r="F1238" s="25" t="str" cm="1">
        <f t="array" ref="F12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8" s="26">
        <v>14.68</v>
      </c>
      <c r="H1238" s="27">
        <v>441193</v>
      </c>
    </row>
    <row r="1239" spans="1:8" ht="18" x14ac:dyDescent="0.25">
      <c r="A1239" s="24" t="s">
        <v>1091</v>
      </c>
      <c r="B1239" s="25">
        <v>2015</v>
      </c>
      <c r="C1239" s="25" t="s">
        <v>2462</v>
      </c>
      <c r="D1239" s="25">
        <v>119</v>
      </c>
      <c r="E1239" s="25">
        <v>7.1</v>
      </c>
      <c r="F1239" s="25" t="str" cm="1">
        <f t="array" ref="F12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39" s="26">
        <v>8.6999999999999993</v>
      </c>
      <c r="H1239" s="27">
        <v>278781</v>
      </c>
    </row>
    <row r="1240" spans="1:8" ht="18" x14ac:dyDescent="0.25">
      <c r="A1240" s="24" t="s">
        <v>2280</v>
      </c>
      <c r="B1240" s="25">
        <v>2015</v>
      </c>
      <c r="C1240" s="25" t="s">
        <v>2462</v>
      </c>
      <c r="D1240" s="25">
        <v>86</v>
      </c>
      <c r="E1240" s="25">
        <v>6.1</v>
      </c>
      <c r="F1240" s="25" t="str" cm="1">
        <f t="array" ref="F12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0" s="26">
        <v>0.01</v>
      </c>
      <c r="H1240" s="27">
        <v>4636</v>
      </c>
    </row>
    <row r="1241" spans="1:8" ht="18" x14ac:dyDescent="0.25">
      <c r="A1241" s="24" t="s">
        <v>1094</v>
      </c>
      <c r="B1241" s="25">
        <v>2015</v>
      </c>
      <c r="C1241" s="25" t="s">
        <v>2462</v>
      </c>
      <c r="D1241" s="25">
        <v>121</v>
      </c>
      <c r="E1241" s="25">
        <v>7.1</v>
      </c>
      <c r="F1241" s="25" t="str" cm="1">
        <f t="array" ref="F12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1" s="26">
        <v>75.760000000000005</v>
      </c>
      <c r="H1241" s="27">
        <v>267804</v>
      </c>
    </row>
    <row r="1242" spans="1:8" ht="18" x14ac:dyDescent="0.25">
      <c r="A1242" s="24" t="s">
        <v>1095</v>
      </c>
      <c r="B1242" s="25">
        <v>2015</v>
      </c>
      <c r="C1242" s="25" t="s">
        <v>2462</v>
      </c>
      <c r="D1242" s="25">
        <v>132</v>
      </c>
      <c r="E1242" s="25">
        <v>6.9</v>
      </c>
      <c r="F1242" s="25" t="str" cm="1">
        <f t="array" ref="F12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2" s="26">
        <v>1.87</v>
      </c>
      <c r="H1242" s="27">
        <v>196667</v>
      </c>
    </row>
    <row r="1243" spans="1:8" ht="18" x14ac:dyDescent="0.25">
      <c r="A1243" s="24" t="s">
        <v>1096</v>
      </c>
      <c r="B1243" s="25">
        <v>2015</v>
      </c>
      <c r="C1243" s="25" t="s">
        <v>2462</v>
      </c>
      <c r="D1243" s="25">
        <v>119</v>
      </c>
      <c r="E1243" s="25">
        <v>7.1</v>
      </c>
      <c r="F1243" s="25" t="str" cm="1">
        <f t="array" ref="F12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3" s="26">
        <v>11.11</v>
      </c>
      <c r="H1243" s="27">
        <v>196289</v>
      </c>
    </row>
    <row r="1244" spans="1:8" ht="18" x14ac:dyDescent="0.25">
      <c r="A1244" s="24" t="s">
        <v>1097</v>
      </c>
      <c r="B1244" s="25">
        <v>2015</v>
      </c>
      <c r="C1244" s="25" t="s">
        <v>2462</v>
      </c>
      <c r="D1244" s="25">
        <v>93</v>
      </c>
      <c r="E1244" s="25">
        <v>6.1</v>
      </c>
      <c r="F1244" s="25" t="str" cm="1">
        <f t="array" ref="F12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4" s="26">
        <v>2.46</v>
      </c>
      <c r="H1244" s="27">
        <v>32136</v>
      </c>
    </row>
    <row r="1245" spans="1:8" ht="18" x14ac:dyDescent="0.25">
      <c r="A1245" s="24" t="s">
        <v>2281</v>
      </c>
      <c r="B1245" s="25">
        <v>2015</v>
      </c>
      <c r="C1245" s="25" t="s">
        <v>2462</v>
      </c>
      <c r="D1245" s="25">
        <v>122</v>
      </c>
      <c r="E1245" s="25">
        <v>6.9</v>
      </c>
      <c r="F1245" s="25" t="str" cm="1">
        <f t="array" ref="F12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5" s="26">
        <v>25.02</v>
      </c>
      <c r="H1245" s="27">
        <v>146224</v>
      </c>
    </row>
    <row r="1246" spans="1:8" ht="18" x14ac:dyDescent="0.25">
      <c r="A1246" s="24" t="s">
        <v>1099</v>
      </c>
      <c r="B1246" s="25">
        <v>2015</v>
      </c>
      <c r="C1246" s="25" t="s">
        <v>2462</v>
      </c>
      <c r="D1246" s="25">
        <v>119</v>
      </c>
      <c r="E1246" s="25">
        <v>4.8</v>
      </c>
      <c r="F1246" s="25" t="str" cm="1">
        <f t="array" ref="F12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6" s="26">
        <v>2.46</v>
      </c>
      <c r="H1246" s="27">
        <v>52478</v>
      </c>
    </row>
    <row r="1247" spans="1:8" ht="18" x14ac:dyDescent="0.25">
      <c r="A1247" s="24" t="s">
        <v>226</v>
      </c>
      <c r="B1247" s="25">
        <v>2015</v>
      </c>
      <c r="C1247" s="25" t="s">
        <v>2462</v>
      </c>
      <c r="D1247" s="25">
        <v>123</v>
      </c>
      <c r="E1247" s="25">
        <v>7.1</v>
      </c>
      <c r="F1247" s="25" t="str" cm="1">
        <f t="array" ref="F12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7" s="26">
        <v>34.54</v>
      </c>
      <c r="H1247" s="27">
        <v>99331</v>
      </c>
    </row>
    <row r="1248" spans="1:8" ht="18" x14ac:dyDescent="0.25">
      <c r="A1248" s="24" t="s">
        <v>1101</v>
      </c>
      <c r="B1248" s="25">
        <v>2015</v>
      </c>
      <c r="C1248" s="25" t="s">
        <v>2462</v>
      </c>
      <c r="D1248" s="25">
        <v>129</v>
      </c>
      <c r="E1248" s="25">
        <v>8.1</v>
      </c>
      <c r="F1248" s="25" t="str" cm="1">
        <f t="array" ref="F12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8" s="26">
        <v>45.06</v>
      </c>
      <c r="H1248" s="27">
        <v>492406</v>
      </c>
    </row>
    <row r="1249" spans="1:8" ht="18" x14ac:dyDescent="0.25">
      <c r="A1249" s="24" t="s">
        <v>1104</v>
      </c>
      <c r="B1249" s="25">
        <v>2015</v>
      </c>
      <c r="C1249" s="25" t="s">
        <v>2462</v>
      </c>
      <c r="D1249" s="25">
        <v>97</v>
      </c>
      <c r="E1249" s="25">
        <v>5.4</v>
      </c>
      <c r="F1249" s="25" t="str" cm="1">
        <f t="array" ref="F12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49" s="26">
        <v>2.56</v>
      </c>
      <c r="H1249" s="27">
        <v>7176</v>
      </c>
    </row>
    <row r="1250" spans="1:8" ht="18" x14ac:dyDescent="0.25">
      <c r="A1250" s="24" t="s">
        <v>1105</v>
      </c>
      <c r="B1250" s="25">
        <v>2015</v>
      </c>
      <c r="C1250" s="25" t="s">
        <v>2462</v>
      </c>
      <c r="D1250" s="25">
        <v>85</v>
      </c>
      <c r="E1250" s="25">
        <v>6.2</v>
      </c>
      <c r="F1250" s="25" t="str" cm="1">
        <f t="array" ref="F12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0" s="26">
        <v>0.06</v>
      </c>
      <c r="H1250" s="27">
        <v>5624</v>
      </c>
    </row>
    <row r="1251" spans="1:8" ht="18" x14ac:dyDescent="0.25">
      <c r="A1251" s="24" t="s">
        <v>1106</v>
      </c>
      <c r="B1251" s="25">
        <v>2015</v>
      </c>
      <c r="C1251" s="25" t="s">
        <v>2462</v>
      </c>
      <c r="D1251" s="25">
        <v>138</v>
      </c>
      <c r="E1251" s="25">
        <v>7.6</v>
      </c>
      <c r="F1251" s="25" t="str" cm="1">
        <f t="array" ref="F12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1" s="26">
        <v>2.46</v>
      </c>
      <c r="H1251" s="27">
        <v>61971</v>
      </c>
    </row>
    <row r="1252" spans="1:8" ht="18" x14ac:dyDescent="0.25">
      <c r="A1252" s="24" t="s">
        <v>1107</v>
      </c>
      <c r="B1252" s="25">
        <v>2015</v>
      </c>
      <c r="C1252" s="25" t="s">
        <v>2462</v>
      </c>
      <c r="D1252" s="25">
        <v>123</v>
      </c>
      <c r="E1252" s="25">
        <v>6.4</v>
      </c>
      <c r="F1252" s="25" t="str" cm="1">
        <f t="array" ref="F12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2" s="26">
        <v>14.39</v>
      </c>
      <c r="H1252" s="27">
        <v>7705</v>
      </c>
    </row>
    <row r="1253" spans="1:8" ht="18" x14ac:dyDescent="0.25">
      <c r="A1253" s="24" t="s">
        <v>1108</v>
      </c>
      <c r="B1253" s="25">
        <v>2015</v>
      </c>
      <c r="C1253" s="25" t="s">
        <v>2462</v>
      </c>
      <c r="D1253" s="25">
        <v>103</v>
      </c>
      <c r="E1253" s="25">
        <v>6.3</v>
      </c>
      <c r="F1253" s="25" t="str" cm="1">
        <f t="array" ref="F12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3" s="26">
        <v>80.08</v>
      </c>
      <c r="H1253" s="27">
        <v>94090</v>
      </c>
    </row>
    <row r="1254" spans="1:8" ht="18" x14ac:dyDescent="0.25">
      <c r="A1254" s="24" t="s">
        <v>1109</v>
      </c>
      <c r="B1254" s="25">
        <v>2015</v>
      </c>
      <c r="C1254" s="25" t="s">
        <v>2462</v>
      </c>
      <c r="D1254" s="25">
        <v>111</v>
      </c>
      <c r="E1254" s="25">
        <v>6</v>
      </c>
      <c r="F1254" s="25" t="str" cm="1">
        <f t="array" ref="F12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4" s="26">
        <v>2.46</v>
      </c>
      <c r="H1254" s="27">
        <v>8768</v>
      </c>
    </row>
    <row r="1255" spans="1:8" ht="18" x14ac:dyDescent="0.25">
      <c r="A1255" s="24" t="s">
        <v>1110</v>
      </c>
      <c r="B1255" s="25">
        <v>2015</v>
      </c>
      <c r="C1255" s="25" t="s">
        <v>2462</v>
      </c>
      <c r="D1255" s="25">
        <v>121</v>
      </c>
      <c r="E1255" s="25">
        <v>7.7</v>
      </c>
      <c r="F1255" s="25" t="str" cm="1">
        <f t="array" ref="F12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5" s="26">
        <v>46.89</v>
      </c>
      <c r="H1255" s="27">
        <v>459410</v>
      </c>
    </row>
    <row r="1256" spans="1:8" ht="18" x14ac:dyDescent="0.25">
      <c r="A1256" s="24" t="s">
        <v>1111</v>
      </c>
      <c r="B1256" s="25">
        <v>2015</v>
      </c>
      <c r="C1256" s="25" t="s">
        <v>2464</v>
      </c>
      <c r="D1256" s="25">
        <v>130</v>
      </c>
      <c r="E1256" s="25">
        <v>7.8</v>
      </c>
      <c r="F1256" s="25" t="str" cm="1">
        <f t="array" ref="F12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6" s="26">
        <v>70.260000000000005</v>
      </c>
      <c r="H1256" s="27">
        <v>468747</v>
      </c>
    </row>
    <row r="1257" spans="1:8" ht="18" x14ac:dyDescent="0.25">
      <c r="A1257" s="24" t="s">
        <v>1112</v>
      </c>
      <c r="B1257" s="25">
        <v>2015</v>
      </c>
      <c r="C1257" s="25" t="s">
        <v>2462</v>
      </c>
      <c r="D1257" s="25">
        <v>124</v>
      </c>
      <c r="E1257" s="25">
        <v>6.6</v>
      </c>
      <c r="F1257" s="25" t="str" cm="1">
        <f t="array" ref="F12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7" s="26">
        <v>56.45</v>
      </c>
      <c r="H1257" s="27">
        <v>142790</v>
      </c>
    </row>
    <row r="1258" spans="1:8" ht="18" x14ac:dyDescent="0.25">
      <c r="A1258" s="24" t="s">
        <v>1113</v>
      </c>
      <c r="B1258" s="25">
        <v>2015</v>
      </c>
      <c r="C1258" s="25" t="s">
        <v>2462</v>
      </c>
      <c r="D1258" s="25">
        <v>133</v>
      </c>
      <c r="E1258" s="25">
        <v>7.6</v>
      </c>
      <c r="F1258" s="25" t="str" cm="1">
        <f t="array" ref="F12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8" s="26">
        <v>109.77</v>
      </c>
      <c r="H1258" s="27">
        <v>304665</v>
      </c>
    </row>
    <row r="1259" spans="1:8" ht="18" x14ac:dyDescent="0.25">
      <c r="A1259" s="24" t="s">
        <v>1114</v>
      </c>
      <c r="B1259" s="25">
        <v>2015</v>
      </c>
      <c r="C1259" s="25" t="s">
        <v>2462</v>
      </c>
      <c r="D1259" s="25">
        <v>122</v>
      </c>
      <c r="E1259" s="25">
        <v>7.2</v>
      </c>
      <c r="F1259" s="25" t="str" cm="1">
        <f t="array" ref="F12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59" s="26">
        <v>17.77</v>
      </c>
      <c r="H1259" s="27">
        <v>176108</v>
      </c>
    </row>
    <row r="1260" spans="1:8" ht="18" x14ac:dyDescent="0.25">
      <c r="A1260" s="24" t="s">
        <v>1115</v>
      </c>
      <c r="B1260" s="25">
        <v>2015</v>
      </c>
      <c r="C1260" s="25" t="s">
        <v>2464</v>
      </c>
      <c r="D1260" s="25">
        <v>91</v>
      </c>
      <c r="E1260" s="25">
        <v>5.4</v>
      </c>
      <c r="F1260" s="25" t="str" cm="1">
        <f t="array" ref="F12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0" s="26">
        <v>10.210000000000001</v>
      </c>
      <c r="H1260" s="27">
        <v>34581</v>
      </c>
    </row>
    <row r="1261" spans="1:8" ht="18" x14ac:dyDescent="0.25">
      <c r="A1261" s="24" t="s">
        <v>1116</v>
      </c>
      <c r="B1261" s="25">
        <v>2015</v>
      </c>
      <c r="C1261" s="25" t="s">
        <v>2463</v>
      </c>
      <c r="D1261" s="25">
        <v>95</v>
      </c>
      <c r="E1261" s="25">
        <v>7.1</v>
      </c>
      <c r="F1261" s="25" t="str" cm="1">
        <f t="array" ref="F12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1" s="26">
        <v>4.25</v>
      </c>
      <c r="H1261" s="27">
        <v>34472</v>
      </c>
    </row>
    <row r="1262" spans="1:8" ht="18" x14ac:dyDescent="0.25">
      <c r="A1262" s="24" t="s">
        <v>1117</v>
      </c>
      <c r="B1262" s="25">
        <v>2015</v>
      </c>
      <c r="C1262" s="25" t="s">
        <v>2462</v>
      </c>
      <c r="D1262" s="25">
        <v>101</v>
      </c>
      <c r="E1262" s="25">
        <v>6.4</v>
      </c>
      <c r="F1262" s="25" t="str" cm="1">
        <f t="array" ref="F12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2" s="26">
        <v>2.46</v>
      </c>
      <c r="H1262" s="27">
        <v>67477</v>
      </c>
    </row>
    <row r="1263" spans="1:8" ht="18" x14ac:dyDescent="0.25">
      <c r="A1263" s="24" t="s">
        <v>1118</v>
      </c>
      <c r="B1263" s="25">
        <v>2015</v>
      </c>
      <c r="C1263" s="25" t="s">
        <v>2462</v>
      </c>
      <c r="D1263" s="25">
        <v>106</v>
      </c>
      <c r="E1263" s="25">
        <v>6.9</v>
      </c>
      <c r="F1263" s="25" t="str" cm="1">
        <f t="array" ref="F12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3" s="26">
        <v>4.6900000000000004</v>
      </c>
      <c r="H1263" s="27">
        <v>43999</v>
      </c>
    </row>
    <row r="1264" spans="1:8" ht="18" x14ac:dyDescent="0.25">
      <c r="A1264" s="24" t="s">
        <v>1119</v>
      </c>
      <c r="B1264" s="25">
        <v>2015</v>
      </c>
      <c r="C1264" s="25" t="s">
        <v>2462</v>
      </c>
      <c r="D1264" s="25">
        <v>168</v>
      </c>
      <c r="E1264" s="25">
        <v>7.8</v>
      </c>
      <c r="F1264" s="25" t="str" cm="1">
        <f t="array" ref="F12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4" s="26">
        <v>54.12</v>
      </c>
      <c r="H1264" s="27">
        <v>641591</v>
      </c>
    </row>
    <row r="1265" spans="1:8" ht="18" x14ac:dyDescent="0.25">
      <c r="A1265" s="24" t="s">
        <v>2282</v>
      </c>
      <c r="B1265" s="25">
        <v>2015</v>
      </c>
      <c r="C1265" s="25" t="s">
        <v>2462</v>
      </c>
      <c r="D1265" s="25">
        <v>90</v>
      </c>
      <c r="E1265" s="25">
        <v>6.2</v>
      </c>
      <c r="F1265" s="25" t="str" cm="1">
        <f t="array" ref="F12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5" s="26">
        <v>0.08</v>
      </c>
      <c r="H1265" s="27">
        <v>6773</v>
      </c>
    </row>
    <row r="1266" spans="1:8" ht="18" x14ac:dyDescent="0.25">
      <c r="A1266" s="24" t="s">
        <v>1123</v>
      </c>
      <c r="B1266" s="25">
        <v>2015</v>
      </c>
      <c r="C1266" s="25" t="s">
        <v>2462</v>
      </c>
      <c r="D1266" s="25">
        <v>93</v>
      </c>
      <c r="E1266" s="25">
        <v>5.2</v>
      </c>
      <c r="F1266" s="25" t="str" cm="1">
        <f t="array" ref="F12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6" s="26">
        <v>2.46</v>
      </c>
      <c r="H1266" s="27">
        <v>5161</v>
      </c>
    </row>
    <row r="1267" spans="1:8" ht="18" x14ac:dyDescent="0.25">
      <c r="A1267" s="24" t="s">
        <v>1124</v>
      </c>
      <c r="B1267" s="25">
        <v>2015</v>
      </c>
      <c r="C1267" s="25" t="s">
        <v>2462</v>
      </c>
      <c r="D1267" s="25">
        <v>107</v>
      </c>
      <c r="E1267" s="25">
        <v>6.1</v>
      </c>
      <c r="F1267" s="25" t="str" cm="1">
        <f t="array" ref="F12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7" s="26">
        <v>7</v>
      </c>
      <c r="H1267" s="27">
        <v>23086</v>
      </c>
    </row>
    <row r="1268" spans="1:8" ht="18" x14ac:dyDescent="0.25">
      <c r="A1268" s="24" t="s">
        <v>1125</v>
      </c>
      <c r="B1268" s="25">
        <v>2015</v>
      </c>
      <c r="C1268" s="25" t="s">
        <v>2462</v>
      </c>
      <c r="D1268" s="25">
        <v>103</v>
      </c>
      <c r="E1268" s="25">
        <v>6.6</v>
      </c>
      <c r="F1268" s="25" t="str" cm="1">
        <f t="array" ref="F12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8" s="26">
        <v>0.53</v>
      </c>
      <c r="H1268" s="27">
        <v>13067</v>
      </c>
    </row>
    <row r="1269" spans="1:8" ht="18" x14ac:dyDescent="0.25">
      <c r="A1269" s="24" t="s">
        <v>1126</v>
      </c>
      <c r="B1269" s="25">
        <v>2015</v>
      </c>
      <c r="C1269" s="25" t="s">
        <v>2462</v>
      </c>
      <c r="D1269" s="25">
        <v>106</v>
      </c>
      <c r="E1269" s="25">
        <v>6.8</v>
      </c>
      <c r="F1269" s="25" t="str" cm="1">
        <f t="array" ref="F12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69" s="26">
        <v>2.46</v>
      </c>
      <c r="H1269" s="27">
        <v>23198</v>
      </c>
    </row>
    <row r="1270" spans="1:8" ht="18" x14ac:dyDescent="0.25">
      <c r="A1270" s="24" t="s">
        <v>1127</v>
      </c>
      <c r="B1270" s="25">
        <v>2015</v>
      </c>
      <c r="C1270" s="25" t="s">
        <v>2462</v>
      </c>
      <c r="D1270" s="25">
        <v>101</v>
      </c>
      <c r="E1270" s="25">
        <v>6.6</v>
      </c>
      <c r="F1270" s="25" t="str" cm="1">
        <f t="array" ref="F12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0" s="26">
        <v>13.65</v>
      </c>
      <c r="H1270" s="27">
        <v>129516</v>
      </c>
    </row>
    <row r="1271" spans="1:8" ht="18" x14ac:dyDescent="0.25">
      <c r="A1271" s="24" t="s">
        <v>1128</v>
      </c>
      <c r="B1271" s="25">
        <v>2015</v>
      </c>
      <c r="C1271" s="25" t="s">
        <v>2462</v>
      </c>
      <c r="D1271" s="25">
        <v>95</v>
      </c>
      <c r="E1271" s="25">
        <v>6.6</v>
      </c>
      <c r="F1271" s="25" t="str" cm="1">
        <f t="array" ref="F12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1" s="26">
        <v>4.03</v>
      </c>
      <c r="H1271" s="27">
        <v>65899</v>
      </c>
    </row>
    <row r="1272" spans="1:8" ht="18" x14ac:dyDescent="0.25">
      <c r="A1272" s="24" t="s">
        <v>1129</v>
      </c>
      <c r="B1272" s="25">
        <v>2015</v>
      </c>
      <c r="C1272" s="25" t="s">
        <v>2462</v>
      </c>
      <c r="D1272" s="25">
        <v>93</v>
      </c>
      <c r="E1272" s="25">
        <v>6.7</v>
      </c>
      <c r="F1272" s="25" t="str" cm="1">
        <f t="array" ref="F12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2" s="26">
        <v>0.05</v>
      </c>
      <c r="H1272" s="27">
        <v>29311</v>
      </c>
    </row>
    <row r="1273" spans="1:8" ht="18" x14ac:dyDescent="0.25">
      <c r="A1273" s="24" t="s">
        <v>1130</v>
      </c>
      <c r="B1273" s="25">
        <v>2015</v>
      </c>
      <c r="C1273" s="25" t="s">
        <v>2462</v>
      </c>
      <c r="D1273" s="25">
        <v>125</v>
      </c>
      <c r="E1273" s="25">
        <v>6.8</v>
      </c>
      <c r="F1273" s="25" t="str" cm="1">
        <f t="array" ref="F12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3" s="26">
        <v>2.54</v>
      </c>
      <c r="H1273" s="27">
        <v>21015</v>
      </c>
    </row>
    <row r="1274" spans="1:8" ht="18" x14ac:dyDescent="0.25">
      <c r="A1274" s="24" t="s">
        <v>1131</v>
      </c>
      <c r="B1274" s="25">
        <v>2015</v>
      </c>
      <c r="C1274" s="25" t="s">
        <v>2463</v>
      </c>
      <c r="D1274" s="25">
        <v>124</v>
      </c>
      <c r="E1274" s="25">
        <v>7.4</v>
      </c>
      <c r="F1274" s="25" t="str" cm="1">
        <f t="array" ref="F12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4" s="26">
        <v>7.86</v>
      </c>
      <c r="H1274" s="27">
        <v>83997</v>
      </c>
    </row>
    <row r="1275" spans="1:8" ht="18" x14ac:dyDescent="0.25">
      <c r="A1275" s="24" t="s">
        <v>1132</v>
      </c>
      <c r="B1275" s="25">
        <v>2015</v>
      </c>
      <c r="C1275" s="25" t="s">
        <v>2462</v>
      </c>
      <c r="D1275" s="25">
        <v>105</v>
      </c>
      <c r="E1275" s="25">
        <v>6.7</v>
      </c>
      <c r="F1275" s="25" t="str" cm="1">
        <f t="array" ref="F12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5" s="26">
        <v>0.04</v>
      </c>
      <c r="H1275" s="27">
        <v>5544</v>
      </c>
    </row>
    <row r="1276" spans="1:8" ht="18" x14ac:dyDescent="0.25">
      <c r="A1276" s="24" t="s">
        <v>2283</v>
      </c>
      <c r="B1276" s="25">
        <v>2015</v>
      </c>
      <c r="C1276" s="25" t="s">
        <v>2463</v>
      </c>
      <c r="D1276" s="25">
        <v>90</v>
      </c>
      <c r="E1276" s="25">
        <v>6.4</v>
      </c>
      <c r="F1276" s="25" t="str" cm="1">
        <f t="array" ref="F12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6" s="26">
        <v>0</v>
      </c>
      <c r="H1276" s="27">
        <v>3341</v>
      </c>
    </row>
    <row r="1277" spans="1:8" ht="18" x14ac:dyDescent="0.25">
      <c r="A1277" s="24" t="s">
        <v>1134</v>
      </c>
      <c r="B1277" s="25">
        <v>2015</v>
      </c>
      <c r="C1277" s="25" t="s">
        <v>2463</v>
      </c>
      <c r="D1277" s="25">
        <v>79</v>
      </c>
      <c r="E1277" s="25">
        <v>6.7</v>
      </c>
      <c r="F1277" s="25" t="str" cm="1">
        <f t="array" ref="F12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7" s="26">
        <v>6.98</v>
      </c>
      <c r="H1277" s="27">
        <v>16547</v>
      </c>
    </row>
    <row r="1278" spans="1:8" ht="18" x14ac:dyDescent="0.25">
      <c r="A1278" s="24" t="s">
        <v>1135</v>
      </c>
      <c r="B1278" s="25">
        <v>2015</v>
      </c>
      <c r="C1278" s="25" t="s">
        <v>2462</v>
      </c>
      <c r="D1278" s="25">
        <v>99</v>
      </c>
      <c r="E1278" s="25">
        <v>6.5</v>
      </c>
      <c r="F1278" s="25" t="str" cm="1">
        <f t="array" ref="F12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8" s="26">
        <v>2.46</v>
      </c>
      <c r="H1278" s="27">
        <v>19075</v>
      </c>
    </row>
    <row r="1279" spans="1:8" ht="18" x14ac:dyDescent="0.25">
      <c r="A1279" s="24" t="s">
        <v>1136</v>
      </c>
      <c r="B1279" s="25">
        <v>2015</v>
      </c>
      <c r="C1279" s="25" t="s">
        <v>2462</v>
      </c>
      <c r="D1279" s="25">
        <v>106</v>
      </c>
      <c r="E1279" s="25">
        <v>5.6</v>
      </c>
      <c r="F1279" s="25" t="str" cm="1">
        <f t="array" ref="F12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79" s="26">
        <v>0.05</v>
      </c>
      <c r="H1279" s="27">
        <v>42029</v>
      </c>
    </row>
    <row r="1280" spans="1:8" ht="18" x14ac:dyDescent="0.25">
      <c r="A1280" s="24" t="s">
        <v>2284</v>
      </c>
      <c r="B1280" s="25">
        <v>2015</v>
      </c>
      <c r="C1280" s="25" t="s">
        <v>2462</v>
      </c>
      <c r="D1280" s="25">
        <v>138</v>
      </c>
      <c r="E1280" s="25">
        <v>7.8</v>
      </c>
      <c r="F1280" s="25" t="str" cm="1">
        <f t="array" ref="F12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0" s="26">
        <v>936.66</v>
      </c>
      <c r="H1280" s="27">
        <v>960553</v>
      </c>
    </row>
    <row r="1281" spans="1:8" ht="18" x14ac:dyDescent="0.25">
      <c r="A1281" s="24" t="s">
        <v>2285</v>
      </c>
      <c r="B1281" s="25">
        <v>2015</v>
      </c>
      <c r="C1281" s="25" t="s">
        <v>2463</v>
      </c>
      <c r="D1281" s="25">
        <v>111</v>
      </c>
      <c r="E1281" s="25">
        <v>6.3</v>
      </c>
      <c r="F1281" s="25" t="str" cm="1">
        <f t="array" ref="F12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1" s="26">
        <v>20.18</v>
      </c>
      <c r="H1281" s="27">
        <v>50468</v>
      </c>
    </row>
    <row r="1282" spans="1:8" ht="18" x14ac:dyDescent="0.25">
      <c r="A1282" s="24" t="s">
        <v>1141</v>
      </c>
      <c r="B1282" s="25">
        <v>2015</v>
      </c>
      <c r="C1282" s="25" t="s">
        <v>2462</v>
      </c>
      <c r="D1282" s="25">
        <v>112</v>
      </c>
      <c r="E1282" s="25">
        <v>6.8</v>
      </c>
      <c r="F1282" s="25" t="str" cm="1">
        <f t="array" ref="F12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2" s="26">
        <v>1.1599999999999999</v>
      </c>
      <c r="H1282" s="27">
        <v>19669</v>
      </c>
    </row>
    <row r="1283" spans="1:8" ht="18" x14ac:dyDescent="0.25">
      <c r="A1283" s="24" t="s">
        <v>1143</v>
      </c>
      <c r="B1283" s="25">
        <v>2015</v>
      </c>
      <c r="C1283" s="25" t="s">
        <v>2462</v>
      </c>
      <c r="D1283" s="25">
        <v>118</v>
      </c>
      <c r="E1283" s="25">
        <v>7.1</v>
      </c>
      <c r="F1283" s="25" t="str" cm="1">
        <f t="array" ref="F12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3" s="26">
        <v>2.25</v>
      </c>
      <c r="H1283" s="27">
        <v>7075</v>
      </c>
    </row>
    <row r="1284" spans="1:8" ht="18" x14ac:dyDescent="0.25">
      <c r="A1284" s="24" t="s">
        <v>1144</v>
      </c>
      <c r="B1284" s="25">
        <v>2015</v>
      </c>
      <c r="C1284" s="25" t="s">
        <v>2462</v>
      </c>
      <c r="D1284" s="25">
        <v>106</v>
      </c>
      <c r="E1284" s="25">
        <v>5.9</v>
      </c>
      <c r="F1284" s="25" t="str" cm="1">
        <f t="array" ref="F12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4" s="26">
        <v>27.37</v>
      </c>
      <c r="H1284" s="27">
        <v>108167</v>
      </c>
    </row>
    <row r="1285" spans="1:8" ht="18" x14ac:dyDescent="0.25">
      <c r="A1285" s="24" t="s">
        <v>1145</v>
      </c>
      <c r="B1285" s="25">
        <v>2015</v>
      </c>
      <c r="C1285" s="25" t="s">
        <v>2462</v>
      </c>
      <c r="D1285" s="25">
        <v>90</v>
      </c>
      <c r="E1285" s="25">
        <v>5.9</v>
      </c>
      <c r="F1285" s="25" t="str" cm="1">
        <f t="array" ref="F12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5" s="26">
        <v>2.46</v>
      </c>
      <c r="H1285" s="27">
        <v>13231</v>
      </c>
    </row>
    <row r="1286" spans="1:8" ht="18" x14ac:dyDescent="0.25">
      <c r="A1286" s="24" t="s">
        <v>1146</v>
      </c>
      <c r="B1286" s="25">
        <v>2015</v>
      </c>
      <c r="C1286" s="25" t="s">
        <v>2462</v>
      </c>
      <c r="D1286" s="25">
        <v>156</v>
      </c>
      <c r="E1286" s="25">
        <v>8</v>
      </c>
      <c r="F1286" s="25" t="str" cm="1">
        <f t="array" ref="F12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6" s="26">
        <v>183.64</v>
      </c>
      <c r="H1286" s="27">
        <v>850374</v>
      </c>
    </row>
    <row r="1287" spans="1:8" ht="18" x14ac:dyDescent="0.25">
      <c r="A1287" s="24" t="s">
        <v>2286</v>
      </c>
      <c r="B1287" s="25">
        <v>2015</v>
      </c>
      <c r="C1287" s="25" t="s">
        <v>2462</v>
      </c>
      <c r="D1287" s="25">
        <v>118</v>
      </c>
      <c r="E1287" s="25">
        <v>5.6</v>
      </c>
      <c r="F1287" s="25" t="str" cm="1">
        <f t="array" ref="F12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7" s="26">
        <v>0.56000000000000005</v>
      </c>
      <c r="H1287" s="27">
        <v>28821</v>
      </c>
    </row>
    <row r="1288" spans="1:8" ht="18" x14ac:dyDescent="0.25">
      <c r="A1288" s="24" t="s">
        <v>1148</v>
      </c>
      <c r="B1288" s="25">
        <v>2015</v>
      </c>
      <c r="C1288" s="25" t="s">
        <v>2462</v>
      </c>
      <c r="D1288" s="25">
        <v>99</v>
      </c>
      <c r="E1288" s="25">
        <v>6.2</v>
      </c>
      <c r="F1288" s="25" t="str" cm="1">
        <f t="array" ref="F12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8" s="26">
        <v>2.46</v>
      </c>
      <c r="H1288" s="27">
        <v>5070</v>
      </c>
    </row>
    <row r="1289" spans="1:8" ht="18" x14ac:dyDescent="0.25">
      <c r="A1289" s="24" t="s">
        <v>1150</v>
      </c>
      <c r="B1289" s="25">
        <v>2015</v>
      </c>
      <c r="C1289" s="25" t="s">
        <v>2462</v>
      </c>
      <c r="D1289" s="25">
        <v>90</v>
      </c>
      <c r="E1289" s="25">
        <v>7.3</v>
      </c>
      <c r="F1289" s="25" t="str" cm="1">
        <f t="array" ref="F12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89" s="26">
        <v>3.76</v>
      </c>
      <c r="H1289" s="27">
        <v>74434</v>
      </c>
    </row>
    <row r="1290" spans="1:8" ht="18" x14ac:dyDescent="0.25">
      <c r="A1290" s="24" t="s">
        <v>1151</v>
      </c>
      <c r="B1290" s="25">
        <v>2015</v>
      </c>
      <c r="C1290" s="25" t="s">
        <v>2462</v>
      </c>
      <c r="D1290" s="25">
        <v>115</v>
      </c>
      <c r="E1290" s="25">
        <v>7.2</v>
      </c>
      <c r="F1290" s="25" t="str" cm="1">
        <f t="array" ref="F12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0" s="26">
        <v>0.25</v>
      </c>
      <c r="H1290" s="27">
        <v>16603</v>
      </c>
    </row>
    <row r="1291" spans="1:8" ht="18" x14ac:dyDescent="0.25">
      <c r="A1291" s="24" t="s">
        <v>1153</v>
      </c>
      <c r="B1291" s="25">
        <v>2015</v>
      </c>
      <c r="C1291" s="25" t="s">
        <v>2463</v>
      </c>
      <c r="D1291" s="25">
        <v>113</v>
      </c>
      <c r="E1291" s="25">
        <v>6.6</v>
      </c>
      <c r="F1291" s="25" t="str" cm="1">
        <f t="array" ref="F12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1" s="26">
        <v>1.1100000000000001</v>
      </c>
      <c r="H1291" s="27">
        <v>58863</v>
      </c>
    </row>
    <row r="1292" spans="1:8" ht="18" x14ac:dyDescent="0.25">
      <c r="A1292" s="24" t="s">
        <v>1154</v>
      </c>
      <c r="B1292" s="25">
        <v>2015</v>
      </c>
      <c r="C1292" s="25" t="s">
        <v>2463</v>
      </c>
      <c r="D1292" s="25">
        <v>119</v>
      </c>
      <c r="E1292" s="25">
        <v>7</v>
      </c>
      <c r="F1292" s="25" t="str" cm="1">
        <f t="array" ref="F12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2" s="26">
        <v>2.02</v>
      </c>
      <c r="H1292" s="27">
        <v>64257</v>
      </c>
    </row>
    <row r="1293" spans="1:8" ht="18" x14ac:dyDescent="0.25">
      <c r="A1293" s="24" t="s">
        <v>1155</v>
      </c>
      <c r="B1293" s="25">
        <v>2015</v>
      </c>
      <c r="C1293" s="25" t="s">
        <v>2462</v>
      </c>
      <c r="D1293" s="25">
        <v>94</v>
      </c>
      <c r="E1293" s="25">
        <v>7.5</v>
      </c>
      <c r="F1293" s="25" t="str" cm="1">
        <f t="array" ref="F12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3" s="26">
        <v>0.64</v>
      </c>
      <c r="H1293" s="27">
        <v>27235</v>
      </c>
    </row>
    <row r="1294" spans="1:8" ht="18" x14ac:dyDescent="0.25">
      <c r="A1294" s="24" t="s">
        <v>1156</v>
      </c>
      <c r="B1294" s="25">
        <v>2015</v>
      </c>
      <c r="C1294" s="25" t="s">
        <v>2463</v>
      </c>
      <c r="D1294" s="25">
        <v>116</v>
      </c>
      <c r="E1294" s="25">
        <v>7</v>
      </c>
      <c r="F1294" s="25" t="str" cm="1">
        <f t="array" ref="F12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4" s="26">
        <v>2.46</v>
      </c>
      <c r="H1294" s="27">
        <v>28177</v>
      </c>
    </row>
    <row r="1295" spans="1:8" ht="18" x14ac:dyDescent="0.25">
      <c r="A1295" s="24" t="s">
        <v>2287</v>
      </c>
      <c r="B1295" s="25">
        <v>2015</v>
      </c>
      <c r="C1295" s="25" t="s">
        <v>2462</v>
      </c>
      <c r="D1295" s="25">
        <v>103</v>
      </c>
      <c r="E1295" s="25">
        <v>8.1</v>
      </c>
      <c r="F1295" s="25" t="str" cm="1">
        <f t="array" ref="F12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5" s="26">
        <v>0.43</v>
      </c>
      <c r="H1295" s="27">
        <v>7839</v>
      </c>
    </row>
    <row r="1296" spans="1:8" ht="18" x14ac:dyDescent="0.25">
      <c r="A1296" s="24" t="s">
        <v>2288</v>
      </c>
      <c r="B1296" s="25">
        <v>2015</v>
      </c>
      <c r="C1296" s="25" t="s">
        <v>2462</v>
      </c>
      <c r="D1296" s="25">
        <v>85</v>
      </c>
      <c r="E1296" s="25">
        <v>6.4</v>
      </c>
      <c r="F1296" s="25" t="str" cm="1">
        <f t="array" ref="F12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6" s="26">
        <v>0.1</v>
      </c>
      <c r="H1296" s="27">
        <v>706</v>
      </c>
    </row>
    <row r="1297" spans="1:8" ht="18" x14ac:dyDescent="0.25">
      <c r="A1297" s="24" t="s">
        <v>1160</v>
      </c>
      <c r="B1297" s="25">
        <v>2015</v>
      </c>
      <c r="C1297" s="25" t="s">
        <v>2462</v>
      </c>
      <c r="D1297" s="25">
        <v>101</v>
      </c>
      <c r="E1297" s="25">
        <v>7.6</v>
      </c>
      <c r="F1297" s="25" t="str" cm="1">
        <f t="array" ref="F12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7" s="26">
        <v>2.46</v>
      </c>
      <c r="H1297" s="27">
        <v>14610</v>
      </c>
    </row>
    <row r="1298" spans="1:8" ht="18" x14ac:dyDescent="0.25">
      <c r="A1298" s="24" t="s">
        <v>1161</v>
      </c>
      <c r="B1298" s="25">
        <v>2015</v>
      </c>
      <c r="C1298" s="25" t="s">
        <v>2463</v>
      </c>
      <c r="D1298" s="25">
        <v>115</v>
      </c>
      <c r="E1298" s="25">
        <v>7</v>
      </c>
      <c r="F1298" s="25" t="str" cm="1">
        <f t="array" ref="F12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8" s="26">
        <v>0.12</v>
      </c>
      <c r="H1298" s="27">
        <v>11046</v>
      </c>
    </row>
    <row r="1299" spans="1:8" ht="18" x14ac:dyDescent="0.25">
      <c r="A1299" s="24" t="s">
        <v>1162</v>
      </c>
      <c r="B1299" s="25">
        <v>2015</v>
      </c>
      <c r="C1299" s="25" t="s">
        <v>2462</v>
      </c>
      <c r="D1299" s="25">
        <v>110</v>
      </c>
      <c r="E1299" s="25">
        <v>5.9</v>
      </c>
      <c r="F1299" s="25" t="str" cm="1">
        <f t="array" ref="F12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299" s="26">
        <v>5.78</v>
      </c>
      <c r="H1299" s="27">
        <v>59278</v>
      </c>
    </row>
    <row r="1300" spans="1:8" ht="18" x14ac:dyDescent="0.25">
      <c r="A1300" s="24" t="s">
        <v>1163</v>
      </c>
      <c r="B1300" s="25">
        <v>2015</v>
      </c>
      <c r="C1300" s="25" t="s">
        <v>2464</v>
      </c>
      <c r="D1300" s="25">
        <v>98</v>
      </c>
      <c r="E1300" s="25">
        <v>7.2</v>
      </c>
      <c r="F1300" s="25" t="str" cm="1">
        <f t="array" ref="F13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0" s="26">
        <v>0.03</v>
      </c>
      <c r="H1300" s="27">
        <v>11756</v>
      </c>
    </row>
    <row r="1301" spans="1:8" ht="18" x14ac:dyDescent="0.25">
      <c r="A1301" s="24" t="s">
        <v>2289</v>
      </c>
      <c r="B1301" s="25">
        <v>2015</v>
      </c>
      <c r="C1301" s="25" t="s">
        <v>2462</v>
      </c>
      <c r="D1301" s="25">
        <v>107</v>
      </c>
      <c r="E1301" s="25">
        <v>5.8</v>
      </c>
      <c r="F1301" s="25" t="str" cm="1">
        <f t="array" ref="F13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1" s="26">
        <v>26.28</v>
      </c>
      <c r="H1301" s="27">
        <v>25731</v>
      </c>
    </row>
    <row r="1302" spans="1:8" ht="18" x14ac:dyDescent="0.25">
      <c r="A1302" s="24" t="s">
        <v>1168</v>
      </c>
      <c r="B1302" s="25">
        <v>2015</v>
      </c>
      <c r="C1302" s="25" t="s">
        <v>2462</v>
      </c>
      <c r="D1302" s="25">
        <v>100</v>
      </c>
      <c r="E1302" s="25">
        <v>6.3</v>
      </c>
      <c r="F1302" s="25" t="str" cm="1">
        <f t="array" ref="F13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2" s="26">
        <v>0.01</v>
      </c>
      <c r="H1302" s="27">
        <v>1176</v>
      </c>
    </row>
    <row r="1303" spans="1:8" ht="18" x14ac:dyDescent="0.25">
      <c r="A1303" s="24" t="s">
        <v>1169</v>
      </c>
      <c r="B1303" s="25">
        <v>2015</v>
      </c>
      <c r="C1303" s="25" t="s">
        <v>2462</v>
      </c>
      <c r="D1303" s="25">
        <v>111</v>
      </c>
      <c r="E1303" s="25">
        <v>5.7</v>
      </c>
      <c r="F1303" s="25" t="str" cm="1">
        <f t="array" ref="F13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3" s="26">
        <v>35.090000000000003</v>
      </c>
      <c r="H1303" s="27">
        <v>66558</v>
      </c>
    </row>
    <row r="1304" spans="1:8" ht="18" x14ac:dyDescent="0.25">
      <c r="A1304" s="24" t="s">
        <v>1171</v>
      </c>
      <c r="B1304" s="25">
        <v>2015</v>
      </c>
      <c r="C1304" s="25" t="s">
        <v>2463</v>
      </c>
      <c r="D1304" s="25">
        <v>137</v>
      </c>
      <c r="E1304" s="25">
        <v>6.5</v>
      </c>
      <c r="F1304" s="25" t="str" cm="1">
        <f t="array" ref="F13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4" s="26">
        <v>281.72000000000003</v>
      </c>
      <c r="H1304" s="27">
        <v>354403</v>
      </c>
    </row>
    <row r="1305" spans="1:8" ht="18" x14ac:dyDescent="0.25">
      <c r="A1305" s="24" t="s">
        <v>2290</v>
      </c>
      <c r="B1305" s="25">
        <v>2015</v>
      </c>
      <c r="C1305" s="25" t="s">
        <v>2462</v>
      </c>
      <c r="D1305" s="25">
        <v>102</v>
      </c>
      <c r="E1305" s="25">
        <v>8.3000000000000007</v>
      </c>
      <c r="F1305" s="25" t="str" cm="1">
        <f t="array" ref="F13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5" s="26">
        <v>2.46</v>
      </c>
      <c r="H1305" s="27">
        <v>20217</v>
      </c>
    </row>
    <row r="1306" spans="1:8" ht="18" x14ac:dyDescent="0.25">
      <c r="A1306" s="24" t="s">
        <v>1173</v>
      </c>
      <c r="B1306" s="25">
        <v>2015</v>
      </c>
      <c r="C1306" s="25" t="s">
        <v>2462</v>
      </c>
      <c r="D1306" s="25">
        <v>103</v>
      </c>
      <c r="E1306" s="25">
        <v>7.4</v>
      </c>
      <c r="F1306" s="25" t="str" cm="1">
        <f t="array" ref="F13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6" s="26">
        <v>0.41</v>
      </c>
      <c r="H1306" s="27">
        <v>6444</v>
      </c>
    </row>
    <row r="1307" spans="1:8" ht="18" x14ac:dyDescent="0.25">
      <c r="A1307" s="24" t="s">
        <v>1174</v>
      </c>
      <c r="B1307" s="25">
        <v>2015</v>
      </c>
      <c r="C1307" s="25" t="s">
        <v>2462</v>
      </c>
      <c r="D1307" s="25">
        <v>105</v>
      </c>
      <c r="E1307" s="25">
        <v>6.2</v>
      </c>
      <c r="F1307" s="25" t="str" cm="1">
        <f t="array" ref="F13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7" s="26">
        <v>0.14000000000000001</v>
      </c>
      <c r="H1307" s="27">
        <v>7884</v>
      </c>
    </row>
    <row r="1308" spans="1:8" ht="18" x14ac:dyDescent="0.25">
      <c r="A1308" s="24" t="s">
        <v>1176</v>
      </c>
      <c r="B1308" s="25">
        <v>2015</v>
      </c>
      <c r="C1308" s="25" t="s">
        <v>2462</v>
      </c>
      <c r="D1308" s="25">
        <v>100</v>
      </c>
      <c r="E1308" s="25">
        <v>7.3</v>
      </c>
      <c r="F1308" s="25" t="str" cm="1">
        <f t="array" ref="F13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8" s="26">
        <v>0.7</v>
      </c>
      <c r="H1308" s="27">
        <v>18735</v>
      </c>
    </row>
    <row r="1309" spans="1:8" ht="18" x14ac:dyDescent="0.25">
      <c r="A1309" s="24" t="s">
        <v>1177</v>
      </c>
      <c r="B1309" s="25">
        <v>2015</v>
      </c>
      <c r="C1309" s="25" t="s">
        <v>2463</v>
      </c>
      <c r="D1309" s="25">
        <v>114</v>
      </c>
      <c r="E1309" s="25">
        <v>7.1</v>
      </c>
      <c r="F1309" s="25" t="str" cm="1">
        <f t="array" ref="F13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09" s="26">
        <v>0.09</v>
      </c>
      <c r="H1309" s="27">
        <v>34298</v>
      </c>
    </row>
    <row r="1310" spans="1:8" ht="18" x14ac:dyDescent="0.25">
      <c r="A1310" s="24" t="s">
        <v>1178</v>
      </c>
      <c r="B1310" s="25">
        <v>2015</v>
      </c>
      <c r="C1310" s="25" t="s">
        <v>2462</v>
      </c>
      <c r="D1310" s="25">
        <v>105</v>
      </c>
      <c r="E1310" s="25">
        <v>6.6</v>
      </c>
      <c r="F1310" s="25" t="str" cm="1">
        <f t="array" ref="F13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0" s="26">
        <v>0.18</v>
      </c>
      <c r="H1310" s="27">
        <v>41631</v>
      </c>
    </row>
    <row r="1311" spans="1:8" ht="18" x14ac:dyDescent="0.25">
      <c r="A1311" s="24" t="s">
        <v>1186</v>
      </c>
      <c r="B1311" s="25">
        <v>2015</v>
      </c>
      <c r="C1311" s="25" t="s">
        <v>2463</v>
      </c>
      <c r="D1311" s="25">
        <v>90</v>
      </c>
      <c r="E1311" s="25">
        <v>6.4</v>
      </c>
      <c r="F1311" s="25" t="str" cm="1">
        <f t="array" ref="F13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1" s="26">
        <v>2.46</v>
      </c>
      <c r="H1311" s="27">
        <v>13472</v>
      </c>
    </row>
    <row r="1312" spans="1:8" ht="18" x14ac:dyDescent="0.25">
      <c r="A1312" s="24" t="s">
        <v>1188</v>
      </c>
      <c r="B1312" s="25">
        <v>2015</v>
      </c>
      <c r="C1312" s="25" t="s">
        <v>2462</v>
      </c>
      <c r="D1312" s="25">
        <v>121</v>
      </c>
      <c r="E1312" s="25">
        <v>7.1</v>
      </c>
      <c r="F1312" s="25" t="str" cm="1">
        <f t="array" ref="F13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2" s="26">
        <v>2.46</v>
      </c>
      <c r="H1312" s="27">
        <v>4805</v>
      </c>
    </row>
    <row r="1313" spans="1:8" ht="18" x14ac:dyDescent="0.25">
      <c r="A1313" s="24" t="s">
        <v>1189</v>
      </c>
      <c r="B1313" s="25">
        <v>2015</v>
      </c>
      <c r="C1313" s="25" t="s">
        <v>2462</v>
      </c>
      <c r="D1313" s="25">
        <v>99</v>
      </c>
      <c r="E1313" s="25">
        <v>7.1</v>
      </c>
      <c r="F1313" s="25" t="str" cm="1">
        <f t="array" ref="F13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3" s="26">
        <v>0.1</v>
      </c>
      <c r="H1313" s="27">
        <v>5180</v>
      </c>
    </row>
    <row r="1314" spans="1:8" ht="18" x14ac:dyDescent="0.25">
      <c r="A1314" s="24" t="s">
        <v>1191</v>
      </c>
      <c r="B1314" s="25">
        <v>2015</v>
      </c>
      <c r="C1314" s="25" t="s">
        <v>2462</v>
      </c>
      <c r="D1314" s="25">
        <v>129</v>
      </c>
      <c r="E1314" s="25">
        <v>6.9</v>
      </c>
      <c r="F1314" s="25" t="str" cm="1">
        <f t="array" ref="F13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4" s="26">
        <v>0.51</v>
      </c>
      <c r="H1314" s="27">
        <v>5615</v>
      </c>
    </row>
    <row r="1315" spans="1:8" ht="18" x14ac:dyDescent="0.25">
      <c r="A1315" s="24" t="s">
        <v>2291</v>
      </c>
      <c r="B1315" s="25">
        <v>2015</v>
      </c>
      <c r="C1315" s="25" t="s">
        <v>2462</v>
      </c>
      <c r="D1315" s="25">
        <v>100</v>
      </c>
      <c r="E1315" s="25">
        <v>6.5</v>
      </c>
      <c r="F1315" s="25" t="str" cm="1">
        <f t="array" ref="F13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5" s="26">
        <v>0.05</v>
      </c>
      <c r="H1315" s="27">
        <v>2536</v>
      </c>
    </row>
    <row r="1316" spans="1:8" ht="18" x14ac:dyDescent="0.25">
      <c r="A1316" s="24" t="s">
        <v>1193</v>
      </c>
      <c r="B1316" s="25">
        <v>2015</v>
      </c>
      <c r="C1316" s="25" t="s">
        <v>2462</v>
      </c>
      <c r="D1316" s="25">
        <v>114</v>
      </c>
      <c r="E1316" s="25">
        <v>5.3</v>
      </c>
      <c r="F1316" s="25" t="str" cm="1">
        <f t="array" ref="F13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6" s="26">
        <v>28.78</v>
      </c>
      <c r="H1316" s="27">
        <v>65390</v>
      </c>
    </row>
    <row r="1317" spans="1:8" ht="18" x14ac:dyDescent="0.25">
      <c r="A1317" s="24" t="s">
        <v>2292</v>
      </c>
      <c r="B1317" s="25">
        <v>2015</v>
      </c>
      <c r="C1317" s="25" t="s">
        <v>2462</v>
      </c>
      <c r="D1317" s="25">
        <v>105</v>
      </c>
      <c r="E1317" s="25">
        <v>6.3</v>
      </c>
      <c r="F1317" s="25" t="str" cm="1">
        <f t="array" ref="F13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7" s="26">
        <v>0.03</v>
      </c>
      <c r="H1317" s="27">
        <v>3059</v>
      </c>
    </row>
    <row r="1318" spans="1:8" ht="18" x14ac:dyDescent="0.25">
      <c r="A1318" s="24" t="s">
        <v>1198</v>
      </c>
      <c r="B1318" s="25">
        <v>2015</v>
      </c>
      <c r="C1318" s="25" t="s">
        <v>2462</v>
      </c>
      <c r="D1318" s="25">
        <v>95</v>
      </c>
      <c r="E1318" s="25">
        <v>6.1</v>
      </c>
      <c r="F1318" s="25" t="str" cm="1">
        <f t="array" ref="F13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8" s="26">
        <v>2.46</v>
      </c>
      <c r="H1318" s="27">
        <v>3853</v>
      </c>
    </row>
    <row r="1319" spans="1:8" ht="18" x14ac:dyDescent="0.25">
      <c r="A1319" s="24" t="s">
        <v>2293</v>
      </c>
      <c r="B1319" s="25">
        <v>2015</v>
      </c>
      <c r="C1319" s="25" t="s">
        <v>2462</v>
      </c>
      <c r="D1319" s="25">
        <v>98</v>
      </c>
      <c r="E1319" s="25">
        <v>5.9</v>
      </c>
      <c r="F1319" s="25" t="str" cm="1">
        <f t="array" ref="F13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19" s="26">
        <v>1.51</v>
      </c>
      <c r="H1319" s="27">
        <v>23381</v>
      </c>
    </row>
    <row r="1320" spans="1:8" ht="18" x14ac:dyDescent="0.25">
      <c r="A1320" s="24" t="s">
        <v>1209</v>
      </c>
      <c r="B1320" s="25">
        <v>2015</v>
      </c>
      <c r="C1320" s="25" t="s">
        <v>2462</v>
      </c>
      <c r="D1320" s="25">
        <v>93</v>
      </c>
      <c r="E1320" s="25">
        <v>7.2</v>
      </c>
      <c r="F1320" s="25" t="str" cm="1">
        <f t="array" ref="F13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0" s="26">
        <v>0.14000000000000001</v>
      </c>
      <c r="H1320" s="27">
        <v>14974</v>
      </c>
    </row>
    <row r="1321" spans="1:8" ht="18" x14ac:dyDescent="0.25">
      <c r="A1321" s="24" t="s">
        <v>2294</v>
      </c>
      <c r="B1321" s="25">
        <v>2015</v>
      </c>
      <c r="C1321" s="25" t="s">
        <v>2462</v>
      </c>
      <c r="D1321" s="25">
        <v>128</v>
      </c>
      <c r="E1321" s="25">
        <v>5.7</v>
      </c>
      <c r="F1321" s="25" t="str" cm="1">
        <f t="array" ref="F13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1" s="26">
        <v>2.46</v>
      </c>
      <c r="H1321" s="27">
        <v>12292</v>
      </c>
    </row>
    <row r="1322" spans="1:8" ht="18" x14ac:dyDescent="0.25">
      <c r="A1322" s="24" t="s">
        <v>1217</v>
      </c>
      <c r="B1322" s="25">
        <v>2015</v>
      </c>
      <c r="C1322" s="25" t="s">
        <v>2462</v>
      </c>
      <c r="D1322" s="25">
        <v>115</v>
      </c>
      <c r="E1322" s="25">
        <v>6.6</v>
      </c>
      <c r="F1322" s="25" t="str" cm="1">
        <f t="array" ref="F13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2" s="26">
        <v>0.02</v>
      </c>
      <c r="H1322" s="27">
        <v>1062</v>
      </c>
    </row>
    <row r="1323" spans="1:8" ht="18" x14ac:dyDescent="0.25">
      <c r="A1323" s="24" t="s">
        <v>2295</v>
      </c>
      <c r="B1323" s="25">
        <v>2015</v>
      </c>
      <c r="C1323" s="25" t="s">
        <v>2462</v>
      </c>
      <c r="D1323" s="25">
        <v>122</v>
      </c>
      <c r="E1323" s="25">
        <v>6.8</v>
      </c>
      <c r="F1323" s="25" t="str" cm="1">
        <f t="array" ref="F13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3" s="26">
        <v>0.05</v>
      </c>
      <c r="H1323" s="27">
        <v>5287</v>
      </c>
    </row>
    <row r="1324" spans="1:8" ht="18" x14ac:dyDescent="0.25">
      <c r="A1324" s="24" t="s">
        <v>1226</v>
      </c>
      <c r="B1324" s="25">
        <v>2015</v>
      </c>
      <c r="C1324" s="25" t="s">
        <v>2462</v>
      </c>
      <c r="D1324" s="25">
        <v>79</v>
      </c>
      <c r="E1324" s="25">
        <v>6.1</v>
      </c>
      <c r="F1324" s="25" t="str" cm="1">
        <f t="array" ref="F13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4" s="26">
        <v>1.1000000000000001</v>
      </c>
      <c r="H1324" s="27">
        <v>17439</v>
      </c>
    </row>
    <row r="1325" spans="1:8" ht="18" x14ac:dyDescent="0.25">
      <c r="A1325" s="24" t="s">
        <v>1227</v>
      </c>
      <c r="B1325" s="25">
        <v>2015</v>
      </c>
      <c r="C1325" s="25" t="s">
        <v>2462</v>
      </c>
      <c r="D1325" s="25">
        <v>113</v>
      </c>
      <c r="E1325" s="25">
        <v>7.4</v>
      </c>
      <c r="F1325" s="25" t="str" cm="1">
        <f t="array" ref="F13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5" s="26">
        <v>0.12</v>
      </c>
      <c r="H1325" s="27">
        <v>12399</v>
      </c>
    </row>
    <row r="1326" spans="1:8" ht="18" x14ac:dyDescent="0.25">
      <c r="A1326" s="24" t="s">
        <v>1228</v>
      </c>
      <c r="B1326" s="25">
        <v>2015</v>
      </c>
      <c r="C1326" s="25" t="s">
        <v>2462</v>
      </c>
      <c r="D1326" s="25">
        <v>89</v>
      </c>
      <c r="E1326" s="25">
        <v>7.4</v>
      </c>
      <c r="F1326" s="25" t="str" cm="1">
        <f t="array" ref="F13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6" s="26">
        <v>2.46</v>
      </c>
      <c r="H1326" s="27">
        <v>1108</v>
      </c>
    </row>
    <row r="1327" spans="1:8" ht="18" x14ac:dyDescent="0.25">
      <c r="A1327" s="24" t="s">
        <v>1230</v>
      </c>
      <c r="B1327" s="25">
        <v>2015</v>
      </c>
      <c r="C1327" s="25" t="s">
        <v>2462</v>
      </c>
      <c r="D1327" s="25">
        <v>103</v>
      </c>
      <c r="E1327" s="25">
        <v>6</v>
      </c>
      <c r="F1327" s="25" t="str" cm="1">
        <f t="array" ref="F13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7" s="26">
        <v>2.46</v>
      </c>
      <c r="H1327" s="27">
        <v>9940</v>
      </c>
    </row>
    <row r="1328" spans="1:8" ht="18" x14ac:dyDescent="0.25">
      <c r="A1328" s="24" t="s">
        <v>1236</v>
      </c>
      <c r="B1328" s="25">
        <v>2015</v>
      </c>
      <c r="C1328" s="25" t="s">
        <v>2462</v>
      </c>
      <c r="D1328" s="25">
        <v>100</v>
      </c>
      <c r="E1328" s="25">
        <v>6.6</v>
      </c>
      <c r="F1328" s="25" t="str" cm="1">
        <f t="array" ref="F13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8" s="26">
        <v>0.23</v>
      </c>
      <c r="H1328" s="27">
        <v>116955</v>
      </c>
    </row>
    <row r="1329" spans="1:8" ht="18" x14ac:dyDescent="0.25">
      <c r="A1329" s="24" t="s">
        <v>1238</v>
      </c>
      <c r="B1329" s="25">
        <v>2015</v>
      </c>
      <c r="C1329" s="25" t="s">
        <v>2462</v>
      </c>
      <c r="D1329" s="25">
        <v>108</v>
      </c>
      <c r="E1329" s="25">
        <v>7.3</v>
      </c>
      <c r="F1329" s="25" t="str" cm="1">
        <f t="array" ref="F13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29" s="26">
        <v>0.21</v>
      </c>
      <c r="H1329" s="27">
        <v>13718</v>
      </c>
    </row>
    <row r="1330" spans="1:8" ht="18" x14ac:dyDescent="0.25">
      <c r="A1330" s="24" t="s">
        <v>1239</v>
      </c>
      <c r="B1330" s="25">
        <v>2015</v>
      </c>
      <c r="C1330" s="25" t="s">
        <v>2462</v>
      </c>
      <c r="D1330" s="25">
        <v>109</v>
      </c>
      <c r="E1330" s="25">
        <v>6.6</v>
      </c>
      <c r="F1330" s="25" t="str" cm="1">
        <f t="array" ref="F13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0" s="26">
        <v>0.16</v>
      </c>
      <c r="H1330" s="27">
        <v>14010</v>
      </c>
    </row>
    <row r="1331" spans="1:8" ht="18" x14ac:dyDescent="0.25">
      <c r="A1331" s="24" t="s">
        <v>1241</v>
      </c>
      <c r="B1331" s="25">
        <v>2015</v>
      </c>
      <c r="C1331" s="25" t="s">
        <v>2462</v>
      </c>
      <c r="D1331" s="25">
        <v>130</v>
      </c>
      <c r="E1331" s="25">
        <v>6.1</v>
      </c>
      <c r="F1331" s="25" t="str" cm="1">
        <f t="array" ref="F13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1" s="26">
        <v>0.03</v>
      </c>
      <c r="H1331" s="27">
        <v>3370</v>
      </c>
    </row>
    <row r="1332" spans="1:8" ht="18" x14ac:dyDescent="0.25">
      <c r="A1332" s="24" t="s">
        <v>1242</v>
      </c>
      <c r="B1332" s="25">
        <v>2015</v>
      </c>
      <c r="C1332" s="25" t="s">
        <v>2462</v>
      </c>
      <c r="D1332" s="25">
        <v>127</v>
      </c>
      <c r="E1332" s="25">
        <v>7.5</v>
      </c>
      <c r="F1332" s="25" t="str" cm="1">
        <f t="array" ref="F13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2" s="26">
        <v>0.46</v>
      </c>
      <c r="H1332" s="27">
        <v>16399</v>
      </c>
    </row>
    <row r="1333" spans="1:8" ht="18" x14ac:dyDescent="0.25">
      <c r="A1333" s="24" t="s">
        <v>1246</v>
      </c>
      <c r="B1333" s="25">
        <v>2015</v>
      </c>
      <c r="C1333" s="25" t="s">
        <v>2462</v>
      </c>
      <c r="D1333" s="25">
        <v>100</v>
      </c>
      <c r="E1333" s="25">
        <v>5.8</v>
      </c>
      <c r="F1333" s="25" t="str" cm="1">
        <f t="array" ref="F13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3" s="26">
        <v>2.46</v>
      </c>
      <c r="H1333" s="27">
        <v>2390</v>
      </c>
    </row>
    <row r="1334" spans="1:8" ht="18" x14ac:dyDescent="0.25">
      <c r="A1334" s="24" t="s">
        <v>1247</v>
      </c>
      <c r="B1334" s="25">
        <v>2015</v>
      </c>
      <c r="C1334" s="25" t="s">
        <v>2463</v>
      </c>
      <c r="D1334" s="25">
        <v>98</v>
      </c>
      <c r="E1334" s="25">
        <v>5.0999999999999996</v>
      </c>
      <c r="F1334" s="25" t="str" cm="1">
        <f t="array" ref="F13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4" s="26">
        <v>2.46</v>
      </c>
      <c r="H1334" s="27">
        <v>3442</v>
      </c>
    </row>
    <row r="1335" spans="1:8" ht="18" x14ac:dyDescent="0.25">
      <c r="A1335" s="24" t="s">
        <v>2296</v>
      </c>
      <c r="B1335" s="25">
        <v>2015</v>
      </c>
      <c r="C1335" s="25" t="s">
        <v>2462</v>
      </c>
      <c r="D1335" s="25">
        <v>100</v>
      </c>
      <c r="E1335" s="25">
        <v>7.8</v>
      </c>
      <c r="F1335" s="25" t="str" cm="1">
        <f t="array" ref="F13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5" s="26">
        <v>0.44</v>
      </c>
      <c r="H1335" s="27">
        <v>44568</v>
      </c>
    </row>
    <row r="1336" spans="1:8" ht="18" x14ac:dyDescent="0.25">
      <c r="A1336" s="24" t="s">
        <v>1254</v>
      </c>
      <c r="B1336" s="25">
        <v>2015</v>
      </c>
      <c r="C1336" s="25" t="s">
        <v>2462</v>
      </c>
      <c r="D1336" s="25">
        <v>112</v>
      </c>
      <c r="E1336" s="25">
        <v>7.7</v>
      </c>
      <c r="F1336" s="25" t="str" cm="1">
        <f t="array" ref="F13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6" s="26">
        <v>0.38</v>
      </c>
      <c r="H1336" s="27">
        <v>16290</v>
      </c>
    </row>
    <row r="1337" spans="1:8" ht="18" x14ac:dyDescent="0.25">
      <c r="A1337" s="24" t="s">
        <v>1255</v>
      </c>
      <c r="B1337" s="25">
        <v>2015</v>
      </c>
      <c r="C1337" s="25" t="s">
        <v>2464</v>
      </c>
      <c r="D1337" s="25">
        <v>99</v>
      </c>
      <c r="E1337" s="25">
        <v>6.3</v>
      </c>
      <c r="F1337" s="25" t="str" cm="1">
        <f t="array" ref="F13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7" s="26">
        <v>2.46</v>
      </c>
      <c r="H1337" s="27">
        <v>21925</v>
      </c>
    </row>
    <row r="1338" spans="1:8" ht="18" x14ac:dyDescent="0.25">
      <c r="A1338" s="24" t="s">
        <v>1257</v>
      </c>
      <c r="B1338" s="25">
        <v>2015</v>
      </c>
      <c r="C1338" s="25" t="s">
        <v>2463</v>
      </c>
      <c r="D1338" s="25">
        <v>124</v>
      </c>
      <c r="E1338" s="25">
        <v>7.1</v>
      </c>
      <c r="F1338" s="25" t="str" cm="1">
        <f t="array" ref="F13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8" s="26">
        <v>0.05</v>
      </c>
      <c r="H1338" s="27">
        <v>13896</v>
      </c>
    </row>
    <row r="1339" spans="1:8" ht="18" x14ac:dyDescent="0.25">
      <c r="A1339" s="24" t="s">
        <v>1258</v>
      </c>
      <c r="B1339" s="25">
        <v>2015</v>
      </c>
      <c r="C1339" s="25" t="s">
        <v>2462</v>
      </c>
      <c r="D1339" s="25">
        <v>98</v>
      </c>
      <c r="E1339" s="25">
        <v>6.6</v>
      </c>
      <c r="F1339" s="25" t="str" cm="1">
        <f t="array" ref="F13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39" s="26">
        <v>2.46</v>
      </c>
      <c r="H1339" s="27">
        <v>2375</v>
      </c>
    </row>
    <row r="1340" spans="1:8" ht="18" x14ac:dyDescent="0.25">
      <c r="A1340" s="24" t="s">
        <v>1259</v>
      </c>
      <c r="B1340" s="25">
        <v>2015</v>
      </c>
      <c r="C1340" s="25" t="s">
        <v>2462</v>
      </c>
      <c r="D1340" s="25">
        <v>89</v>
      </c>
      <c r="E1340" s="25">
        <v>6.7</v>
      </c>
      <c r="F1340" s="25" t="str" cm="1">
        <f t="array" ref="F13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0" s="26">
        <v>0.03</v>
      </c>
      <c r="H1340" s="27">
        <v>3174</v>
      </c>
    </row>
    <row r="1341" spans="1:8" ht="18" x14ac:dyDescent="0.25">
      <c r="A1341" s="24" t="s">
        <v>1260</v>
      </c>
      <c r="B1341" s="25">
        <v>2015</v>
      </c>
      <c r="C1341" s="25" t="s">
        <v>2462</v>
      </c>
      <c r="D1341" s="25">
        <v>96</v>
      </c>
      <c r="E1341" s="25">
        <v>6.7</v>
      </c>
      <c r="F1341" s="25" t="str" cm="1">
        <f t="array" ref="F13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1" s="26">
        <v>9.25</v>
      </c>
      <c r="H1341" s="27">
        <v>100288</v>
      </c>
    </row>
    <row r="1342" spans="1:8" ht="18" x14ac:dyDescent="0.25">
      <c r="A1342" s="24" t="s">
        <v>1261</v>
      </c>
      <c r="B1342" s="25">
        <v>2015</v>
      </c>
      <c r="C1342" s="25" t="s">
        <v>2462</v>
      </c>
      <c r="D1342" s="25">
        <v>119</v>
      </c>
      <c r="E1342" s="25">
        <v>5.5</v>
      </c>
      <c r="F1342" s="25" t="str" cm="1">
        <f t="array" ref="F13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2" s="26">
        <v>0.34</v>
      </c>
      <c r="H1342" s="27">
        <v>44562</v>
      </c>
    </row>
    <row r="1343" spans="1:8" ht="18" x14ac:dyDescent="0.25">
      <c r="A1343" s="24" t="s">
        <v>1262</v>
      </c>
      <c r="B1343" s="25">
        <v>2015</v>
      </c>
      <c r="C1343" s="25" t="s">
        <v>2463</v>
      </c>
      <c r="D1343" s="25">
        <v>87</v>
      </c>
      <c r="E1343" s="25">
        <v>5.2</v>
      </c>
      <c r="F1343" s="25" t="str" cm="1">
        <f t="array" ref="F13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3" s="26">
        <v>0.01</v>
      </c>
      <c r="H1343" s="27">
        <v>5984</v>
      </c>
    </row>
    <row r="1344" spans="1:8" ht="18" x14ac:dyDescent="0.25">
      <c r="A1344" s="24" t="s">
        <v>1264</v>
      </c>
      <c r="B1344" s="25">
        <v>2015</v>
      </c>
      <c r="C1344" s="25" t="s">
        <v>2462</v>
      </c>
      <c r="D1344" s="25">
        <v>97</v>
      </c>
      <c r="E1344" s="25">
        <v>5.4</v>
      </c>
      <c r="F1344" s="25" t="str" cm="1">
        <f t="array" ref="F13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4" s="26">
        <v>0.06</v>
      </c>
      <c r="H1344" s="27">
        <v>2264</v>
      </c>
    </row>
    <row r="1345" spans="1:8" ht="18" x14ac:dyDescent="0.25">
      <c r="A1345" s="24" t="s">
        <v>1265</v>
      </c>
      <c r="B1345" s="25">
        <v>2015</v>
      </c>
      <c r="C1345" s="25" t="s">
        <v>2462</v>
      </c>
      <c r="D1345" s="25">
        <v>123</v>
      </c>
      <c r="E1345" s="25">
        <v>6.7</v>
      </c>
      <c r="F1345" s="25" t="str" cm="1">
        <f t="array" ref="F13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5" s="26">
        <v>0.27</v>
      </c>
      <c r="H1345" s="27">
        <v>3754</v>
      </c>
    </row>
    <row r="1346" spans="1:8" ht="18" x14ac:dyDescent="0.25">
      <c r="A1346" s="24" t="s">
        <v>2297</v>
      </c>
      <c r="B1346" s="25">
        <v>2015</v>
      </c>
      <c r="C1346" s="25" t="s">
        <v>2462</v>
      </c>
      <c r="D1346" s="25">
        <v>106</v>
      </c>
      <c r="E1346" s="25">
        <v>7.3</v>
      </c>
      <c r="F1346" s="25" t="str" cm="1">
        <f t="array" ref="F13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6" s="26">
        <v>15.79</v>
      </c>
      <c r="H1346" s="27">
        <v>98526</v>
      </c>
    </row>
    <row r="1347" spans="1:8" ht="18" x14ac:dyDescent="0.25">
      <c r="A1347" s="24" t="s">
        <v>1276</v>
      </c>
      <c r="B1347" s="25">
        <v>2015</v>
      </c>
      <c r="C1347" s="25" t="s">
        <v>2462</v>
      </c>
      <c r="D1347" s="25">
        <v>93</v>
      </c>
      <c r="E1347" s="25">
        <v>5.9</v>
      </c>
      <c r="F1347" s="25" t="str" cm="1">
        <f t="array" ref="F13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7" s="26">
        <v>0.02</v>
      </c>
      <c r="H1347" s="27">
        <v>24983</v>
      </c>
    </row>
    <row r="1348" spans="1:8" ht="18" x14ac:dyDescent="0.25">
      <c r="A1348" s="24" t="s">
        <v>1282</v>
      </c>
      <c r="B1348" s="25">
        <v>2015</v>
      </c>
      <c r="C1348" s="25" t="s">
        <v>2462</v>
      </c>
      <c r="D1348" s="25">
        <v>100</v>
      </c>
      <c r="E1348" s="25">
        <v>6.4</v>
      </c>
      <c r="F1348" s="25" t="str" cm="1">
        <f t="array" ref="F13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8" s="26">
        <v>2.61</v>
      </c>
      <c r="H1348" s="27">
        <v>10432</v>
      </c>
    </row>
    <row r="1349" spans="1:8" ht="18" x14ac:dyDescent="0.25">
      <c r="A1349" s="24" t="s">
        <v>1283</v>
      </c>
      <c r="B1349" s="25">
        <v>2015</v>
      </c>
      <c r="C1349" s="25" t="s">
        <v>2462</v>
      </c>
      <c r="D1349" s="25">
        <v>105</v>
      </c>
      <c r="E1349" s="25">
        <v>6.1</v>
      </c>
      <c r="F1349" s="25" t="str" cm="1">
        <f t="array" ref="F13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49" s="26">
        <v>0.24</v>
      </c>
      <c r="H1349" s="27">
        <v>9797</v>
      </c>
    </row>
    <row r="1350" spans="1:8" ht="18" x14ac:dyDescent="0.25">
      <c r="A1350" s="24" t="s">
        <v>2298</v>
      </c>
      <c r="B1350" s="25">
        <v>2015</v>
      </c>
      <c r="C1350" s="25" t="s">
        <v>2462</v>
      </c>
      <c r="D1350" s="25">
        <v>97</v>
      </c>
      <c r="E1350" s="25">
        <v>6.8</v>
      </c>
      <c r="F1350" s="25" t="str" cm="1">
        <f t="array" ref="F13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0" s="26">
        <v>0.83</v>
      </c>
      <c r="H1350" s="27">
        <v>9141</v>
      </c>
    </row>
    <row r="1351" spans="1:8" ht="18" x14ac:dyDescent="0.25">
      <c r="A1351" s="24" t="s">
        <v>2299</v>
      </c>
      <c r="B1351" s="25">
        <v>2015</v>
      </c>
      <c r="C1351" s="25" t="s">
        <v>2462</v>
      </c>
      <c r="D1351" s="25">
        <v>87</v>
      </c>
      <c r="E1351" s="25">
        <v>7.6</v>
      </c>
      <c r="F1351" s="25" t="str" cm="1">
        <f t="array" ref="F13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1" s="26">
        <v>0.89</v>
      </c>
      <c r="H1351" s="27">
        <v>6451</v>
      </c>
    </row>
    <row r="1352" spans="1:8" ht="18" x14ac:dyDescent="0.25">
      <c r="A1352" s="24" t="s">
        <v>1297</v>
      </c>
      <c r="B1352" s="25">
        <v>2015</v>
      </c>
      <c r="C1352" s="25" t="s">
        <v>2462</v>
      </c>
      <c r="D1352" s="25">
        <v>95</v>
      </c>
      <c r="E1352" s="25">
        <v>6.3</v>
      </c>
      <c r="F1352" s="25" t="str" cm="1">
        <f t="array" ref="F13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2" s="26">
        <v>0.03</v>
      </c>
      <c r="H1352" s="27">
        <v>59448</v>
      </c>
    </row>
    <row r="1353" spans="1:8" ht="18" x14ac:dyDescent="0.25">
      <c r="A1353" s="24" t="s">
        <v>2300</v>
      </c>
      <c r="B1353" s="25">
        <v>2015</v>
      </c>
      <c r="C1353" s="25" t="s">
        <v>2463</v>
      </c>
      <c r="D1353" s="25">
        <v>104</v>
      </c>
      <c r="E1353" s="25">
        <v>6.7</v>
      </c>
      <c r="F1353" s="25" t="str" cm="1">
        <f t="array" ref="F13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3" s="26">
        <v>10.02</v>
      </c>
      <c r="H1353" s="27">
        <v>31259</v>
      </c>
    </row>
    <row r="1354" spans="1:8" ht="18" x14ac:dyDescent="0.25">
      <c r="A1354" s="24" t="s">
        <v>1305</v>
      </c>
      <c r="B1354" s="25">
        <v>2015</v>
      </c>
      <c r="C1354" s="25" t="s">
        <v>2463</v>
      </c>
      <c r="D1354" s="25">
        <v>125</v>
      </c>
      <c r="E1354" s="25">
        <v>6.4</v>
      </c>
      <c r="F1354" s="25" t="str" cm="1">
        <f t="array" ref="F13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4" s="26">
        <v>1.98</v>
      </c>
      <c r="H1354" s="27">
        <v>32125</v>
      </c>
    </row>
    <row r="1355" spans="1:8" ht="18" x14ac:dyDescent="0.25">
      <c r="A1355" s="24" t="s">
        <v>1306</v>
      </c>
      <c r="B1355" s="25">
        <v>2015</v>
      </c>
      <c r="C1355" s="25" t="s">
        <v>2462</v>
      </c>
      <c r="D1355" s="25">
        <v>93</v>
      </c>
      <c r="E1355" s="25">
        <v>6.7</v>
      </c>
      <c r="F1355" s="25" t="str" cm="1">
        <f t="array" ref="F13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5" s="26">
        <v>0.22</v>
      </c>
      <c r="H1355" s="27">
        <v>3435</v>
      </c>
    </row>
    <row r="1356" spans="1:8" ht="18" x14ac:dyDescent="0.25">
      <c r="A1356" s="24" t="s">
        <v>1307</v>
      </c>
      <c r="B1356" s="25">
        <v>2015</v>
      </c>
      <c r="C1356" s="25" t="s">
        <v>2463</v>
      </c>
      <c r="D1356" s="25">
        <v>108</v>
      </c>
      <c r="E1356" s="25">
        <v>7.7</v>
      </c>
      <c r="F1356" s="25" t="str" cm="1">
        <f t="array" ref="F13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6" s="26">
        <v>1.34</v>
      </c>
      <c r="H1356" s="27">
        <v>65409</v>
      </c>
    </row>
    <row r="1357" spans="1:8" ht="18" x14ac:dyDescent="0.25">
      <c r="A1357" s="24" t="s">
        <v>1308</v>
      </c>
      <c r="B1357" s="25">
        <v>2015</v>
      </c>
      <c r="C1357" s="25" t="s">
        <v>2462</v>
      </c>
      <c r="D1357" s="25">
        <v>93</v>
      </c>
      <c r="E1357" s="25">
        <v>6.7</v>
      </c>
      <c r="F1357" s="25" t="str" cm="1">
        <f t="array" ref="F13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7" s="26">
        <v>123.09</v>
      </c>
      <c r="H1357" s="27">
        <v>124306</v>
      </c>
    </row>
    <row r="1358" spans="1:8" ht="18" x14ac:dyDescent="0.25">
      <c r="A1358" s="24" t="s">
        <v>1310</v>
      </c>
      <c r="B1358" s="25">
        <v>2015</v>
      </c>
      <c r="C1358" s="25" t="s">
        <v>2462</v>
      </c>
      <c r="D1358" s="25">
        <v>108</v>
      </c>
      <c r="E1358" s="25">
        <v>7.2</v>
      </c>
      <c r="F1358" s="25" t="str" cm="1">
        <f t="array" ref="F13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8" s="26">
        <v>3.87</v>
      </c>
      <c r="H1358" s="27">
        <v>60797</v>
      </c>
    </row>
    <row r="1359" spans="1:8" ht="18" x14ac:dyDescent="0.25">
      <c r="A1359" s="24" t="s">
        <v>2301</v>
      </c>
      <c r="B1359" s="25">
        <v>2015</v>
      </c>
      <c r="C1359" s="25" t="s">
        <v>2464</v>
      </c>
      <c r="D1359" s="25">
        <v>102</v>
      </c>
      <c r="E1359" s="25">
        <v>7.3</v>
      </c>
      <c r="F1359" s="25" t="str" cm="1">
        <f t="array" ref="F13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59" s="26">
        <v>18.7</v>
      </c>
      <c r="H1359" s="27">
        <v>90214</v>
      </c>
    </row>
    <row r="1360" spans="1:8" ht="18" x14ac:dyDescent="0.25">
      <c r="A1360" s="24" t="s">
        <v>180</v>
      </c>
      <c r="B1360" s="25">
        <v>2015</v>
      </c>
      <c r="C1360" s="25" t="s">
        <v>2462</v>
      </c>
      <c r="D1360" s="25">
        <v>110</v>
      </c>
      <c r="E1360" s="25">
        <v>7</v>
      </c>
      <c r="F1360" s="25" t="str" cm="1">
        <f t="array" ref="F13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0" s="26">
        <v>2.46</v>
      </c>
      <c r="H1360" s="27">
        <v>56367</v>
      </c>
    </row>
    <row r="1361" spans="1:8" ht="18" x14ac:dyDescent="0.25">
      <c r="A1361" s="24" t="s">
        <v>1317</v>
      </c>
      <c r="B1361" s="25">
        <v>2015</v>
      </c>
      <c r="C1361" s="25" t="s">
        <v>2462</v>
      </c>
      <c r="D1361" s="25">
        <v>101</v>
      </c>
      <c r="E1361" s="25">
        <v>6</v>
      </c>
      <c r="F1361" s="25" t="str" cm="1">
        <f t="array" ref="F13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1" s="26">
        <v>0.03</v>
      </c>
      <c r="H1361" s="27">
        <v>32316</v>
      </c>
    </row>
    <row r="1362" spans="1:8" ht="18" x14ac:dyDescent="0.25">
      <c r="A1362" s="24" t="s">
        <v>1318</v>
      </c>
      <c r="B1362" s="25">
        <v>2015</v>
      </c>
      <c r="C1362" s="25" t="s">
        <v>2462</v>
      </c>
      <c r="D1362" s="25">
        <v>101</v>
      </c>
      <c r="E1362" s="25">
        <v>7</v>
      </c>
      <c r="F1362" s="25" t="str" cm="1">
        <f t="array" ref="F13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2" s="26">
        <v>1.98</v>
      </c>
      <c r="H1362" s="27">
        <v>107663</v>
      </c>
    </row>
    <row r="1363" spans="1:8" ht="18" x14ac:dyDescent="0.25">
      <c r="A1363" s="24" t="s">
        <v>1323</v>
      </c>
      <c r="B1363" s="25">
        <v>2015</v>
      </c>
      <c r="C1363" s="25" t="s">
        <v>2462</v>
      </c>
      <c r="D1363" s="25">
        <v>90</v>
      </c>
      <c r="E1363" s="25">
        <v>6.1</v>
      </c>
      <c r="F1363" s="25" t="str" cm="1">
        <f t="array" ref="F13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3" s="26">
        <v>0.02</v>
      </c>
      <c r="H1363" s="27">
        <v>4958</v>
      </c>
    </row>
    <row r="1364" spans="1:8" ht="18" x14ac:dyDescent="0.25">
      <c r="A1364" s="24" t="s">
        <v>1324</v>
      </c>
      <c r="B1364" s="25">
        <v>2015</v>
      </c>
      <c r="C1364" s="25" t="s">
        <v>2462</v>
      </c>
      <c r="D1364" s="25">
        <v>100</v>
      </c>
      <c r="E1364" s="25">
        <v>4.0999999999999996</v>
      </c>
      <c r="F1364" s="25" t="str" cm="1">
        <f t="array" ref="F13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4" s="26">
        <v>2.46</v>
      </c>
      <c r="H1364" s="27">
        <v>8954</v>
      </c>
    </row>
    <row r="1365" spans="1:8" ht="18" x14ac:dyDescent="0.25">
      <c r="A1365" s="24" t="s">
        <v>2302</v>
      </c>
      <c r="B1365" s="25">
        <v>2015</v>
      </c>
      <c r="C1365" s="25" t="s">
        <v>2462</v>
      </c>
      <c r="D1365" s="25">
        <v>82</v>
      </c>
      <c r="E1365" s="25">
        <v>4.9000000000000004</v>
      </c>
      <c r="F1365" s="25" t="str" cm="1">
        <f t="array" ref="F13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5" s="26">
        <v>0.02</v>
      </c>
      <c r="H1365" s="27">
        <v>916</v>
      </c>
    </row>
    <row r="1366" spans="1:8" ht="18" x14ac:dyDescent="0.25">
      <c r="A1366" s="24" t="s">
        <v>1328</v>
      </c>
      <c r="B1366" s="25">
        <v>2015</v>
      </c>
      <c r="C1366" s="25" t="s">
        <v>2462</v>
      </c>
      <c r="D1366" s="25">
        <v>96</v>
      </c>
      <c r="E1366" s="25">
        <v>6.1</v>
      </c>
      <c r="F1366" s="25" t="str" cm="1">
        <f t="array" ref="F13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6" s="26">
        <v>14.43</v>
      </c>
      <c r="H1366" s="27">
        <v>94850</v>
      </c>
    </row>
    <row r="1367" spans="1:8" ht="18" x14ac:dyDescent="0.25">
      <c r="A1367" s="24" t="s">
        <v>2303</v>
      </c>
      <c r="B1367" s="25">
        <v>2015</v>
      </c>
      <c r="C1367" s="25" t="s">
        <v>2462</v>
      </c>
      <c r="D1367" s="25">
        <v>110</v>
      </c>
      <c r="E1367" s="25">
        <v>6.2</v>
      </c>
      <c r="F1367" s="25" t="str" cm="1">
        <f t="array" ref="F13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7" s="26">
        <v>2.46</v>
      </c>
      <c r="H1367" s="27">
        <v>5705</v>
      </c>
    </row>
    <row r="1368" spans="1:8" ht="18" x14ac:dyDescent="0.25">
      <c r="A1368" s="24" t="s">
        <v>1338</v>
      </c>
      <c r="B1368" s="25">
        <v>2015</v>
      </c>
      <c r="C1368" s="25" t="s">
        <v>2464</v>
      </c>
      <c r="D1368" s="25">
        <v>95</v>
      </c>
      <c r="E1368" s="25">
        <v>7</v>
      </c>
      <c r="F1368" s="25" t="str" cm="1">
        <f t="array" ref="F13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8" s="26">
        <v>3.22</v>
      </c>
      <c r="H1368" s="27">
        <v>135921</v>
      </c>
    </row>
    <row r="1369" spans="1:8" ht="18" x14ac:dyDescent="0.25">
      <c r="A1369" s="24" t="s">
        <v>1339</v>
      </c>
      <c r="B1369" s="25">
        <v>2015</v>
      </c>
      <c r="C1369" s="25" t="s">
        <v>2462</v>
      </c>
      <c r="D1369" s="25">
        <v>90</v>
      </c>
      <c r="E1369" s="25">
        <v>6.6</v>
      </c>
      <c r="F1369" s="25" t="str" cm="1">
        <f t="array" ref="F13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69" s="26">
        <v>14.44</v>
      </c>
      <c r="H1369" s="27">
        <v>22306</v>
      </c>
    </row>
    <row r="1370" spans="1:8" ht="18" x14ac:dyDescent="0.25">
      <c r="A1370" s="24" t="s">
        <v>1340</v>
      </c>
      <c r="B1370" s="25">
        <v>2015</v>
      </c>
      <c r="C1370" s="25" t="s">
        <v>2462</v>
      </c>
      <c r="D1370" s="25">
        <v>114</v>
      </c>
      <c r="E1370" s="25">
        <v>7.4</v>
      </c>
      <c r="F1370" s="25" t="str" cm="1">
        <f t="array" ref="F13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0" s="26">
        <v>0.14000000000000001</v>
      </c>
      <c r="H1370" s="27">
        <v>2448</v>
      </c>
    </row>
    <row r="1371" spans="1:8" ht="18" x14ac:dyDescent="0.25">
      <c r="A1371" s="24" t="s">
        <v>1342</v>
      </c>
      <c r="B1371" s="25">
        <v>2015</v>
      </c>
      <c r="C1371" s="25" t="s">
        <v>2462</v>
      </c>
      <c r="D1371" s="25">
        <v>87</v>
      </c>
      <c r="E1371" s="25">
        <v>6.1</v>
      </c>
      <c r="F1371" s="25" t="str" cm="1">
        <f t="array" ref="F13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1" s="26">
        <v>0.01</v>
      </c>
      <c r="H1371" s="27">
        <v>10942</v>
      </c>
    </row>
    <row r="1372" spans="1:8" ht="18" x14ac:dyDescent="0.25">
      <c r="A1372" s="24" t="s">
        <v>2304</v>
      </c>
      <c r="B1372" s="25">
        <v>2015</v>
      </c>
      <c r="C1372" s="25" t="s">
        <v>2462</v>
      </c>
      <c r="D1372" s="25">
        <v>98</v>
      </c>
      <c r="E1372" s="25">
        <v>5.6</v>
      </c>
      <c r="F1372" s="25" t="str" cm="1">
        <f t="array" ref="F13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2" s="26">
        <v>2.46</v>
      </c>
      <c r="H1372" s="27">
        <v>4379</v>
      </c>
    </row>
    <row r="1373" spans="1:8" ht="18" x14ac:dyDescent="0.25">
      <c r="A1373" s="24" t="s">
        <v>2305</v>
      </c>
      <c r="B1373" s="25">
        <v>2015</v>
      </c>
      <c r="C1373" s="25" t="s">
        <v>2462</v>
      </c>
      <c r="D1373" s="25">
        <v>101</v>
      </c>
      <c r="E1373" s="25">
        <v>5.8</v>
      </c>
      <c r="F1373" s="25" t="str" cm="1">
        <f t="array" ref="F13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3" s="26">
        <v>0.01</v>
      </c>
      <c r="H1373" s="27">
        <v>21871</v>
      </c>
    </row>
    <row r="1374" spans="1:8" ht="18" x14ac:dyDescent="0.25">
      <c r="A1374" s="24" t="s">
        <v>1354</v>
      </c>
      <c r="B1374" s="25">
        <v>2015</v>
      </c>
      <c r="C1374" s="25" t="s">
        <v>2462</v>
      </c>
      <c r="D1374" s="25">
        <v>92</v>
      </c>
      <c r="E1374" s="25">
        <v>7</v>
      </c>
      <c r="F1374" s="25" t="str" cm="1">
        <f t="array" ref="F13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4" s="26">
        <v>25.14</v>
      </c>
      <c r="H1374" s="27">
        <v>289517</v>
      </c>
    </row>
    <row r="1375" spans="1:8" ht="18" x14ac:dyDescent="0.25">
      <c r="A1375" s="24" t="s">
        <v>2306</v>
      </c>
      <c r="B1375" s="25">
        <v>2015</v>
      </c>
      <c r="C1375" s="25" t="s">
        <v>2462</v>
      </c>
      <c r="D1375" s="25">
        <v>110</v>
      </c>
      <c r="E1375" s="25">
        <v>6.1</v>
      </c>
      <c r="F1375" s="25" t="str" cm="1">
        <f t="array" ref="F13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5" s="26">
        <v>0.02</v>
      </c>
      <c r="H1375" s="27">
        <v>17347</v>
      </c>
    </row>
    <row r="1376" spans="1:8" ht="18" x14ac:dyDescent="0.25">
      <c r="A1376" s="24" t="s">
        <v>1357</v>
      </c>
      <c r="B1376" s="25">
        <v>2015</v>
      </c>
      <c r="C1376" s="25" t="s">
        <v>2464</v>
      </c>
      <c r="D1376" s="25">
        <v>103</v>
      </c>
      <c r="E1376" s="25">
        <v>6.3</v>
      </c>
      <c r="F1376" s="25" t="str" cm="1">
        <f t="array" ref="F13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6" s="26">
        <v>4.2699999999999996</v>
      </c>
      <c r="H1376" s="27">
        <v>13722</v>
      </c>
    </row>
    <row r="1377" spans="1:8" ht="18" x14ac:dyDescent="0.25">
      <c r="A1377" s="24" t="s">
        <v>1363</v>
      </c>
      <c r="B1377" s="25">
        <v>2015</v>
      </c>
      <c r="C1377" s="25" t="s">
        <v>2462</v>
      </c>
      <c r="D1377" s="25">
        <v>96</v>
      </c>
      <c r="E1377" s="25">
        <v>5.5</v>
      </c>
      <c r="F1377" s="25" t="str" cm="1">
        <f t="array" ref="F13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7" s="26">
        <v>2.46</v>
      </c>
      <c r="H1377" s="27">
        <v>3068</v>
      </c>
    </row>
    <row r="1378" spans="1:8" ht="18" x14ac:dyDescent="0.25">
      <c r="A1378" s="24" t="s">
        <v>2307</v>
      </c>
      <c r="B1378" s="25">
        <v>2015</v>
      </c>
      <c r="C1378" s="25" t="s">
        <v>2462</v>
      </c>
      <c r="D1378" s="25">
        <v>115</v>
      </c>
      <c r="E1378" s="25">
        <v>6.1</v>
      </c>
      <c r="F1378" s="25" t="str" cm="1">
        <f t="array" ref="F13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8" s="26">
        <v>2.46</v>
      </c>
      <c r="H1378" s="27">
        <v>6376</v>
      </c>
    </row>
    <row r="1379" spans="1:8" ht="18" x14ac:dyDescent="0.25">
      <c r="A1379" s="24" t="s">
        <v>1367</v>
      </c>
      <c r="B1379" s="25">
        <v>2015</v>
      </c>
      <c r="C1379" s="25" t="s">
        <v>2462</v>
      </c>
      <c r="D1379" s="25">
        <v>90</v>
      </c>
      <c r="E1379" s="25">
        <v>5.0999999999999996</v>
      </c>
      <c r="F1379" s="25" t="str" cm="1">
        <f t="array" ref="F13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79" s="26">
        <v>2.46</v>
      </c>
      <c r="H1379" s="27">
        <v>2488</v>
      </c>
    </row>
    <row r="1380" spans="1:8" ht="18" x14ac:dyDescent="0.25">
      <c r="A1380" s="24" t="s">
        <v>1368</v>
      </c>
      <c r="B1380" s="25">
        <v>2015</v>
      </c>
      <c r="C1380" s="25" t="s">
        <v>2462</v>
      </c>
      <c r="D1380" s="25">
        <v>110</v>
      </c>
      <c r="E1380" s="25">
        <v>7.4</v>
      </c>
      <c r="F1380" s="25" t="str" cm="1">
        <f t="array" ref="F13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0" s="26">
        <v>0.16</v>
      </c>
      <c r="H1380" s="27">
        <v>6064</v>
      </c>
    </row>
    <row r="1381" spans="1:8" ht="18" x14ac:dyDescent="0.25">
      <c r="A1381" s="24" t="s">
        <v>1371</v>
      </c>
      <c r="B1381" s="25">
        <v>2015</v>
      </c>
      <c r="C1381" s="25" t="s">
        <v>2463</v>
      </c>
      <c r="D1381" s="25">
        <v>97</v>
      </c>
      <c r="E1381" s="25">
        <v>6.2</v>
      </c>
      <c r="F1381" s="25" t="str" cm="1">
        <f t="array" ref="F13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1" s="26">
        <v>0.01</v>
      </c>
      <c r="H1381" s="27">
        <v>4732</v>
      </c>
    </row>
    <row r="1382" spans="1:8" ht="18" x14ac:dyDescent="0.25">
      <c r="A1382" s="24" t="s">
        <v>1372</v>
      </c>
      <c r="B1382" s="25">
        <v>2015</v>
      </c>
      <c r="C1382" s="25" t="s">
        <v>2462</v>
      </c>
      <c r="D1382" s="25">
        <v>86</v>
      </c>
      <c r="E1382" s="25">
        <v>6.3</v>
      </c>
      <c r="F1382" s="25" t="str" cm="1">
        <f t="array" ref="F13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2" s="26">
        <v>2.46</v>
      </c>
      <c r="H1382" s="27">
        <v>442</v>
      </c>
    </row>
    <row r="1383" spans="1:8" ht="18" x14ac:dyDescent="0.25">
      <c r="A1383" s="24" t="s">
        <v>1378</v>
      </c>
      <c r="B1383" s="25">
        <v>2015</v>
      </c>
      <c r="C1383" s="25" t="s">
        <v>2463</v>
      </c>
      <c r="D1383" s="25">
        <v>96</v>
      </c>
      <c r="E1383" s="25">
        <v>6.1</v>
      </c>
      <c r="F1383" s="25" t="str" cm="1">
        <f t="array" ref="F13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3" s="26">
        <v>2.46</v>
      </c>
      <c r="H1383" s="27">
        <v>2972</v>
      </c>
    </row>
    <row r="1384" spans="1:8" ht="18" x14ac:dyDescent="0.25">
      <c r="A1384" s="24" t="s">
        <v>1386</v>
      </c>
      <c r="B1384" s="25">
        <v>2015</v>
      </c>
      <c r="C1384" s="25" t="s">
        <v>2462</v>
      </c>
      <c r="D1384" s="25">
        <v>101</v>
      </c>
      <c r="E1384" s="25">
        <v>6.8</v>
      </c>
      <c r="F1384" s="25" t="str" cm="1">
        <f t="array" ref="F13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4" s="26">
        <v>0.03</v>
      </c>
      <c r="H1384" s="27">
        <v>3418</v>
      </c>
    </row>
    <row r="1385" spans="1:8" ht="18" x14ac:dyDescent="0.25">
      <c r="A1385" s="24" t="s">
        <v>1396</v>
      </c>
      <c r="B1385" s="25">
        <v>2015</v>
      </c>
      <c r="C1385" s="25" t="s">
        <v>2462</v>
      </c>
      <c r="D1385" s="25">
        <v>94</v>
      </c>
      <c r="E1385" s="25">
        <v>6.5</v>
      </c>
      <c r="F1385" s="25" t="str" cm="1">
        <f t="array" ref="F13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5" s="26">
        <v>177.4</v>
      </c>
      <c r="H1385" s="27">
        <v>109421</v>
      </c>
    </row>
    <row r="1386" spans="1:8" ht="18" x14ac:dyDescent="0.25">
      <c r="A1386" s="24" t="s">
        <v>1397</v>
      </c>
      <c r="B1386" s="25">
        <v>2015</v>
      </c>
      <c r="C1386" s="25" t="s">
        <v>2463</v>
      </c>
      <c r="D1386" s="25">
        <v>101</v>
      </c>
      <c r="E1386" s="25">
        <v>5.4</v>
      </c>
      <c r="F1386" s="25" t="str" cm="1">
        <f t="array" ref="F13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6" s="26">
        <v>0</v>
      </c>
      <c r="H1386" s="27">
        <v>11210</v>
      </c>
    </row>
    <row r="1387" spans="1:8" ht="18" x14ac:dyDescent="0.25">
      <c r="A1387" s="24" t="s">
        <v>1400</v>
      </c>
      <c r="B1387" s="25">
        <v>2015</v>
      </c>
      <c r="C1387" s="25" t="s">
        <v>2462</v>
      </c>
      <c r="D1387" s="25">
        <v>90</v>
      </c>
      <c r="E1387" s="25">
        <v>7.6</v>
      </c>
      <c r="F1387" s="25" t="str" cm="1">
        <f t="array" ref="F13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7" s="26">
        <v>2.46</v>
      </c>
      <c r="H1387" s="27">
        <v>3510</v>
      </c>
    </row>
    <row r="1388" spans="1:8" ht="18" x14ac:dyDescent="0.25">
      <c r="A1388" s="24" t="s">
        <v>1408</v>
      </c>
      <c r="B1388" s="25">
        <v>2015</v>
      </c>
      <c r="C1388" s="25" t="s">
        <v>2464</v>
      </c>
      <c r="D1388" s="25">
        <v>84</v>
      </c>
      <c r="E1388" s="25">
        <v>6.4</v>
      </c>
      <c r="F1388" s="25" t="str" cm="1">
        <f t="array" ref="F13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8" s="26">
        <v>0</v>
      </c>
      <c r="H1388" s="27">
        <v>1223</v>
      </c>
    </row>
    <row r="1389" spans="1:8" ht="18" x14ac:dyDescent="0.25">
      <c r="A1389" s="24" t="s">
        <v>2308</v>
      </c>
      <c r="B1389" s="25">
        <v>2015</v>
      </c>
      <c r="C1389" s="25" t="s">
        <v>2464</v>
      </c>
      <c r="D1389" s="25">
        <v>107</v>
      </c>
      <c r="E1389" s="25">
        <v>7.4</v>
      </c>
      <c r="F1389" s="25" t="str" cm="1">
        <f t="array" ref="F13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89" s="26">
        <v>1.78</v>
      </c>
      <c r="H1389" s="27">
        <v>50927</v>
      </c>
    </row>
    <row r="1390" spans="1:8" ht="18" x14ac:dyDescent="0.25">
      <c r="A1390" s="24" t="s">
        <v>2309</v>
      </c>
      <c r="B1390" s="25">
        <v>2015</v>
      </c>
      <c r="C1390" s="25" t="s">
        <v>2462</v>
      </c>
      <c r="D1390" s="25">
        <v>123</v>
      </c>
      <c r="E1390" s="25">
        <v>5.8</v>
      </c>
      <c r="F1390" s="25" t="str" cm="1">
        <f t="array" ref="F13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0" s="26">
        <v>1.65</v>
      </c>
      <c r="H1390" s="27">
        <v>8059</v>
      </c>
    </row>
    <row r="1391" spans="1:8" ht="18" x14ac:dyDescent="0.25">
      <c r="A1391" s="24" t="s">
        <v>1443</v>
      </c>
      <c r="B1391" s="25">
        <v>2015</v>
      </c>
      <c r="C1391" s="25" t="s">
        <v>2462</v>
      </c>
      <c r="D1391" s="25">
        <v>90</v>
      </c>
      <c r="E1391" s="25">
        <v>6.1</v>
      </c>
      <c r="F1391" s="25" t="str" cm="1">
        <f t="array" ref="F13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1" s="26">
        <v>2.46</v>
      </c>
      <c r="H1391" s="27">
        <v>5868</v>
      </c>
    </row>
    <row r="1392" spans="1:8" ht="18" x14ac:dyDescent="0.25">
      <c r="A1392" s="24" t="s">
        <v>2310</v>
      </c>
      <c r="B1392" s="25">
        <v>2015</v>
      </c>
      <c r="C1392" s="25" t="s">
        <v>2462</v>
      </c>
      <c r="D1392" s="25">
        <v>74</v>
      </c>
      <c r="E1392" s="25">
        <v>6.5</v>
      </c>
      <c r="F1392" s="25" t="str" cm="1">
        <f t="array" ref="F13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2" s="26">
        <v>0.02</v>
      </c>
      <c r="H1392" s="27">
        <v>1156</v>
      </c>
    </row>
    <row r="1393" spans="1:8" ht="18" x14ac:dyDescent="0.25">
      <c r="A1393" s="24" t="s">
        <v>1450</v>
      </c>
      <c r="B1393" s="25">
        <v>2015</v>
      </c>
      <c r="C1393" s="25" t="s">
        <v>2462</v>
      </c>
      <c r="D1393" s="25">
        <v>107</v>
      </c>
      <c r="E1393" s="25">
        <v>6.6</v>
      </c>
      <c r="F1393" s="25" t="str" cm="1">
        <f t="array" ref="F13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3" s="26">
        <v>0.06</v>
      </c>
      <c r="H1393" s="27">
        <v>3844</v>
      </c>
    </row>
    <row r="1394" spans="1:8" ht="18" x14ac:dyDescent="0.25">
      <c r="A1394" s="24" t="s">
        <v>1462</v>
      </c>
      <c r="B1394" s="25">
        <v>2015</v>
      </c>
      <c r="C1394" s="25" t="s">
        <v>2462</v>
      </c>
      <c r="D1394" s="25">
        <v>87</v>
      </c>
      <c r="E1394" s="25">
        <v>6.5</v>
      </c>
      <c r="F1394" s="25" t="str" cm="1">
        <f t="array" ref="F13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4" s="26">
        <v>0.03</v>
      </c>
      <c r="H1394" s="27">
        <v>1385</v>
      </c>
    </row>
    <row r="1395" spans="1:8" ht="18" x14ac:dyDescent="0.25">
      <c r="A1395" s="24" t="s">
        <v>1463</v>
      </c>
      <c r="B1395" s="25">
        <v>2015</v>
      </c>
      <c r="C1395" s="25" t="s">
        <v>2462</v>
      </c>
      <c r="D1395" s="25">
        <v>99</v>
      </c>
      <c r="E1395" s="25">
        <v>6.5</v>
      </c>
      <c r="F1395" s="25" t="str" cm="1">
        <f t="array" ref="F13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5" s="26">
        <v>2.46</v>
      </c>
      <c r="H1395" s="27">
        <v>5222</v>
      </c>
    </row>
    <row r="1396" spans="1:8" ht="18" x14ac:dyDescent="0.25">
      <c r="A1396" s="24" t="s">
        <v>2311</v>
      </c>
      <c r="B1396" s="25">
        <v>2015</v>
      </c>
      <c r="C1396" s="25" t="s">
        <v>2462</v>
      </c>
      <c r="D1396" s="25">
        <v>87</v>
      </c>
      <c r="E1396" s="25">
        <v>6.1</v>
      </c>
      <c r="F1396" s="25" t="str" cm="1">
        <f t="array" ref="F13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6" s="26">
        <v>2.46</v>
      </c>
      <c r="H1396" s="27">
        <v>3318</v>
      </c>
    </row>
    <row r="1397" spans="1:8" ht="18" x14ac:dyDescent="0.25">
      <c r="A1397" s="24" t="s">
        <v>2312</v>
      </c>
      <c r="B1397" s="25">
        <v>2015</v>
      </c>
      <c r="C1397" s="25" t="s">
        <v>2462</v>
      </c>
      <c r="D1397" s="25">
        <v>105</v>
      </c>
      <c r="E1397" s="25">
        <v>7.1</v>
      </c>
      <c r="F1397" s="25" t="str" cm="1">
        <f t="array" ref="F13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7" s="26">
        <v>0.28000000000000003</v>
      </c>
      <c r="H1397" s="27">
        <v>6042</v>
      </c>
    </row>
    <row r="1398" spans="1:8" ht="18" x14ac:dyDescent="0.25">
      <c r="A1398" s="24" t="s">
        <v>1472</v>
      </c>
      <c r="B1398" s="25">
        <v>2015</v>
      </c>
      <c r="C1398" s="25" t="s">
        <v>2462</v>
      </c>
      <c r="D1398" s="25">
        <v>108</v>
      </c>
      <c r="E1398" s="25">
        <v>7.6</v>
      </c>
      <c r="F1398" s="25" t="str" cm="1">
        <f t="array" ref="F13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8" s="26">
        <v>0.1</v>
      </c>
      <c r="H1398" s="27">
        <v>7635</v>
      </c>
    </row>
    <row r="1399" spans="1:8" ht="18" x14ac:dyDescent="0.25">
      <c r="A1399" s="24" t="s">
        <v>1473</v>
      </c>
      <c r="B1399" s="25">
        <v>2015</v>
      </c>
      <c r="C1399" s="25" t="s">
        <v>2462</v>
      </c>
      <c r="D1399" s="25">
        <v>95</v>
      </c>
      <c r="E1399" s="25">
        <v>8.1</v>
      </c>
      <c r="F1399" s="25" t="str" cm="1">
        <f t="array" ref="F13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399" s="26">
        <v>356.46</v>
      </c>
      <c r="H1399" s="27">
        <v>761041</v>
      </c>
    </row>
    <row r="1400" spans="1:8" ht="18" x14ac:dyDescent="0.25">
      <c r="A1400" s="24" t="s">
        <v>1532</v>
      </c>
      <c r="B1400" s="25">
        <v>2015</v>
      </c>
      <c r="C1400" s="25" t="s">
        <v>2462</v>
      </c>
      <c r="D1400" s="25">
        <v>88</v>
      </c>
      <c r="E1400" s="25">
        <v>6.1</v>
      </c>
      <c r="F1400" s="25" t="str" cm="1">
        <f t="array" ref="F14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0" s="26">
        <v>1.83</v>
      </c>
      <c r="H1400" s="27">
        <v>10478</v>
      </c>
    </row>
    <row r="1401" spans="1:8" ht="18" x14ac:dyDescent="0.25">
      <c r="A1401" s="24" t="s">
        <v>1536</v>
      </c>
      <c r="B1401" s="25">
        <v>2015</v>
      </c>
      <c r="C1401" s="25" t="s">
        <v>2462</v>
      </c>
      <c r="D1401" s="25">
        <v>97</v>
      </c>
      <c r="E1401" s="25">
        <v>6.3</v>
      </c>
      <c r="F1401" s="25" t="str" cm="1">
        <f t="array" ref="F14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1" s="26">
        <v>0</v>
      </c>
      <c r="H1401" s="27">
        <v>1245</v>
      </c>
    </row>
    <row r="1402" spans="1:8" ht="18" x14ac:dyDescent="0.25">
      <c r="A1402" s="24" t="s">
        <v>1540</v>
      </c>
      <c r="B1402" s="25">
        <v>2015</v>
      </c>
      <c r="C1402" s="25" t="s">
        <v>2463</v>
      </c>
      <c r="D1402" s="25">
        <v>99</v>
      </c>
      <c r="E1402" s="25">
        <v>6.6</v>
      </c>
      <c r="F1402" s="25" t="str" cm="1">
        <f t="array" ref="F14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2" s="26">
        <v>0.02</v>
      </c>
      <c r="H1402" s="27">
        <v>13409</v>
      </c>
    </row>
    <row r="1403" spans="1:8" ht="18" x14ac:dyDescent="0.25">
      <c r="A1403" s="24" t="s">
        <v>1546</v>
      </c>
      <c r="B1403" s="25">
        <v>2015</v>
      </c>
      <c r="C1403" s="25" t="s">
        <v>2462</v>
      </c>
      <c r="D1403" s="25">
        <v>104</v>
      </c>
      <c r="E1403" s="25">
        <v>6.9</v>
      </c>
      <c r="F1403" s="25" t="str" cm="1">
        <f t="array" ref="F14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3" s="26">
        <v>0.01</v>
      </c>
      <c r="H1403" s="27">
        <v>4626</v>
      </c>
    </row>
    <row r="1404" spans="1:8" ht="18" x14ac:dyDescent="0.25">
      <c r="A1404" s="24" t="s">
        <v>1556</v>
      </c>
      <c r="B1404" s="25">
        <v>2015</v>
      </c>
      <c r="C1404" s="25" t="s">
        <v>2462</v>
      </c>
      <c r="D1404" s="25">
        <v>96</v>
      </c>
      <c r="E1404" s="25">
        <v>6.7</v>
      </c>
      <c r="F1404" s="25" t="str" cm="1">
        <f t="array" ref="F14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4" s="26">
        <v>0.01</v>
      </c>
      <c r="H1404" s="27">
        <v>5509</v>
      </c>
    </row>
    <row r="1405" spans="1:8" ht="18" x14ac:dyDescent="0.25">
      <c r="A1405" s="24" t="s">
        <v>1575</v>
      </c>
      <c r="B1405" s="25">
        <v>2015</v>
      </c>
      <c r="C1405" s="25" t="s">
        <v>2464</v>
      </c>
      <c r="D1405" s="25">
        <v>116</v>
      </c>
      <c r="E1405" s="25">
        <v>7.7</v>
      </c>
      <c r="F1405" s="25" t="str" cm="1">
        <f t="array" ref="F14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5" s="26">
        <v>3.48</v>
      </c>
      <c r="H1405" s="27">
        <v>66469</v>
      </c>
    </row>
    <row r="1406" spans="1:8" ht="18" x14ac:dyDescent="0.25">
      <c r="A1406" s="24" t="s">
        <v>2313</v>
      </c>
      <c r="B1406" s="25">
        <v>2015</v>
      </c>
      <c r="C1406" s="25" t="s">
        <v>2464</v>
      </c>
      <c r="D1406" s="25">
        <v>110</v>
      </c>
      <c r="E1406" s="25">
        <v>6.3</v>
      </c>
      <c r="F1406" s="25" t="str" cm="1">
        <f t="array" ref="F14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6" s="26">
        <v>1.1200000000000001</v>
      </c>
      <c r="H1406" s="27">
        <v>1654</v>
      </c>
    </row>
    <row r="1407" spans="1:8" ht="18" x14ac:dyDescent="0.25">
      <c r="A1407" s="24" t="s">
        <v>1611</v>
      </c>
      <c r="B1407" s="25">
        <v>2015</v>
      </c>
      <c r="C1407" s="25" t="s">
        <v>2462</v>
      </c>
      <c r="D1407" s="25">
        <v>92</v>
      </c>
      <c r="E1407" s="25">
        <v>6</v>
      </c>
      <c r="F1407" s="25" t="str" cm="1">
        <f t="array" ref="F14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7" s="26">
        <v>7.0000000000000007E-2</v>
      </c>
      <c r="H1407" s="27">
        <v>6881</v>
      </c>
    </row>
    <row r="1408" spans="1:8" ht="18" x14ac:dyDescent="0.25">
      <c r="A1408" s="24" t="s">
        <v>1614</v>
      </c>
      <c r="B1408" s="25">
        <v>2015</v>
      </c>
      <c r="C1408" s="25" t="s">
        <v>2462</v>
      </c>
      <c r="D1408" s="25">
        <v>98</v>
      </c>
      <c r="E1408" s="25">
        <v>5.6</v>
      </c>
      <c r="F1408" s="25" t="str" cm="1">
        <f t="array" ref="F14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8" s="26">
        <v>2.46</v>
      </c>
      <c r="H1408" s="27">
        <v>5840</v>
      </c>
    </row>
    <row r="1409" spans="1:8" ht="18" x14ac:dyDescent="0.25">
      <c r="A1409" s="24" t="s">
        <v>1624</v>
      </c>
      <c r="B1409" s="25">
        <v>2015</v>
      </c>
      <c r="C1409" s="25" t="s">
        <v>2462</v>
      </c>
      <c r="D1409" s="25">
        <v>106</v>
      </c>
      <c r="E1409" s="25">
        <v>7.5</v>
      </c>
      <c r="F1409" s="25" t="str" cm="1">
        <f t="array" ref="F14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09" s="26">
        <v>2.46</v>
      </c>
      <c r="H1409" s="27">
        <v>2136</v>
      </c>
    </row>
    <row r="1410" spans="1:8" ht="18" x14ac:dyDescent="0.25">
      <c r="A1410" s="24" t="s">
        <v>1625</v>
      </c>
      <c r="B1410" s="25">
        <v>2015</v>
      </c>
      <c r="C1410" s="25" t="s">
        <v>2463</v>
      </c>
      <c r="D1410" s="25">
        <v>90</v>
      </c>
      <c r="E1410" s="25">
        <v>7</v>
      </c>
      <c r="F1410" s="25" t="str" cm="1">
        <f t="array" ref="F14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0" s="26">
        <v>0.04</v>
      </c>
      <c r="H1410" s="27">
        <v>9089</v>
      </c>
    </row>
    <row r="1411" spans="1:8" ht="18" x14ac:dyDescent="0.25">
      <c r="A1411" s="24" t="s">
        <v>1650</v>
      </c>
      <c r="B1411" s="25">
        <v>2015</v>
      </c>
      <c r="C1411" s="25" t="s">
        <v>2462</v>
      </c>
      <c r="D1411" s="25">
        <v>96</v>
      </c>
      <c r="E1411" s="25">
        <v>5.2</v>
      </c>
      <c r="F1411" s="25" t="str" cm="1">
        <f t="array" ref="F14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1" s="26">
        <v>16.03</v>
      </c>
      <c r="H1411" s="27">
        <v>44081</v>
      </c>
    </row>
    <row r="1412" spans="1:8" ht="18" x14ac:dyDescent="0.25">
      <c r="A1412" s="24" t="s">
        <v>2314</v>
      </c>
      <c r="B1412" s="25">
        <v>2015</v>
      </c>
      <c r="C1412" s="25" t="s">
        <v>2463</v>
      </c>
      <c r="D1412" s="25">
        <v>122</v>
      </c>
      <c r="E1412" s="25">
        <v>5.3</v>
      </c>
      <c r="F1412" s="25" t="str" cm="1">
        <f t="array" ref="F14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2" s="26">
        <v>0.53</v>
      </c>
      <c r="H1412" s="27">
        <v>22274</v>
      </c>
    </row>
    <row r="1413" spans="1:8" ht="18" x14ac:dyDescent="0.25">
      <c r="A1413" s="24" t="s">
        <v>1673</v>
      </c>
      <c r="B1413" s="25">
        <v>2015</v>
      </c>
      <c r="C1413" s="25" t="s">
        <v>2462</v>
      </c>
      <c r="D1413" s="25">
        <v>80</v>
      </c>
      <c r="E1413" s="25">
        <v>7.2</v>
      </c>
      <c r="F1413" s="25" t="str" cm="1">
        <f t="array" ref="F14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3" s="26">
        <v>0.06</v>
      </c>
      <c r="H1413" s="27">
        <v>1350</v>
      </c>
    </row>
    <row r="1414" spans="1:8" ht="18" x14ac:dyDescent="0.25">
      <c r="A1414" s="24" t="s">
        <v>1717</v>
      </c>
      <c r="B1414" s="25">
        <v>2015</v>
      </c>
      <c r="C1414" s="25" t="s">
        <v>2462</v>
      </c>
      <c r="D1414" s="25">
        <v>96</v>
      </c>
      <c r="E1414" s="25">
        <v>6.1</v>
      </c>
      <c r="F1414" s="25" t="str" cm="1">
        <f t="array" ref="F14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4" s="26">
        <v>2.46</v>
      </c>
      <c r="H1414" s="27">
        <v>1196</v>
      </c>
    </row>
    <row r="1415" spans="1:8" ht="18" x14ac:dyDescent="0.25">
      <c r="A1415" s="24" t="s">
        <v>1749</v>
      </c>
      <c r="B1415" s="25">
        <v>2015</v>
      </c>
      <c r="C1415" s="25" t="s">
        <v>2462</v>
      </c>
      <c r="D1415" s="25">
        <v>103</v>
      </c>
      <c r="E1415" s="25">
        <v>7.2</v>
      </c>
      <c r="F1415" s="25" t="str" cm="1">
        <f t="array" ref="F14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5" s="26">
        <v>2.46</v>
      </c>
      <c r="H1415" s="27">
        <v>443</v>
      </c>
    </row>
    <row r="1416" spans="1:8" ht="18" x14ac:dyDescent="0.25">
      <c r="A1416" s="24" t="s">
        <v>1753</v>
      </c>
      <c r="B1416" s="25">
        <v>2015</v>
      </c>
      <c r="C1416" s="25" t="s">
        <v>2462</v>
      </c>
      <c r="D1416" s="25">
        <v>79</v>
      </c>
      <c r="E1416" s="25">
        <v>5.6</v>
      </c>
      <c r="F1416" s="25" t="str" cm="1">
        <f t="array" ref="F14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6" s="26">
        <v>2.46</v>
      </c>
      <c r="H1416" s="27">
        <v>13078</v>
      </c>
    </row>
    <row r="1417" spans="1:8" ht="18" x14ac:dyDescent="0.25">
      <c r="A1417" s="24" t="s">
        <v>1786</v>
      </c>
      <c r="B1417" s="25">
        <v>2015</v>
      </c>
      <c r="C1417" s="25" t="s">
        <v>2462</v>
      </c>
      <c r="D1417" s="25">
        <v>93</v>
      </c>
      <c r="E1417" s="25">
        <v>6.6</v>
      </c>
      <c r="F1417" s="25" t="str" cm="1">
        <f t="array" ref="F14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7" s="26">
        <v>0.01</v>
      </c>
      <c r="H1417" s="27">
        <v>3522</v>
      </c>
    </row>
    <row r="1418" spans="1:8" ht="18" x14ac:dyDescent="0.25">
      <c r="A1418" s="24" t="s">
        <v>1826</v>
      </c>
      <c r="B1418" s="25">
        <v>2015</v>
      </c>
      <c r="C1418" s="25" t="s">
        <v>2462</v>
      </c>
      <c r="D1418" s="25">
        <v>100</v>
      </c>
      <c r="E1418" s="25">
        <v>7.5</v>
      </c>
      <c r="F1418" s="25" t="str" cm="1">
        <f t="array" ref="F14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8" s="26">
        <v>0.17</v>
      </c>
      <c r="H1418" s="27">
        <v>949</v>
      </c>
    </row>
    <row r="1419" spans="1:8" ht="18" x14ac:dyDescent="0.25">
      <c r="A1419" s="24" t="s">
        <v>1854</v>
      </c>
      <c r="B1419" s="25">
        <v>2015</v>
      </c>
      <c r="C1419" s="25" t="s">
        <v>2462</v>
      </c>
      <c r="D1419" s="25">
        <v>97</v>
      </c>
      <c r="E1419" s="25">
        <v>6.3</v>
      </c>
      <c r="F1419" s="25" t="str" cm="1">
        <f t="array" ref="F14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19" s="26">
        <v>0.01</v>
      </c>
      <c r="H1419" s="27">
        <v>2283</v>
      </c>
    </row>
    <row r="1420" spans="1:8" ht="18" x14ac:dyDescent="0.25">
      <c r="A1420" s="24" t="s">
        <v>1856</v>
      </c>
      <c r="B1420" s="25">
        <v>2015</v>
      </c>
      <c r="C1420" s="25" t="s">
        <v>2462</v>
      </c>
      <c r="D1420" s="25">
        <v>107</v>
      </c>
      <c r="E1420" s="25">
        <v>6</v>
      </c>
      <c r="F1420" s="25" t="str" cm="1">
        <f t="array" ref="F14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0" s="26">
        <v>2.46</v>
      </c>
      <c r="H1420" s="27">
        <v>621</v>
      </c>
    </row>
    <row r="1421" spans="1:8" ht="18" x14ac:dyDescent="0.25">
      <c r="A1421" s="24" t="s">
        <v>1869</v>
      </c>
      <c r="B1421" s="25">
        <v>2015</v>
      </c>
      <c r="C1421" s="25" t="s">
        <v>2462</v>
      </c>
      <c r="D1421" s="25">
        <v>83</v>
      </c>
      <c r="E1421" s="25">
        <v>5.5</v>
      </c>
      <c r="F1421" s="25" t="str" cm="1">
        <f t="array" ref="F14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1" s="26">
        <v>2.46</v>
      </c>
      <c r="H1421" s="27">
        <v>1290</v>
      </c>
    </row>
    <row r="1422" spans="1:8" ht="18" x14ac:dyDescent="0.25">
      <c r="A1422" s="24" t="s">
        <v>1917</v>
      </c>
      <c r="B1422" s="25">
        <v>2015</v>
      </c>
      <c r="C1422" s="25" t="s">
        <v>2462</v>
      </c>
      <c r="D1422" s="25">
        <v>106</v>
      </c>
      <c r="E1422" s="25">
        <v>6.1</v>
      </c>
      <c r="F1422" s="25" t="str" cm="1">
        <f t="array" ref="F14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2" s="26">
        <v>2.46</v>
      </c>
      <c r="H1422" s="27">
        <v>1297</v>
      </c>
    </row>
    <row r="1423" spans="1:8" ht="18" x14ac:dyDescent="0.25">
      <c r="A1423" s="24" t="s">
        <v>1922</v>
      </c>
      <c r="B1423" s="25">
        <v>2015</v>
      </c>
      <c r="C1423" s="25" t="s">
        <v>2462</v>
      </c>
      <c r="D1423" s="25">
        <v>103</v>
      </c>
      <c r="E1423" s="25">
        <v>7.4</v>
      </c>
      <c r="F1423" s="25" t="str" cm="1">
        <f t="array" ref="F14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3" s="26">
        <v>0.41</v>
      </c>
      <c r="H1423" s="27">
        <v>5587</v>
      </c>
    </row>
    <row r="1424" spans="1:8" ht="18" x14ac:dyDescent="0.25">
      <c r="A1424" s="24" t="s">
        <v>1142</v>
      </c>
      <c r="B1424" s="25">
        <v>2016</v>
      </c>
      <c r="C1424" s="25" t="s">
        <v>2462</v>
      </c>
      <c r="D1424" s="25">
        <v>93</v>
      </c>
      <c r="E1424" s="25">
        <v>4.8</v>
      </c>
      <c r="F1424" s="25" t="str" cm="1">
        <f t="array" ref="F14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4" s="26">
        <v>26.58</v>
      </c>
      <c r="H1424" s="27">
        <v>45180</v>
      </c>
    </row>
    <row r="1425" spans="1:8" ht="18" x14ac:dyDescent="0.25">
      <c r="A1425" s="24" t="s">
        <v>1158</v>
      </c>
      <c r="B1425" s="25">
        <v>2016</v>
      </c>
      <c r="C1425" s="25" t="s">
        <v>2462</v>
      </c>
      <c r="D1425" s="25">
        <v>72</v>
      </c>
      <c r="E1425" s="25">
        <v>7.1</v>
      </c>
      <c r="F1425" s="25" t="str" cm="1">
        <f t="array" ref="F14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5" s="26">
        <v>2.46</v>
      </c>
      <c r="H1425" s="27">
        <v>613</v>
      </c>
    </row>
    <row r="1426" spans="1:8" ht="18" x14ac:dyDescent="0.25">
      <c r="A1426" s="24" t="s">
        <v>1175</v>
      </c>
      <c r="B1426" s="25">
        <v>2016</v>
      </c>
      <c r="C1426" s="25" t="s">
        <v>2462</v>
      </c>
      <c r="D1426" s="25">
        <v>102</v>
      </c>
      <c r="E1426" s="25">
        <v>4.3</v>
      </c>
      <c r="F1426" s="25" t="str" cm="1">
        <f t="array" ref="F14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6" s="26">
        <v>2.46</v>
      </c>
      <c r="H1426" s="27">
        <v>16500</v>
      </c>
    </row>
    <row r="1427" spans="1:8" ht="18" x14ac:dyDescent="0.25">
      <c r="A1427" s="24" t="s">
        <v>1184</v>
      </c>
      <c r="B1427" s="25">
        <v>2016</v>
      </c>
      <c r="C1427" s="25" t="s">
        <v>2463</v>
      </c>
      <c r="D1427" s="25">
        <v>106</v>
      </c>
      <c r="E1427" s="25">
        <v>5.3</v>
      </c>
      <c r="F1427" s="25" t="str" cm="1">
        <f t="array" ref="F14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7" s="26">
        <v>2.46</v>
      </c>
      <c r="H1427" s="27">
        <v>17460</v>
      </c>
    </row>
    <row r="1428" spans="1:8" ht="18" x14ac:dyDescent="0.25">
      <c r="A1428" s="24" t="s">
        <v>2315</v>
      </c>
      <c r="B1428" s="25">
        <v>2016</v>
      </c>
      <c r="C1428" s="25" t="s">
        <v>2462</v>
      </c>
      <c r="D1428" s="25">
        <v>112</v>
      </c>
      <c r="E1428" s="25">
        <v>5.2</v>
      </c>
      <c r="F1428" s="25" t="str" cm="1">
        <f t="array" ref="F14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8" s="26">
        <v>34.92</v>
      </c>
      <c r="H1428" s="27">
        <v>115262</v>
      </c>
    </row>
    <row r="1429" spans="1:8" ht="18" x14ac:dyDescent="0.25">
      <c r="A1429" s="24" t="s">
        <v>1211</v>
      </c>
      <c r="B1429" s="25">
        <v>2016</v>
      </c>
      <c r="C1429" s="25" t="s">
        <v>2462</v>
      </c>
      <c r="D1429" s="25">
        <v>108</v>
      </c>
      <c r="E1429" s="25">
        <v>8</v>
      </c>
      <c r="F1429" s="25" t="str" cm="1">
        <f t="array" ref="F14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29" s="26">
        <v>363.07</v>
      </c>
      <c r="H1429" s="27">
        <v>1095532</v>
      </c>
    </row>
    <row r="1430" spans="1:8" ht="18" x14ac:dyDescent="0.25">
      <c r="A1430" s="24" t="s">
        <v>2316</v>
      </c>
      <c r="B1430" s="25">
        <v>2016</v>
      </c>
      <c r="C1430" s="25" t="s">
        <v>2463</v>
      </c>
      <c r="D1430" s="25">
        <v>108</v>
      </c>
      <c r="E1430" s="25">
        <v>5.8</v>
      </c>
      <c r="F1430" s="25" t="str" cm="1">
        <f t="array" ref="F14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0" s="26">
        <v>10.91</v>
      </c>
      <c r="H1430" s="27">
        <v>59350</v>
      </c>
    </row>
    <row r="1431" spans="1:8" ht="18" x14ac:dyDescent="0.25">
      <c r="A1431" s="24" t="s">
        <v>1216</v>
      </c>
      <c r="B1431" s="25">
        <v>2016</v>
      </c>
      <c r="C1431" s="25" t="s">
        <v>2462</v>
      </c>
      <c r="D1431" s="25">
        <v>91</v>
      </c>
      <c r="E1431" s="25">
        <v>4.4000000000000004</v>
      </c>
      <c r="F1431" s="25" t="str" cm="1">
        <f t="array" ref="F14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1" s="26">
        <v>2.46</v>
      </c>
      <c r="H1431" s="27">
        <v>8402</v>
      </c>
    </row>
    <row r="1432" spans="1:8" ht="18" x14ac:dyDescent="0.25">
      <c r="A1432" s="24" t="s">
        <v>1219</v>
      </c>
      <c r="B1432" s="25">
        <v>2016</v>
      </c>
      <c r="C1432" s="25" t="s">
        <v>2462</v>
      </c>
      <c r="D1432" s="25">
        <v>106</v>
      </c>
      <c r="E1432" s="25">
        <v>6.3</v>
      </c>
      <c r="F1432" s="25" t="str" cm="1">
        <f t="array" ref="F14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2" s="26">
        <v>30.5</v>
      </c>
      <c r="H1432" s="27">
        <v>141016</v>
      </c>
    </row>
    <row r="1433" spans="1:8" ht="18" x14ac:dyDescent="0.25">
      <c r="A1433" s="24" t="s">
        <v>1224</v>
      </c>
      <c r="B1433" s="25">
        <v>2016</v>
      </c>
      <c r="C1433" s="25" t="s">
        <v>2462</v>
      </c>
      <c r="D1433" s="25">
        <v>101</v>
      </c>
      <c r="E1433" s="25">
        <v>6.4</v>
      </c>
      <c r="F1433" s="25" t="str" cm="1">
        <f t="array" ref="F14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3" s="26">
        <v>2.46</v>
      </c>
      <c r="H1433" s="27">
        <v>7154</v>
      </c>
    </row>
    <row r="1434" spans="1:8" ht="18" x14ac:dyDescent="0.25">
      <c r="A1434" s="24" t="s">
        <v>1225</v>
      </c>
      <c r="B1434" s="25">
        <v>2016</v>
      </c>
      <c r="C1434" s="25" t="s">
        <v>2462</v>
      </c>
      <c r="D1434" s="25">
        <v>99</v>
      </c>
      <c r="E1434" s="25">
        <v>5.9</v>
      </c>
      <c r="F1434" s="25" t="str" cm="1">
        <f t="array" ref="F14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4" s="26">
        <v>62.68</v>
      </c>
      <c r="H1434" s="27">
        <v>166668</v>
      </c>
    </row>
    <row r="1435" spans="1:8" ht="18" x14ac:dyDescent="0.25">
      <c r="A1435" s="24" t="s">
        <v>1232</v>
      </c>
      <c r="B1435" s="25">
        <v>2016</v>
      </c>
      <c r="C1435" s="25" t="s">
        <v>2462</v>
      </c>
      <c r="D1435" s="25">
        <v>90</v>
      </c>
      <c r="E1435" s="25">
        <v>5.4</v>
      </c>
      <c r="F1435" s="25" t="str" cm="1">
        <f t="array" ref="F14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5" s="26">
        <v>2.46</v>
      </c>
      <c r="H1435" s="27">
        <v>3001</v>
      </c>
    </row>
    <row r="1436" spans="1:8" ht="18" x14ac:dyDescent="0.25">
      <c r="A1436" s="24" t="s">
        <v>1235</v>
      </c>
      <c r="B1436" s="25">
        <v>2016</v>
      </c>
      <c r="C1436" s="25" t="s">
        <v>2462</v>
      </c>
      <c r="D1436" s="25">
        <v>90</v>
      </c>
      <c r="E1436" s="25">
        <v>4.5999999999999996</v>
      </c>
      <c r="F1436" s="25" t="str" cm="1">
        <f t="array" ref="F14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6" s="26">
        <v>2.46</v>
      </c>
      <c r="H1436" s="27">
        <v>9821</v>
      </c>
    </row>
    <row r="1437" spans="1:8" ht="18" x14ac:dyDescent="0.25">
      <c r="A1437" s="24" t="s">
        <v>1237</v>
      </c>
      <c r="B1437" s="25">
        <v>2016</v>
      </c>
      <c r="C1437" s="25" t="s">
        <v>2462</v>
      </c>
      <c r="D1437" s="25">
        <v>117</v>
      </c>
      <c r="E1437" s="25">
        <v>6.7</v>
      </c>
      <c r="F1437" s="25" t="str" cm="1">
        <f t="array" ref="F14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7" s="26">
        <v>27.57</v>
      </c>
      <c r="H1437" s="27">
        <v>69714</v>
      </c>
    </row>
    <row r="1438" spans="1:8" ht="18" x14ac:dyDescent="0.25">
      <c r="A1438" s="24" t="s">
        <v>1243</v>
      </c>
      <c r="B1438" s="25">
        <v>2016</v>
      </c>
      <c r="C1438" s="25" t="s">
        <v>2462</v>
      </c>
      <c r="D1438" s="25">
        <v>111</v>
      </c>
      <c r="E1438" s="25">
        <v>6.5</v>
      </c>
      <c r="F1438" s="25" t="str" cm="1">
        <f t="array" ref="F14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8" s="26">
        <v>18.71</v>
      </c>
      <c r="H1438" s="27">
        <v>44638</v>
      </c>
    </row>
    <row r="1439" spans="1:8" ht="18" x14ac:dyDescent="0.25">
      <c r="A1439" s="24" t="s">
        <v>1248</v>
      </c>
      <c r="B1439" s="25">
        <v>2016</v>
      </c>
      <c r="C1439" s="25" t="s">
        <v>2462</v>
      </c>
      <c r="D1439" s="25">
        <v>107</v>
      </c>
      <c r="E1439" s="25">
        <v>6.3</v>
      </c>
      <c r="F1439" s="25" t="str" cm="1">
        <f t="array" ref="F14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39" s="26">
        <v>36.869999999999997</v>
      </c>
      <c r="H1439" s="27">
        <v>30022</v>
      </c>
    </row>
    <row r="1440" spans="1:8" ht="18" x14ac:dyDescent="0.25">
      <c r="A1440" s="24" t="s">
        <v>1251</v>
      </c>
      <c r="B1440" s="25">
        <v>2016</v>
      </c>
      <c r="C1440" s="25" t="s">
        <v>2462</v>
      </c>
      <c r="D1440" s="25">
        <v>92</v>
      </c>
      <c r="E1440" s="25">
        <v>5.4</v>
      </c>
      <c r="F1440" s="25" t="str" cm="1">
        <f t="array" ref="F14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0" s="26">
        <v>2.46</v>
      </c>
      <c r="H1440" s="27">
        <v>20341</v>
      </c>
    </row>
    <row r="1441" spans="1:8" ht="18" x14ac:dyDescent="0.25">
      <c r="A1441" s="24" t="s">
        <v>1252</v>
      </c>
      <c r="B1441" s="25">
        <v>2016</v>
      </c>
      <c r="C1441" s="25" t="s">
        <v>2464</v>
      </c>
      <c r="D1441" s="25">
        <v>115</v>
      </c>
      <c r="E1441" s="25">
        <v>6.3</v>
      </c>
      <c r="F1441" s="25" t="str" cm="1">
        <f t="array" ref="F14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1" s="26">
        <v>12.63</v>
      </c>
      <c r="H1441" s="27">
        <v>75439</v>
      </c>
    </row>
    <row r="1442" spans="1:8" ht="18" x14ac:dyDescent="0.25">
      <c r="A1442" s="24" t="s">
        <v>2317</v>
      </c>
      <c r="B1442" s="25">
        <v>2016</v>
      </c>
      <c r="C1442" s="25" t="s">
        <v>2463</v>
      </c>
      <c r="D1442" s="25">
        <v>86</v>
      </c>
      <c r="E1442" s="25">
        <v>5.7</v>
      </c>
      <c r="F1442" s="25" t="str" cm="1">
        <f t="array" ref="F14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2" s="26">
        <v>2.46</v>
      </c>
      <c r="H1442" s="27">
        <v>306</v>
      </c>
    </row>
    <row r="1443" spans="1:8" ht="18" x14ac:dyDescent="0.25">
      <c r="A1443" s="24" t="s">
        <v>1266</v>
      </c>
      <c r="B1443" s="25">
        <v>2016</v>
      </c>
      <c r="C1443" s="25" t="s">
        <v>2462</v>
      </c>
      <c r="D1443" s="25">
        <v>98</v>
      </c>
      <c r="E1443" s="25">
        <v>4.4000000000000004</v>
      </c>
      <c r="F1443" s="25" t="str" cm="1">
        <f t="array" ref="F14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3" s="26">
        <v>2.46</v>
      </c>
      <c r="H1443" s="27">
        <v>29873</v>
      </c>
    </row>
    <row r="1444" spans="1:8" ht="18" x14ac:dyDescent="0.25">
      <c r="A1444" s="24" t="s">
        <v>1267</v>
      </c>
      <c r="B1444" s="25">
        <v>2016</v>
      </c>
      <c r="C1444" s="25" t="s">
        <v>2462</v>
      </c>
      <c r="D1444" s="25">
        <v>134</v>
      </c>
      <c r="E1444" s="25">
        <v>7.1</v>
      </c>
      <c r="F1444" s="25" t="str" cm="1">
        <f t="array" ref="F14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4" s="26">
        <v>19.100000000000001</v>
      </c>
      <c r="H1444" s="27">
        <v>40110</v>
      </c>
    </row>
    <row r="1445" spans="1:8" ht="18" x14ac:dyDescent="0.25">
      <c r="A1445" s="24" t="s">
        <v>1269</v>
      </c>
      <c r="B1445" s="25">
        <v>2016</v>
      </c>
      <c r="C1445" s="25" t="s">
        <v>2462</v>
      </c>
      <c r="D1445" s="25">
        <v>103</v>
      </c>
      <c r="E1445" s="25">
        <v>7.2</v>
      </c>
      <c r="F1445" s="25" t="str" cm="1">
        <f t="array" ref="F14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5" s="26">
        <v>72.08</v>
      </c>
      <c r="H1445" s="27">
        <v>347206</v>
      </c>
    </row>
    <row r="1446" spans="1:8" ht="18" x14ac:dyDescent="0.25">
      <c r="A1446" s="24" t="s">
        <v>1270</v>
      </c>
      <c r="B1446" s="25">
        <v>2016</v>
      </c>
      <c r="C1446" s="25" t="s">
        <v>2462</v>
      </c>
      <c r="D1446" s="25">
        <v>102</v>
      </c>
      <c r="E1446" s="25">
        <v>5.9</v>
      </c>
      <c r="F1446" s="25" t="str" cm="1">
        <f t="array" ref="F14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6" s="26">
        <v>35.590000000000003</v>
      </c>
      <c r="H1446" s="27">
        <v>130805</v>
      </c>
    </row>
    <row r="1447" spans="1:8" ht="18" x14ac:dyDescent="0.25">
      <c r="A1447" s="24" t="s">
        <v>1271</v>
      </c>
      <c r="B1447" s="25">
        <v>2016</v>
      </c>
      <c r="C1447" s="25" t="s">
        <v>2462</v>
      </c>
      <c r="D1447" s="25">
        <v>112</v>
      </c>
      <c r="E1447" s="25">
        <v>6.6</v>
      </c>
      <c r="F1447" s="25" t="str" cm="1">
        <f t="array" ref="F14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7" s="26">
        <v>3.71</v>
      </c>
      <c r="H1447" s="27">
        <v>83250</v>
      </c>
    </row>
    <row r="1448" spans="1:8" ht="18" x14ac:dyDescent="0.25">
      <c r="A1448" s="24" t="s">
        <v>1272</v>
      </c>
      <c r="B1448" s="25">
        <v>2016</v>
      </c>
      <c r="C1448" s="25" t="s">
        <v>2462</v>
      </c>
      <c r="D1448" s="25">
        <v>120</v>
      </c>
      <c r="E1448" s="25">
        <v>5.7</v>
      </c>
      <c r="F1448" s="25" t="str" cm="1">
        <f t="array" ref="F14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8" s="26">
        <v>66.180000000000007</v>
      </c>
      <c r="H1448" s="27">
        <v>130517</v>
      </c>
    </row>
    <row r="1449" spans="1:8" ht="18" x14ac:dyDescent="0.25">
      <c r="A1449" s="24" t="s">
        <v>1274</v>
      </c>
      <c r="B1449" s="25">
        <v>2016</v>
      </c>
      <c r="C1449" s="25" t="s">
        <v>2462</v>
      </c>
      <c r="D1449" s="25">
        <v>113</v>
      </c>
      <c r="E1449" s="25">
        <v>6.3</v>
      </c>
      <c r="F1449" s="25" t="str" cm="1">
        <f t="array" ref="F14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49" s="26">
        <v>14.27</v>
      </c>
      <c r="H1449" s="27">
        <v>69277</v>
      </c>
    </row>
    <row r="1450" spans="1:8" ht="18" x14ac:dyDescent="0.25">
      <c r="A1450" s="24" t="s">
        <v>2318</v>
      </c>
      <c r="B1450" s="25">
        <v>2016</v>
      </c>
      <c r="C1450" s="25" t="s">
        <v>2462</v>
      </c>
      <c r="D1450" s="25">
        <v>127</v>
      </c>
      <c r="E1450" s="25">
        <v>5.4</v>
      </c>
      <c r="F1450" s="25" t="str" cm="1">
        <f t="array" ref="F14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0" s="26">
        <v>31.15</v>
      </c>
      <c r="H1450" s="27">
        <v>123381</v>
      </c>
    </row>
    <row r="1451" spans="1:8" ht="18" x14ac:dyDescent="0.25">
      <c r="A1451" s="24" t="s">
        <v>1281</v>
      </c>
      <c r="B1451" s="25">
        <v>2016</v>
      </c>
      <c r="C1451" s="25" t="s">
        <v>2463</v>
      </c>
      <c r="D1451" s="25">
        <v>86</v>
      </c>
      <c r="E1451" s="25">
        <v>6.4</v>
      </c>
      <c r="F1451" s="25" t="str" cm="1">
        <f t="array" ref="F14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1" s="26">
        <v>1.03</v>
      </c>
      <c r="H1451" s="27">
        <v>14881</v>
      </c>
    </row>
    <row r="1452" spans="1:8" ht="18" x14ac:dyDescent="0.25">
      <c r="A1452" s="24" t="s">
        <v>1285</v>
      </c>
      <c r="B1452" s="25">
        <v>2016</v>
      </c>
      <c r="C1452" s="25" t="s">
        <v>2462</v>
      </c>
      <c r="D1452" s="25">
        <v>98</v>
      </c>
      <c r="E1452" s="25">
        <v>6.5</v>
      </c>
      <c r="F1452" s="25" t="str" cm="1">
        <f t="array" ref="F14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2" s="26">
        <v>41.01</v>
      </c>
      <c r="H1452" s="27">
        <v>103390</v>
      </c>
    </row>
    <row r="1453" spans="1:8" ht="18" x14ac:dyDescent="0.25">
      <c r="A1453" s="24" t="s">
        <v>1290</v>
      </c>
      <c r="B1453" s="25">
        <v>2016</v>
      </c>
      <c r="C1453" s="25" t="s">
        <v>2462</v>
      </c>
      <c r="D1453" s="25">
        <v>110</v>
      </c>
      <c r="E1453" s="25">
        <v>7.4</v>
      </c>
      <c r="F1453" s="25" t="str" cm="1">
        <f t="array" ref="F14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3" s="26">
        <v>56.25</v>
      </c>
      <c r="H1453" s="27">
        <v>277084</v>
      </c>
    </row>
    <row r="1454" spans="1:8" ht="18" x14ac:dyDescent="0.25">
      <c r="A1454" s="24" t="s">
        <v>1291</v>
      </c>
      <c r="B1454" s="25">
        <v>2016</v>
      </c>
      <c r="C1454" s="25" t="s">
        <v>2462</v>
      </c>
      <c r="D1454" s="25">
        <v>108</v>
      </c>
      <c r="E1454" s="25">
        <v>6</v>
      </c>
      <c r="F1454" s="25" t="str" cm="1">
        <f t="array" ref="F14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4" s="26">
        <v>79.209999999999994</v>
      </c>
      <c r="H1454" s="27">
        <v>107836</v>
      </c>
    </row>
    <row r="1455" spans="1:8" ht="18" x14ac:dyDescent="0.25">
      <c r="A1455" s="24" t="s">
        <v>1292</v>
      </c>
      <c r="B1455" s="25">
        <v>2016</v>
      </c>
      <c r="C1455" s="25" t="s">
        <v>2462</v>
      </c>
      <c r="D1455" s="25">
        <v>144</v>
      </c>
      <c r="E1455" s="25">
        <v>6.9</v>
      </c>
      <c r="F1455" s="25" t="str" cm="1">
        <f t="array" ref="F14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5" s="26">
        <v>155.44</v>
      </c>
      <c r="H1455" s="27">
        <v>453505</v>
      </c>
    </row>
    <row r="1456" spans="1:8" ht="18" x14ac:dyDescent="0.25">
      <c r="A1456" s="24" t="s">
        <v>1293</v>
      </c>
      <c r="B1456" s="25">
        <v>2016</v>
      </c>
      <c r="C1456" s="25" t="s">
        <v>2462</v>
      </c>
      <c r="D1456" s="25">
        <v>113</v>
      </c>
      <c r="E1456" s="25">
        <v>6.2</v>
      </c>
      <c r="F1456" s="25" t="str" cm="1">
        <f t="array" ref="F14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6" s="26">
        <v>2.46</v>
      </c>
      <c r="H1456" s="27">
        <v>13583</v>
      </c>
    </row>
    <row r="1457" spans="1:8" ht="18" x14ac:dyDescent="0.25">
      <c r="A1457" s="24" t="s">
        <v>1302</v>
      </c>
      <c r="B1457" s="25">
        <v>2016</v>
      </c>
      <c r="C1457" s="25" t="s">
        <v>2462</v>
      </c>
      <c r="D1457" s="25">
        <v>111</v>
      </c>
      <c r="E1457" s="25">
        <v>6.7</v>
      </c>
      <c r="F1457" s="25" t="str" cm="1">
        <f t="array" ref="F14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7" s="26">
        <v>2.46</v>
      </c>
      <c r="H1457" s="27">
        <v>21243</v>
      </c>
    </row>
    <row r="1458" spans="1:8" ht="18" x14ac:dyDescent="0.25">
      <c r="A1458" s="24" t="s">
        <v>2319</v>
      </c>
      <c r="B1458" s="25">
        <v>2016</v>
      </c>
      <c r="C1458" s="25" t="s">
        <v>2462</v>
      </c>
      <c r="D1458" s="25">
        <v>118</v>
      </c>
      <c r="E1458" s="25">
        <v>5.6</v>
      </c>
      <c r="F1458" s="25" t="str" cm="1">
        <f t="array" ref="F14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8" s="26">
        <v>32.46</v>
      </c>
      <c r="H1458" s="27">
        <v>39115</v>
      </c>
    </row>
    <row r="1459" spans="1:8" ht="18" x14ac:dyDescent="0.25">
      <c r="A1459" s="24" t="s">
        <v>2320</v>
      </c>
      <c r="B1459" s="25">
        <v>2016</v>
      </c>
      <c r="C1459" s="25" t="s">
        <v>2462</v>
      </c>
      <c r="D1459" s="25">
        <v>90</v>
      </c>
      <c r="E1459" s="25">
        <v>4.9000000000000004</v>
      </c>
      <c r="F1459" s="25" t="str" cm="1">
        <f t="array" ref="F14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59" s="26">
        <v>2.46</v>
      </c>
      <c r="H1459" s="27">
        <v>3260</v>
      </c>
    </row>
    <row r="1460" spans="1:8" ht="18" x14ac:dyDescent="0.25">
      <c r="A1460" s="24" t="s">
        <v>1309</v>
      </c>
      <c r="B1460" s="25">
        <v>2016</v>
      </c>
      <c r="C1460" s="25" t="s">
        <v>2462</v>
      </c>
      <c r="D1460" s="25">
        <v>112</v>
      </c>
      <c r="E1460" s="25">
        <v>6.6</v>
      </c>
      <c r="F1460" s="25" t="str" cm="1">
        <f t="array" ref="F14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0" s="26">
        <v>23.05</v>
      </c>
      <c r="H1460" s="27">
        <v>54825</v>
      </c>
    </row>
    <row r="1461" spans="1:8" ht="18" x14ac:dyDescent="0.25">
      <c r="A1461" s="24" t="s">
        <v>1311</v>
      </c>
      <c r="B1461" s="25">
        <v>2016</v>
      </c>
      <c r="C1461" s="25" t="s">
        <v>2462</v>
      </c>
      <c r="D1461" s="25">
        <v>110</v>
      </c>
      <c r="E1461" s="25">
        <v>5.8</v>
      </c>
      <c r="F1461" s="25" t="str" cm="1">
        <f t="array" ref="F14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1" s="26">
        <v>0.06</v>
      </c>
      <c r="H1461" s="27">
        <v>11637</v>
      </c>
    </row>
    <row r="1462" spans="1:8" ht="18" x14ac:dyDescent="0.25">
      <c r="A1462" s="24" t="s">
        <v>1313</v>
      </c>
      <c r="B1462" s="25">
        <v>2016</v>
      </c>
      <c r="C1462" s="25" t="s">
        <v>2462</v>
      </c>
      <c r="D1462" s="25">
        <v>120</v>
      </c>
      <c r="E1462" s="25">
        <v>5.2</v>
      </c>
      <c r="F1462" s="25" t="str" cm="1">
        <f t="array" ref="F14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2" s="26">
        <v>103.14</v>
      </c>
      <c r="H1462" s="27">
        <v>186340</v>
      </c>
    </row>
    <row r="1463" spans="1:8" ht="18" x14ac:dyDescent="0.25">
      <c r="A1463" s="24" t="s">
        <v>1314</v>
      </c>
      <c r="B1463" s="25">
        <v>2016</v>
      </c>
      <c r="C1463" s="25" t="s">
        <v>2462</v>
      </c>
      <c r="D1463" s="25">
        <v>88</v>
      </c>
      <c r="E1463" s="25">
        <v>5.2</v>
      </c>
      <c r="F1463" s="25" t="str" cm="1">
        <f t="array" ref="F14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3" s="26">
        <v>2.46</v>
      </c>
      <c r="H1463" s="27">
        <v>2351</v>
      </c>
    </row>
    <row r="1464" spans="1:8" ht="18" x14ac:dyDescent="0.25">
      <c r="A1464" s="24" t="s">
        <v>1315</v>
      </c>
      <c r="B1464" s="25">
        <v>2016</v>
      </c>
      <c r="C1464" s="25" t="s">
        <v>2463</v>
      </c>
      <c r="D1464" s="25">
        <v>127</v>
      </c>
      <c r="E1464" s="25">
        <v>6.7</v>
      </c>
      <c r="F1464" s="25" t="str" cm="1">
        <f t="array" ref="F14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4" s="26">
        <v>2.46</v>
      </c>
      <c r="H1464" s="27">
        <v>4718</v>
      </c>
    </row>
    <row r="1465" spans="1:8" ht="18" x14ac:dyDescent="0.25">
      <c r="A1465" s="24" t="s">
        <v>1319</v>
      </c>
      <c r="B1465" s="25">
        <v>2016</v>
      </c>
      <c r="C1465" s="25" t="s">
        <v>2462</v>
      </c>
      <c r="D1465" s="25">
        <v>123</v>
      </c>
      <c r="E1465" s="25">
        <v>6.7</v>
      </c>
      <c r="F1465" s="25" t="str" cm="1">
        <f t="array" ref="F14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5" s="26">
        <v>47.37</v>
      </c>
      <c r="H1465" s="27">
        <v>274518</v>
      </c>
    </row>
    <row r="1466" spans="1:8" ht="18" x14ac:dyDescent="0.25">
      <c r="A1466" s="24" t="s">
        <v>2321</v>
      </c>
      <c r="B1466" s="25">
        <v>2016</v>
      </c>
      <c r="C1466" s="25" t="s">
        <v>2464</v>
      </c>
      <c r="D1466" s="25">
        <v>151</v>
      </c>
      <c r="E1466" s="25">
        <v>6.5</v>
      </c>
      <c r="F1466" s="25" t="str" cm="1">
        <f t="array" ref="F14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6" s="26">
        <v>330.36</v>
      </c>
      <c r="H1466" s="27">
        <v>742599</v>
      </c>
    </row>
    <row r="1467" spans="1:8" ht="18" x14ac:dyDescent="0.25">
      <c r="A1467" s="24" t="s">
        <v>2322</v>
      </c>
      <c r="B1467" s="25">
        <v>2016</v>
      </c>
      <c r="C1467" s="25" t="s">
        <v>2462</v>
      </c>
      <c r="D1467" s="25">
        <v>114</v>
      </c>
      <c r="E1467" s="25">
        <v>6.1</v>
      </c>
      <c r="F1467" s="25" t="str" cm="1">
        <f t="array" ref="F14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7" s="26">
        <v>48.39</v>
      </c>
      <c r="H1467" s="27">
        <v>117120</v>
      </c>
    </row>
    <row r="1468" spans="1:8" ht="18" x14ac:dyDescent="0.25">
      <c r="A1468" s="24" t="s">
        <v>2323</v>
      </c>
      <c r="B1468" s="25">
        <v>2016</v>
      </c>
      <c r="C1468" s="25" t="s">
        <v>2462</v>
      </c>
      <c r="D1468" s="25">
        <v>107</v>
      </c>
      <c r="E1468" s="25">
        <v>7.1</v>
      </c>
      <c r="F1468" s="25" t="str" cm="1">
        <f t="array" ref="F14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8" s="26">
        <v>0.03</v>
      </c>
      <c r="H1468" s="27">
        <v>20519</v>
      </c>
    </row>
    <row r="1469" spans="1:8" ht="18" x14ac:dyDescent="0.25">
      <c r="A1469" s="24" t="s">
        <v>2324</v>
      </c>
      <c r="B1469" s="25">
        <v>2016</v>
      </c>
      <c r="C1469" s="25" t="s">
        <v>2462</v>
      </c>
      <c r="D1469" s="25">
        <v>98</v>
      </c>
      <c r="E1469" s="25">
        <v>6.1</v>
      </c>
      <c r="F1469" s="25" t="str" cm="1">
        <f t="array" ref="F14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69" s="26">
        <v>4.2</v>
      </c>
      <c r="H1469" s="27">
        <v>46915</v>
      </c>
    </row>
    <row r="1470" spans="1:8" ht="18" x14ac:dyDescent="0.25">
      <c r="A1470" s="24" t="s">
        <v>1332</v>
      </c>
      <c r="B1470" s="25">
        <v>2016</v>
      </c>
      <c r="C1470" s="25" t="s">
        <v>2462</v>
      </c>
      <c r="D1470" s="25">
        <v>97</v>
      </c>
      <c r="E1470" s="25">
        <v>6.3</v>
      </c>
      <c r="F1470" s="25" t="str" cm="1">
        <f t="array" ref="F14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0" s="26">
        <v>107.51</v>
      </c>
      <c r="H1470" s="27">
        <v>100931</v>
      </c>
    </row>
    <row r="1471" spans="1:8" ht="18" x14ac:dyDescent="0.25">
      <c r="A1471" s="24" t="s">
        <v>1334</v>
      </c>
      <c r="B1471" s="25">
        <v>2016</v>
      </c>
      <c r="C1471" s="25" t="s">
        <v>2462</v>
      </c>
      <c r="D1471" s="25">
        <v>107</v>
      </c>
      <c r="E1471" s="25">
        <v>5.5</v>
      </c>
      <c r="F1471" s="25" t="str" cm="1">
        <f t="array" ref="F14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1" s="26">
        <v>2.46</v>
      </c>
      <c r="H1471" s="27">
        <v>23530</v>
      </c>
    </row>
    <row r="1472" spans="1:8" ht="18" x14ac:dyDescent="0.25">
      <c r="A1472" s="24" t="s">
        <v>1335</v>
      </c>
      <c r="B1472" s="25">
        <v>2016</v>
      </c>
      <c r="C1472" s="25" t="s">
        <v>2462</v>
      </c>
      <c r="D1472" s="25">
        <v>104</v>
      </c>
      <c r="E1472" s="25">
        <v>6.5</v>
      </c>
      <c r="F1472" s="25" t="str" cm="1">
        <f t="array" ref="F14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2" s="26">
        <v>1.36</v>
      </c>
      <c r="H1472" s="27">
        <v>20898</v>
      </c>
    </row>
    <row r="1473" spans="1:8" ht="18" x14ac:dyDescent="0.25">
      <c r="A1473" s="24" t="s">
        <v>1343</v>
      </c>
      <c r="B1473" s="25">
        <v>2016</v>
      </c>
      <c r="C1473" s="25" t="s">
        <v>2463</v>
      </c>
      <c r="D1473" s="25">
        <v>90</v>
      </c>
      <c r="E1473" s="25">
        <v>4.9000000000000004</v>
      </c>
      <c r="F1473" s="25" t="str" cm="1">
        <f t="array" ref="F14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3" s="26">
        <v>2.46</v>
      </c>
      <c r="H1473" s="27">
        <v>2252</v>
      </c>
    </row>
    <row r="1474" spans="1:8" ht="18" x14ac:dyDescent="0.25">
      <c r="A1474" s="24" t="s">
        <v>1344</v>
      </c>
      <c r="B1474" s="25">
        <v>2016</v>
      </c>
      <c r="C1474" s="25" t="s">
        <v>2463</v>
      </c>
      <c r="D1474" s="25">
        <v>93</v>
      </c>
      <c r="E1474" s="25">
        <v>6.2</v>
      </c>
      <c r="F1474" s="25" t="str" cm="1">
        <f t="array" ref="F14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4" s="26">
        <v>2.46</v>
      </c>
      <c r="H1474" s="27">
        <v>31903</v>
      </c>
    </row>
    <row r="1475" spans="1:8" ht="18" x14ac:dyDescent="0.25">
      <c r="A1475" s="24" t="s">
        <v>2325</v>
      </c>
      <c r="B1475" s="25">
        <v>2016</v>
      </c>
      <c r="C1475" s="25" t="s">
        <v>2462</v>
      </c>
      <c r="D1475" s="25">
        <v>97</v>
      </c>
      <c r="E1475" s="25">
        <v>7.3</v>
      </c>
      <c r="F1475" s="25" t="str" cm="1">
        <f t="array" ref="F14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5" s="26">
        <v>2.46</v>
      </c>
      <c r="H1475" s="27">
        <v>77836</v>
      </c>
    </row>
    <row r="1476" spans="1:8" ht="18" x14ac:dyDescent="0.25">
      <c r="A1476" s="24" t="s">
        <v>1347</v>
      </c>
      <c r="B1476" s="25">
        <v>2016</v>
      </c>
      <c r="C1476" s="25" t="s">
        <v>2462</v>
      </c>
      <c r="D1476" s="25">
        <v>90</v>
      </c>
      <c r="E1476" s="25">
        <v>6.4</v>
      </c>
      <c r="F1476" s="25" t="str" cm="1">
        <f t="array" ref="F14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6" s="26">
        <v>14.01</v>
      </c>
      <c r="H1476" s="27">
        <v>26057</v>
      </c>
    </row>
    <row r="1477" spans="1:8" ht="18" x14ac:dyDescent="0.25">
      <c r="A1477" s="24" t="s">
        <v>1348</v>
      </c>
      <c r="B1477" s="25">
        <v>2016</v>
      </c>
      <c r="C1477" s="25" t="s">
        <v>2462</v>
      </c>
      <c r="D1477" s="25">
        <v>111</v>
      </c>
      <c r="E1477" s="25">
        <v>5.7</v>
      </c>
      <c r="F1477" s="25" t="str" cm="1">
        <f t="array" ref="F14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7" s="26">
        <v>6.46</v>
      </c>
      <c r="H1477" s="27">
        <v>3811</v>
      </c>
    </row>
    <row r="1478" spans="1:8" ht="18" x14ac:dyDescent="0.25">
      <c r="A1478" s="24" t="s">
        <v>2326</v>
      </c>
      <c r="B1478" s="25">
        <v>2016</v>
      </c>
      <c r="C1478" s="25" t="s">
        <v>2462</v>
      </c>
      <c r="D1478" s="25">
        <v>90</v>
      </c>
      <c r="E1478" s="25">
        <v>4.9000000000000004</v>
      </c>
      <c r="F1478" s="25" t="str" cm="1">
        <f t="array" ref="F14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8" s="26">
        <v>2.46</v>
      </c>
      <c r="H1478" s="27">
        <v>9090</v>
      </c>
    </row>
    <row r="1479" spans="1:8" ht="18" x14ac:dyDescent="0.25">
      <c r="A1479" s="24" t="s">
        <v>1353</v>
      </c>
      <c r="B1479" s="25">
        <v>2016</v>
      </c>
      <c r="C1479" s="25" t="s">
        <v>2462</v>
      </c>
      <c r="D1479" s="25">
        <v>116</v>
      </c>
      <c r="E1479" s="25">
        <v>7.4</v>
      </c>
      <c r="F1479" s="25" t="str" cm="1">
        <f t="array" ref="F14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79" s="26">
        <v>36.26</v>
      </c>
      <c r="H1479" s="27">
        <v>358748</v>
      </c>
    </row>
    <row r="1480" spans="1:8" ht="18" x14ac:dyDescent="0.25">
      <c r="A1480" s="24" t="s">
        <v>2327</v>
      </c>
      <c r="B1480" s="25">
        <v>2016</v>
      </c>
      <c r="C1480" s="25" t="s">
        <v>2462</v>
      </c>
      <c r="D1480" s="25">
        <v>139</v>
      </c>
      <c r="E1480" s="25">
        <v>6.9</v>
      </c>
      <c r="F1480" s="25" t="str" cm="1">
        <f t="array" ref="F14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0" s="26">
        <v>20.76</v>
      </c>
      <c r="H1480" s="27">
        <v>61072</v>
      </c>
    </row>
    <row r="1481" spans="1:8" ht="18" x14ac:dyDescent="0.25">
      <c r="A1481" s="24" t="s">
        <v>1359</v>
      </c>
      <c r="B1481" s="25">
        <v>2016</v>
      </c>
      <c r="C1481" s="25" t="s">
        <v>2464</v>
      </c>
      <c r="D1481" s="25">
        <v>117</v>
      </c>
      <c r="E1481" s="25">
        <v>6.1</v>
      </c>
      <c r="F1481" s="25" t="str" cm="1">
        <f t="array" ref="F14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1" s="26">
        <v>1.33</v>
      </c>
      <c r="H1481" s="27">
        <v>102035</v>
      </c>
    </row>
    <row r="1482" spans="1:8" ht="18" x14ac:dyDescent="0.25">
      <c r="A1482" s="24" t="s">
        <v>2328</v>
      </c>
      <c r="B1482" s="25">
        <v>2016</v>
      </c>
      <c r="C1482" s="25" t="s">
        <v>2464</v>
      </c>
      <c r="D1482" s="25">
        <v>108</v>
      </c>
      <c r="E1482" s="25">
        <v>6.2</v>
      </c>
      <c r="F1482" s="25" t="str" cm="1">
        <f t="array" ref="F14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2" s="26">
        <v>3.15</v>
      </c>
      <c r="H1482" s="27">
        <v>23301</v>
      </c>
    </row>
    <row r="1483" spans="1:8" ht="18" x14ac:dyDescent="0.25">
      <c r="A1483" s="24" t="s">
        <v>1362</v>
      </c>
      <c r="B1483" s="25">
        <v>2016</v>
      </c>
      <c r="C1483" s="25" t="s">
        <v>2464</v>
      </c>
      <c r="D1483" s="25">
        <v>97</v>
      </c>
      <c r="E1483" s="25">
        <v>6</v>
      </c>
      <c r="F1483" s="25" t="str" cm="1">
        <f t="array" ref="F14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3" s="26">
        <v>2.46</v>
      </c>
      <c r="H1483" s="27">
        <v>3015</v>
      </c>
    </row>
    <row r="1484" spans="1:8" ht="18" x14ac:dyDescent="0.25">
      <c r="A1484" s="24" t="s">
        <v>1364</v>
      </c>
      <c r="B1484" s="25">
        <v>2016</v>
      </c>
      <c r="C1484" s="25" t="s">
        <v>2462</v>
      </c>
      <c r="D1484" s="25">
        <v>88</v>
      </c>
      <c r="E1484" s="25">
        <v>6.3</v>
      </c>
      <c r="F1484" s="25" t="str" cm="1">
        <f t="array" ref="F14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4" s="26">
        <v>2.46</v>
      </c>
      <c r="H1484" s="27">
        <v>2929</v>
      </c>
    </row>
    <row r="1485" spans="1:8" ht="18" x14ac:dyDescent="0.25">
      <c r="A1485" s="24" t="s">
        <v>1366</v>
      </c>
      <c r="B1485" s="25">
        <v>2016</v>
      </c>
      <c r="C1485" s="25" t="s">
        <v>2462</v>
      </c>
      <c r="D1485" s="25">
        <v>147</v>
      </c>
      <c r="E1485" s="25">
        <v>7.8</v>
      </c>
      <c r="F1485" s="25" t="str" cm="1">
        <f t="array" ref="F14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5" s="26">
        <v>408.08</v>
      </c>
      <c r="H1485" s="27">
        <v>831755</v>
      </c>
    </row>
    <row r="1486" spans="1:8" ht="18" x14ac:dyDescent="0.25">
      <c r="A1486" s="24" t="s">
        <v>1369</v>
      </c>
      <c r="B1486" s="25">
        <v>2016</v>
      </c>
      <c r="C1486" s="25" t="s">
        <v>2464</v>
      </c>
      <c r="D1486" s="25">
        <v>104</v>
      </c>
      <c r="E1486" s="25">
        <v>6.4</v>
      </c>
      <c r="F1486" s="25" t="str" cm="1">
        <f t="array" ref="F14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6" s="26">
        <v>0.02</v>
      </c>
      <c r="H1486" s="27">
        <v>1840</v>
      </c>
    </row>
    <row r="1487" spans="1:8" ht="18" x14ac:dyDescent="0.25">
      <c r="A1487" s="24" t="s">
        <v>1370</v>
      </c>
      <c r="B1487" s="25">
        <v>2016</v>
      </c>
      <c r="C1487" s="25" t="s">
        <v>2462</v>
      </c>
      <c r="D1487" s="25">
        <v>88</v>
      </c>
      <c r="E1487" s="25">
        <v>6.4</v>
      </c>
      <c r="F1487" s="25" t="str" cm="1">
        <f t="array" ref="F14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7" s="26">
        <v>2.46</v>
      </c>
      <c r="H1487" s="27">
        <v>66928</v>
      </c>
    </row>
    <row r="1488" spans="1:8" ht="18" x14ac:dyDescent="0.25">
      <c r="A1488" s="24" t="s">
        <v>2329</v>
      </c>
      <c r="B1488" s="25">
        <v>2016</v>
      </c>
      <c r="C1488" s="25" t="s">
        <v>2462</v>
      </c>
      <c r="D1488" s="25">
        <v>110</v>
      </c>
      <c r="E1488" s="25">
        <v>6.7</v>
      </c>
      <c r="F1488" s="25" t="str" cm="1">
        <f t="array" ref="F14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8" s="26">
        <v>0.23</v>
      </c>
      <c r="H1488" s="27">
        <v>22837</v>
      </c>
    </row>
    <row r="1489" spans="1:8" ht="18" x14ac:dyDescent="0.25">
      <c r="A1489" s="24" t="s">
        <v>1374</v>
      </c>
      <c r="B1489" s="25">
        <v>2016</v>
      </c>
      <c r="C1489" s="25" t="s">
        <v>2464</v>
      </c>
      <c r="D1489" s="25">
        <v>90</v>
      </c>
      <c r="E1489" s="25">
        <v>6</v>
      </c>
      <c r="F1489" s="25" t="str" cm="1">
        <f t="array" ref="F14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89" s="26">
        <v>0.03</v>
      </c>
      <c r="H1489" s="27">
        <v>6483</v>
      </c>
    </row>
    <row r="1490" spans="1:8" ht="18" x14ac:dyDescent="0.25">
      <c r="A1490" s="24" t="s">
        <v>1376</v>
      </c>
      <c r="B1490" s="25">
        <v>2016</v>
      </c>
      <c r="C1490" s="25" t="s">
        <v>2462</v>
      </c>
      <c r="D1490" s="25">
        <v>98</v>
      </c>
      <c r="E1490" s="25">
        <v>5.7</v>
      </c>
      <c r="F1490" s="25" t="str" cm="1">
        <f t="array" ref="F14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0" s="26">
        <v>21.22</v>
      </c>
      <c r="H1490" s="27">
        <v>90912</v>
      </c>
    </row>
    <row r="1491" spans="1:8" ht="18" x14ac:dyDescent="0.25">
      <c r="A1491" s="24" t="s">
        <v>1377</v>
      </c>
      <c r="B1491" s="25">
        <v>2016</v>
      </c>
      <c r="C1491" s="25" t="s">
        <v>2462</v>
      </c>
      <c r="D1491" s="25">
        <v>86</v>
      </c>
      <c r="E1491" s="25">
        <v>5.8</v>
      </c>
      <c r="F1491" s="25" t="str" cm="1">
        <f t="array" ref="F14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1" s="26">
        <v>2.46</v>
      </c>
      <c r="H1491" s="27">
        <v>2913</v>
      </c>
    </row>
    <row r="1492" spans="1:8" ht="18" x14ac:dyDescent="0.25">
      <c r="A1492" s="24" t="s">
        <v>2330</v>
      </c>
      <c r="B1492" s="25">
        <v>2016</v>
      </c>
      <c r="C1492" s="25" t="s">
        <v>2463</v>
      </c>
      <c r="D1492" s="25">
        <v>118</v>
      </c>
      <c r="E1492" s="25">
        <v>7.6</v>
      </c>
      <c r="F1492" s="25" t="str" cm="1">
        <f t="array" ref="F14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2" s="26">
        <v>2.13</v>
      </c>
      <c r="H1492" s="27">
        <v>245996</v>
      </c>
    </row>
    <row r="1493" spans="1:8" ht="18" x14ac:dyDescent="0.25">
      <c r="A1493" s="24" t="s">
        <v>1380</v>
      </c>
      <c r="B1493" s="25">
        <v>2016</v>
      </c>
      <c r="C1493" s="25" t="s">
        <v>2462</v>
      </c>
      <c r="D1493" s="25">
        <v>86</v>
      </c>
      <c r="E1493" s="25">
        <v>6.3</v>
      </c>
      <c r="F1493" s="25" t="str" cm="1">
        <f t="array" ref="F14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3" s="26">
        <v>55.12</v>
      </c>
      <c r="H1493" s="27">
        <v>141258</v>
      </c>
    </row>
    <row r="1494" spans="1:8" ht="18" x14ac:dyDescent="0.25">
      <c r="A1494" s="24" t="s">
        <v>1382</v>
      </c>
      <c r="B1494" s="25">
        <v>2016</v>
      </c>
      <c r="C1494" s="25" t="s">
        <v>2464</v>
      </c>
      <c r="D1494" s="25">
        <v>97</v>
      </c>
      <c r="E1494" s="25">
        <v>6.8</v>
      </c>
      <c r="F1494" s="25" t="str" cm="1">
        <f t="array" ref="F14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4" s="26">
        <v>0.09</v>
      </c>
      <c r="H1494" s="27">
        <v>12323</v>
      </c>
    </row>
    <row r="1495" spans="1:8" ht="18" x14ac:dyDescent="0.25">
      <c r="A1495" s="24" t="s">
        <v>2331</v>
      </c>
      <c r="B1495" s="25">
        <v>2016</v>
      </c>
      <c r="C1495" s="25" t="s">
        <v>2462</v>
      </c>
      <c r="D1495" s="25">
        <v>110</v>
      </c>
      <c r="E1495" s="25">
        <v>6.2</v>
      </c>
      <c r="F1495" s="25" t="str" cm="1">
        <f t="array" ref="F14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5" s="26">
        <v>126.64</v>
      </c>
      <c r="H1495" s="27">
        <v>184314</v>
      </c>
    </row>
    <row r="1496" spans="1:8" ht="18" x14ac:dyDescent="0.25">
      <c r="A1496" s="24" t="s">
        <v>1384</v>
      </c>
      <c r="B1496" s="25">
        <v>2016</v>
      </c>
      <c r="C1496" s="25" t="s">
        <v>2462</v>
      </c>
      <c r="D1496" s="25">
        <v>123</v>
      </c>
      <c r="E1496" s="25">
        <v>6.6</v>
      </c>
      <c r="F1496" s="25" t="str" cm="1">
        <f t="array" ref="F14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6" s="26">
        <v>162.43</v>
      </c>
      <c r="H1496" s="27">
        <v>237960</v>
      </c>
    </row>
    <row r="1497" spans="1:8" ht="18" x14ac:dyDescent="0.25">
      <c r="A1497" s="24" t="s">
        <v>2332</v>
      </c>
      <c r="B1497" s="25">
        <v>2016</v>
      </c>
      <c r="C1497" s="25" t="s">
        <v>2463</v>
      </c>
      <c r="D1497" s="25">
        <v>101</v>
      </c>
      <c r="E1497" s="25">
        <v>7.8</v>
      </c>
      <c r="F1497" s="25" t="str" cm="1">
        <f t="array" ref="F14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7" s="26">
        <v>5.2</v>
      </c>
      <c r="H1497" s="27">
        <v>138308</v>
      </c>
    </row>
    <row r="1498" spans="1:8" ht="18" x14ac:dyDescent="0.25">
      <c r="A1498" s="24" t="s">
        <v>1388</v>
      </c>
      <c r="B1498" s="25">
        <v>2016</v>
      </c>
      <c r="C1498" s="25" t="s">
        <v>2462</v>
      </c>
      <c r="D1498" s="25">
        <v>111</v>
      </c>
      <c r="E1498" s="25">
        <v>6.8</v>
      </c>
      <c r="F1498" s="25" t="str" cm="1">
        <f t="array" ref="F14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8" s="26">
        <v>27.38</v>
      </c>
      <c r="H1498" s="27">
        <v>58644</v>
      </c>
    </row>
    <row r="1499" spans="1:8" ht="18" x14ac:dyDescent="0.25">
      <c r="A1499" s="24" t="s">
        <v>2333</v>
      </c>
      <c r="B1499" s="25">
        <v>2016</v>
      </c>
      <c r="C1499" s="25" t="s">
        <v>2462</v>
      </c>
      <c r="D1499" s="25">
        <v>93</v>
      </c>
      <c r="E1499" s="25">
        <v>5.8</v>
      </c>
      <c r="F1499" s="25" t="str" cm="1">
        <f t="array" ref="F14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499" s="26">
        <v>2.46</v>
      </c>
      <c r="H1499" s="27">
        <v>3423</v>
      </c>
    </row>
    <row r="1500" spans="1:8" ht="18" x14ac:dyDescent="0.25">
      <c r="A1500" s="24" t="s">
        <v>1398</v>
      </c>
      <c r="B1500" s="25">
        <v>2016</v>
      </c>
      <c r="C1500" s="25" t="s">
        <v>2462</v>
      </c>
      <c r="D1500" s="25">
        <v>127</v>
      </c>
      <c r="E1500" s="25">
        <v>7</v>
      </c>
      <c r="F1500" s="25" t="str" cm="1">
        <f t="array" ref="F15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0" s="26">
        <v>15.43</v>
      </c>
      <c r="H1500" s="27">
        <v>77479</v>
      </c>
    </row>
    <row r="1501" spans="1:8" ht="18" x14ac:dyDescent="0.25">
      <c r="A1501" s="24" t="s">
        <v>1401</v>
      </c>
      <c r="B1501" s="25">
        <v>2016</v>
      </c>
      <c r="C1501" s="25" t="s">
        <v>2463</v>
      </c>
      <c r="D1501" s="25">
        <v>100</v>
      </c>
      <c r="E1501" s="25">
        <v>6.1</v>
      </c>
      <c r="F1501" s="25" t="str" cm="1">
        <f t="array" ref="F15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1" s="26">
        <v>2.46</v>
      </c>
      <c r="H1501" s="27">
        <v>2035</v>
      </c>
    </row>
    <row r="1502" spans="1:8" ht="18" x14ac:dyDescent="0.25">
      <c r="A1502" s="24" t="s">
        <v>1402</v>
      </c>
      <c r="B1502" s="25">
        <v>2016</v>
      </c>
      <c r="C1502" s="25" t="s">
        <v>2462</v>
      </c>
      <c r="D1502" s="25">
        <v>104</v>
      </c>
      <c r="E1502" s="25">
        <v>7.6</v>
      </c>
      <c r="F1502" s="25" t="str" cm="1">
        <f t="array" ref="F15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2" s="26">
        <v>0.69</v>
      </c>
      <c r="H1502" s="27">
        <v>30643</v>
      </c>
    </row>
    <row r="1503" spans="1:8" ht="18" x14ac:dyDescent="0.25">
      <c r="A1503" s="24" t="s">
        <v>1403</v>
      </c>
      <c r="B1503" s="25">
        <v>2016</v>
      </c>
      <c r="C1503" s="25" t="s">
        <v>2463</v>
      </c>
      <c r="D1503" s="25">
        <v>120</v>
      </c>
      <c r="E1503" s="25">
        <v>7.2</v>
      </c>
      <c r="F1503" s="25" t="str" cm="1">
        <f t="array" ref="F15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3" s="26">
        <v>2.96</v>
      </c>
      <c r="H1503" s="27">
        <v>52631</v>
      </c>
    </row>
    <row r="1504" spans="1:8" ht="18" x14ac:dyDescent="0.25">
      <c r="A1504" s="24" t="s">
        <v>1405</v>
      </c>
      <c r="B1504" s="25">
        <v>2016</v>
      </c>
      <c r="C1504" s="25" t="s">
        <v>2462</v>
      </c>
      <c r="D1504" s="25">
        <v>110</v>
      </c>
      <c r="E1504" s="25">
        <v>6.6</v>
      </c>
      <c r="F1504" s="25" t="str" cm="1">
        <f t="array" ref="F15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4" s="26">
        <v>0.09</v>
      </c>
      <c r="H1504" s="27">
        <v>6138</v>
      </c>
    </row>
    <row r="1505" spans="1:8" ht="18" x14ac:dyDescent="0.25">
      <c r="A1505" s="24" t="s">
        <v>1409</v>
      </c>
      <c r="B1505" s="25">
        <v>2016</v>
      </c>
      <c r="C1505" s="25" t="s">
        <v>2462</v>
      </c>
      <c r="D1505" s="25">
        <v>95</v>
      </c>
      <c r="E1505" s="25">
        <v>5.5</v>
      </c>
      <c r="F1505" s="25" t="str" cm="1">
        <f t="array" ref="F15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5" s="26">
        <v>2.46</v>
      </c>
      <c r="H1505" s="27">
        <v>16709</v>
      </c>
    </row>
    <row r="1506" spans="1:8" ht="18" x14ac:dyDescent="0.25">
      <c r="A1506" s="24" t="s">
        <v>1411</v>
      </c>
      <c r="B1506" s="25">
        <v>2016</v>
      </c>
      <c r="C1506" s="25" t="s">
        <v>2462</v>
      </c>
      <c r="D1506" s="25">
        <v>91</v>
      </c>
      <c r="E1506" s="25">
        <v>5.4</v>
      </c>
      <c r="F1506" s="25" t="str" cm="1">
        <f t="array" ref="F15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6" s="26">
        <v>0.17</v>
      </c>
      <c r="H1506" s="27">
        <v>6465</v>
      </c>
    </row>
    <row r="1507" spans="1:8" ht="18" x14ac:dyDescent="0.25">
      <c r="A1507" s="24" t="s">
        <v>2334</v>
      </c>
      <c r="B1507" s="25">
        <v>2016</v>
      </c>
      <c r="C1507" s="25" t="s">
        <v>2463</v>
      </c>
      <c r="D1507" s="25">
        <v>91</v>
      </c>
      <c r="E1507" s="25">
        <v>7.3</v>
      </c>
      <c r="F1507" s="25" t="str" cm="1">
        <f t="array" ref="F15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7" s="26">
        <v>7.0000000000000007E-2</v>
      </c>
      <c r="H1507" s="27">
        <v>462</v>
      </c>
    </row>
    <row r="1508" spans="1:8" ht="18" x14ac:dyDescent="0.25">
      <c r="A1508" s="24" t="s">
        <v>1413</v>
      </c>
      <c r="B1508" s="25">
        <v>2016</v>
      </c>
      <c r="C1508" s="25" t="s">
        <v>2463</v>
      </c>
      <c r="D1508" s="25">
        <v>89</v>
      </c>
      <c r="E1508" s="25">
        <v>6.1</v>
      </c>
      <c r="F1508" s="25" t="str" cm="1">
        <f t="array" ref="F15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8" s="26">
        <v>97.69</v>
      </c>
      <c r="H1508" s="27">
        <v>205916</v>
      </c>
    </row>
    <row r="1509" spans="1:8" ht="18" x14ac:dyDescent="0.25">
      <c r="A1509" s="24" t="s">
        <v>2335</v>
      </c>
      <c r="B1509" s="25">
        <v>2016</v>
      </c>
      <c r="C1509" s="25" t="s">
        <v>2463</v>
      </c>
      <c r="D1509" s="25">
        <v>111</v>
      </c>
      <c r="E1509" s="25">
        <v>7.6</v>
      </c>
      <c r="F1509" s="25" t="str" cm="1">
        <f t="array" ref="F15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09" s="26">
        <v>0.08</v>
      </c>
      <c r="H1509" s="27">
        <v>4787</v>
      </c>
    </row>
    <row r="1510" spans="1:8" ht="18" x14ac:dyDescent="0.25">
      <c r="A1510" s="24" t="s">
        <v>2336</v>
      </c>
      <c r="B1510" s="25">
        <v>2016</v>
      </c>
      <c r="C1510" s="25" t="s">
        <v>2462</v>
      </c>
      <c r="D1510" s="25">
        <v>127</v>
      </c>
      <c r="E1510" s="25">
        <v>6.7</v>
      </c>
      <c r="F1510" s="25" t="str" cm="1">
        <f t="array" ref="F15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0" s="26">
        <v>87.24</v>
      </c>
      <c r="H1510" s="27">
        <v>184368</v>
      </c>
    </row>
    <row r="1511" spans="1:8" ht="18" x14ac:dyDescent="0.25">
      <c r="A1511" s="24" t="s">
        <v>1416</v>
      </c>
      <c r="B1511" s="25">
        <v>2016</v>
      </c>
      <c r="C1511" s="25" t="s">
        <v>2462</v>
      </c>
      <c r="D1511" s="25">
        <v>118</v>
      </c>
      <c r="E1511" s="25">
        <v>7.8</v>
      </c>
      <c r="F1511" s="25" t="str" cm="1">
        <f t="array" ref="F15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1" s="26">
        <v>5.88</v>
      </c>
      <c r="H1511" s="27">
        <v>230155</v>
      </c>
    </row>
    <row r="1512" spans="1:8" ht="18" x14ac:dyDescent="0.25">
      <c r="A1512" s="24" t="s">
        <v>1417</v>
      </c>
      <c r="B1512" s="25">
        <v>2016</v>
      </c>
      <c r="C1512" s="25" t="s">
        <v>2462</v>
      </c>
      <c r="D1512" s="25">
        <v>91</v>
      </c>
      <c r="E1512" s="25">
        <v>5.4</v>
      </c>
      <c r="F1512" s="25" t="str" cm="1">
        <f t="array" ref="F15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2" s="26">
        <v>2.46</v>
      </c>
      <c r="H1512" s="27">
        <v>18944</v>
      </c>
    </row>
    <row r="1513" spans="1:8" ht="18" x14ac:dyDescent="0.25">
      <c r="A1513" s="24" t="s">
        <v>2337</v>
      </c>
      <c r="B1513" s="25">
        <v>2016</v>
      </c>
      <c r="C1513" s="25" t="s">
        <v>2463</v>
      </c>
      <c r="D1513" s="25">
        <v>112</v>
      </c>
      <c r="E1513" s="25">
        <v>5.7</v>
      </c>
      <c r="F1513" s="25" t="str" cm="1">
        <f t="array" ref="F15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3" s="26">
        <v>2.46</v>
      </c>
      <c r="H1513" s="27">
        <v>9687</v>
      </c>
    </row>
    <row r="1514" spans="1:8" ht="18" x14ac:dyDescent="0.25">
      <c r="A1514" s="24" t="s">
        <v>1419</v>
      </c>
      <c r="B1514" s="25">
        <v>2016</v>
      </c>
      <c r="C1514" s="25" t="s">
        <v>2462</v>
      </c>
      <c r="D1514" s="25">
        <v>93</v>
      </c>
      <c r="E1514" s="25">
        <v>4.8</v>
      </c>
      <c r="F1514" s="25" t="str" cm="1">
        <f t="array" ref="F15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4" s="26">
        <v>2.46</v>
      </c>
      <c r="H1514" s="27">
        <v>9456</v>
      </c>
    </row>
    <row r="1515" spans="1:8" ht="18" x14ac:dyDescent="0.25">
      <c r="A1515" s="24" t="s">
        <v>1420</v>
      </c>
      <c r="B1515" s="25">
        <v>2016</v>
      </c>
      <c r="C1515" s="25" t="s">
        <v>2462</v>
      </c>
      <c r="D1515" s="25">
        <v>96</v>
      </c>
      <c r="E1515" s="25">
        <v>7.4</v>
      </c>
      <c r="F1515" s="25" t="str" cm="1">
        <f t="array" ref="F15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5" s="26">
        <v>125.07</v>
      </c>
      <c r="H1515" s="27">
        <v>291391</v>
      </c>
    </row>
    <row r="1516" spans="1:8" ht="18" x14ac:dyDescent="0.25">
      <c r="A1516" s="24" t="s">
        <v>2338</v>
      </c>
      <c r="B1516" s="25">
        <v>2016</v>
      </c>
      <c r="C1516" s="25" t="s">
        <v>2463</v>
      </c>
      <c r="D1516" s="25">
        <v>102</v>
      </c>
      <c r="E1516" s="25">
        <v>6.7</v>
      </c>
      <c r="F1516" s="25" t="str" cm="1">
        <f t="array" ref="F15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6" s="26">
        <v>76.23</v>
      </c>
      <c r="H1516" s="27">
        <v>60908</v>
      </c>
    </row>
    <row r="1517" spans="1:8" ht="18" x14ac:dyDescent="0.25">
      <c r="A1517" s="24" t="s">
        <v>1424</v>
      </c>
      <c r="B1517" s="25">
        <v>2016</v>
      </c>
      <c r="C1517" s="25" t="s">
        <v>2462</v>
      </c>
      <c r="D1517" s="25">
        <v>92</v>
      </c>
      <c r="E1517" s="25">
        <v>6.4</v>
      </c>
      <c r="F1517" s="25" t="str" cm="1">
        <f t="array" ref="F15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7" s="26">
        <v>2.46</v>
      </c>
      <c r="H1517" s="27">
        <v>2519</v>
      </c>
    </row>
    <row r="1518" spans="1:8" ht="18" x14ac:dyDescent="0.25">
      <c r="A1518" s="24" t="s">
        <v>2339</v>
      </c>
      <c r="B1518" s="25">
        <v>2016</v>
      </c>
      <c r="C1518" s="25" t="s">
        <v>2462</v>
      </c>
      <c r="D1518" s="25">
        <v>102</v>
      </c>
      <c r="E1518" s="25">
        <v>6.9</v>
      </c>
      <c r="F1518" s="25" t="str" cm="1">
        <f t="array" ref="F15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8" s="26">
        <v>0.28000000000000003</v>
      </c>
      <c r="H1518" s="27">
        <v>14517</v>
      </c>
    </row>
    <row r="1519" spans="1:8" ht="18" x14ac:dyDescent="0.25">
      <c r="A1519" s="24" t="s">
        <v>1427</v>
      </c>
      <c r="B1519" s="25">
        <v>2016</v>
      </c>
      <c r="C1519" s="25" t="s">
        <v>2462</v>
      </c>
      <c r="D1519" s="25">
        <v>105</v>
      </c>
      <c r="E1519" s="25">
        <v>7.4</v>
      </c>
      <c r="F1519" s="25" t="str" cm="1">
        <f t="array" ref="F15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19" s="26">
        <v>2.46</v>
      </c>
      <c r="H1519" s="27">
        <v>10387</v>
      </c>
    </row>
    <row r="1520" spans="1:8" ht="18" x14ac:dyDescent="0.25">
      <c r="A1520" s="24" t="s">
        <v>2340</v>
      </c>
      <c r="B1520" s="25">
        <v>2016</v>
      </c>
      <c r="C1520" s="25" t="s">
        <v>2462</v>
      </c>
      <c r="D1520" s="25">
        <v>113</v>
      </c>
      <c r="E1520" s="25">
        <v>6.2</v>
      </c>
      <c r="F1520" s="25" t="str" cm="1">
        <f t="array" ref="F15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0" s="26">
        <v>77.040000000000006</v>
      </c>
      <c r="H1520" s="27">
        <v>118650</v>
      </c>
    </row>
    <row r="1521" spans="1:8" ht="18" x14ac:dyDescent="0.25">
      <c r="A1521" s="24" t="s">
        <v>1429</v>
      </c>
      <c r="B1521" s="25">
        <v>2016</v>
      </c>
      <c r="C1521" s="25" t="s">
        <v>2462</v>
      </c>
      <c r="D1521" s="25">
        <v>97</v>
      </c>
      <c r="E1521" s="25">
        <v>7.2</v>
      </c>
      <c r="F1521" s="25" t="str" cm="1">
        <f t="array" ref="F15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1" s="26">
        <v>486.3</v>
      </c>
      <c r="H1521" s="27">
        <v>295164</v>
      </c>
    </row>
    <row r="1522" spans="1:8" ht="18" x14ac:dyDescent="0.25">
      <c r="A1522" s="24" t="s">
        <v>1430</v>
      </c>
      <c r="B1522" s="25">
        <v>2016</v>
      </c>
      <c r="C1522" s="25" t="s">
        <v>2462</v>
      </c>
      <c r="D1522" s="25">
        <v>100</v>
      </c>
      <c r="E1522" s="25">
        <v>5.6</v>
      </c>
      <c r="F1522" s="25" t="str" cm="1">
        <f t="array" ref="F15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2" s="26">
        <v>1.6</v>
      </c>
      <c r="H1522" s="27">
        <v>3819</v>
      </c>
    </row>
    <row r="1523" spans="1:8" ht="18" x14ac:dyDescent="0.25">
      <c r="A1523" s="24" t="s">
        <v>1431</v>
      </c>
      <c r="B1523" s="25">
        <v>2016</v>
      </c>
      <c r="C1523" s="25" t="s">
        <v>2462</v>
      </c>
      <c r="D1523" s="25">
        <v>128</v>
      </c>
      <c r="E1523" s="25">
        <v>7.3</v>
      </c>
      <c r="F1523" s="25" t="str" cm="1">
        <f t="array" ref="F15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3" s="26">
        <v>86.26</v>
      </c>
      <c r="H1523" s="27">
        <v>311601</v>
      </c>
    </row>
    <row r="1524" spans="1:8" ht="18" x14ac:dyDescent="0.25">
      <c r="A1524" s="24" t="s">
        <v>1433</v>
      </c>
      <c r="B1524" s="25">
        <v>2016</v>
      </c>
      <c r="C1524" s="25" t="s">
        <v>2462</v>
      </c>
      <c r="D1524" s="25">
        <v>123</v>
      </c>
      <c r="E1524" s="25">
        <v>5.7</v>
      </c>
      <c r="F1524" s="25" t="str" cm="1">
        <f t="array" ref="F15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4" s="26">
        <v>26.41</v>
      </c>
      <c r="H1524" s="27">
        <v>45890</v>
      </c>
    </row>
    <row r="1525" spans="1:8" ht="18" x14ac:dyDescent="0.25">
      <c r="A1525" s="24" t="s">
        <v>1434</v>
      </c>
      <c r="B1525" s="25">
        <v>2016</v>
      </c>
      <c r="C1525" s="25" t="s">
        <v>2463</v>
      </c>
      <c r="D1525" s="25">
        <v>121</v>
      </c>
      <c r="E1525" s="25">
        <v>6.2</v>
      </c>
      <c r="F1525" s="25" t="str" cm="1">
        <f t="array" ref="F15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5" s="26">
        <v>34.340000000000003</v>
      </c>
      <c r="H1525" s="27">
        <v>186093</v>
      </c>
    </row>
    <row r="1526" spans="1:8" ht="18" x14ac:dyDescent="0.25">
      <c r="A1526" s="24" t="s">
        <v>1435</v>
      </c>
      <c r="B1526" s="25">
        <v>2016</v>
      </c>
      <c r="C1526" s="25" t="s">
        <v>2462</v>
      </c>
      <c r="D1526" s="25">
        <v>92</v>
      </c>
      <c r="E1526" s="25">
        <v>5.8</v>
      </c>
      <c r="F1526" s="25" t="str" cm="1">
        <f t="array" ref="F15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6" s="26">
        <v>3.91</v>
      </c>
      <c r="H1526" s="27">
        <v>45588</v>
      </c>
    </row>
    <row r="1527" spans="1:8" ht="18" x14ac:dyDescent="0.25">
      <c r="A1527" s="24" t="s">
        <v>1438</v>
      </c>
      <c r="B1527" s="25">
        <v>2016</v>
      </c>
      <c r="C1527" s="25" t="s">
        <v>2462</v>
      </c>
      <c r="D1527" s="25">
        <v>156</v>
      </c>
      <c r="E1527" s="25">
        <v>7.4</v>
      </c>
      <c r="F1527" s="25" t="str" cm="1">
        <f t="array" ref="F15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7" s="26">
        <v>2.46</v>
      </c>
      <c r="H1527" s="27">
        <v>77869</v>
      </c>
    </row>
    <row r="1528" spans="1:8" ht="18" x14ac:dyDescent="0.25">
      <c r="A1528" s="24" t="s">
        <v>1439</v>
      </c>
      <c r="B1528" s="25">
        <v>2016</v>
      </c>
      <c r="C1528" s="25" t="s">
        <v>2462</v>
      </c>
      <c r="D1528" s="25">
        <v>130</v>
      </c>
      <c r="E1528" s="25">
        <v>7.1</v>
      </c>
      <c r="F1528" s="25" t="str" cm="1">
        <f t="array" ref="F15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8" s="26">
        <v>2.46</v>
      </c>
      <c r="H1528" s="27">
        <v>70084</v>
      </c>
    </row>
    <row r="1529" spans="1:8" ht="18" x14ac:dyDescent="0.25">
      <c r="A1529" s="24" t="s">
        <v>1440</v>
      </c>
      <c r="B1529" s="25">
        <v>2016</v>
      </c>
      <c r="C1529" s="25" t="s">
        <v>2462</v>
      </c>
      <c r="D1529" s="25">
        <v>98</v>
      </c>
      <c r="E1529" s="25">
        <v>6.3</v>
      </c>
      <c r="F1529" s="25" t="str" cm="1">
        <f t="array" ref="F15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29" s="26">
        <v>2.46</v>
      </c>
      <c r="H1529" s="27">
        <v>17975</v>
      </c>
    </row>
    <row r="1530" spans="1:8" ht="18" x14ac:dyDescent="0.25">
      <c r="A1530" s="24" t="s">
        <v>1441</v>
      </c>
      <c r="B1530" s="25">
        <v>2016</v>
      </c>
      <c r="C1530" s="25" t="s">
        <v>2462</v>
      </c>
      <c r="D1530" s="25">
        <v>109</v>
      </c>
      <c r="E1530" s="25">
        <v>6.8</v>
      </c>
      <c r="F1530" s="25" t="str" cm="1">
        <f t="array" ref="F15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0" s="26">
        <v>4.07</v>
      </c>
      <c r="H1530" s="27">
        <v>22968</v>
      </c>
    </row>
    <row r="1531" spans="1:8" ht="18" x14ac:dyDescent="0.25">
      <c r="A1531" s="24" t="s">
        <v>1442</v>
      </c>
      <c r="B1531" s="25">
        <v>2016</v>
      </c>
      <c r="C1531" s="25" t="s">
        <v>2462</v>
      </c>
      <c r="D1531" s="25">
        <v>96</v>
      </c>
      <c r="E1531" s="25">
        <v>6.5</v>
      </c>
      <c r="F1531" s="25" t="str" cm="1">
        <f t="array" ref="F15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1" s="26">
        <v>38.58</v>
      </c>
      <c r="H1531" s="27">
        <v>138137</v>
      </c>
    </row>
    <row r="1532" spans="1:8" ht="18" x14ac:dyDescent="0.25">
      <c r="A1532" s="24" t="s">
        <v>1444</v>
      </c>
      <c r="B1532" s="25">
        <v>2016</v>
      </c>
      <c r="C1532" s="25" t="s">
        <v>2462</v>
      </c>
      <c r="D1532" s="25">
        <v>117</v>
      </c>
      <c r="E1532" s="25">
        <v>6.8</v>
      </c>
      <c r="F1532" s="25" t="str" cm="1">
        <f t="array" ref="F15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2" s="26">
        <v>128.34</v>
      </c>
      <c r="H1532" s="27">
        <v>241077</v>
      </c>
    </row>
    <row r="1533" spans="1:8" ht="18" x14ac:dyDescent="0.25">
      <c r="A1533" s="24" t="s">
        <v>1445</v>
      </c>
      <c r="B1533" s="25">
        <v>2016</v>
      </c>
      <c r="C1533" s="25" t="s">
        <v>2462</v>
      </c>
      <c r="D1533" s="25">
        <v>85</v>
      </c>
      <c r="E1533" s="25">
        <v>5.6</v>
      </c>
      <c r="F1533" s="25" t="str" cm="1">
        <f t="array" ref="F15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3" s="26">
        <v>0.01</v>
      </c>
      <c r="H1533" s="27">
        <v>5440</v>
      </c>
    </row>
    <row r="1534" spans="1:8" ht="18" x14ac:dyDescent="0.25">
      <c r="A1534" s="24" t="s">
        <v>1446</v>
      </c>
      <c r="B1534" s="25">
        <v>2016</v>
      </c>
      <c r="C1534" s="25" t="s">
        <v>2462</v>
      </c>
      <c r="D1534" s="25">
        <v>123</v>
      </c>
      <c r="E1534" s="25">
        <v>5.9</v>
      </c>
      <c r="F1534" s="25" t="str" cm="1">
        <f t="array" ref="F15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4" s="26">
        <v>325.10000000000002</v>
      </c>
      <c r="H1534" s="27">
        <v>711143</v>
      </c>
    </row>
    <row r="1535" spans="1:8" ht="18" x14ac:dyDescent="0.25">
      <c r="A1535" s="24" t="s">
        <v>1447</v>
      </c>
      <c r="B1535" s="25">
        <v>2016</v>
      </c>
      <c r="C1535" s="25" t="s">
        <v>2462</v>
      </c>
      <c r="D1535" s="25">
        <v>97</v>
      </c>
      <c r="E1535" s="25">
        <v>6.9</v>
      </c>
      <c r="F1535" s="25" t="str" cm="1">
        <f t="array" ref="F15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5" s="26">
        <v>4.21</v>
      </c>
      <c r="H1535" s="27">
        <v>131031</v>
      </c>
    </row>
    <row r="1536" spans="1:8" ht="18" x14ac:dyDescent="0.25">
      <c r="A1536" s="24" t="s">
        <v>1449</v>
      </c>
      <c r="B1536" s="25">
        <v>2016</v>
      </c>
      <c r="C1536" s="25" t="s">
        <v>2462</v>
      </c>
      <c r="D1536" s="25">
        <v>110</v>
      </c>
      <c r="E1536" s="25">
        <v>6.7</v>
      </c>
      <c r="F1536" s="25" t="str" cm="1">
        <f t="array" ref="F15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6" s="26">
        <v>3.4</v>
      </c>
      <c r="H1536" s="27">
        <v>12508</v>
      </c>
    </row>
    <row r="1537" spans="1:8" ht="18" x14ac:dyDescent="0.25">
      <c r="A1537" s="24" t="s">
        <v>2341</v>
      </c>
      <c r="B1537" s="25">
        <v>2016</v>
      </c>
      <c r="C1537" s="25" t="s">
        <v>2462</v>
      </c>
      <c r="D1537" s="25">
        <v>98</v>
      </c>
      <c r="E1537" s="25">
        <v>7</v>
      </c>
      <c r="F1537" s="25" t="str" cm="1">
        <f t="array" ref="F15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7" s="26">
        <v>0.59</v>
      </c>
      <c r="H1537" s="27">
        <v>13300</v>
      </c>
    </row>
    <row r="1538" spans="1:8" ht="18" x14ac:dyDescent="0.25">
      <c r="A1538" s="24" t="s">
        <v>1452</v>
      </c>
      <c r="B1538" s="25">
        <v>2016</v>
      </c>
      <c r="C1538" s="25" t="s">
        <v>2463</v>
      </c>
      <c r="D1538" s="25">
        <v>134</v>
      </c>
      <c r="E1538" s="25">
        <v>7.3</v>
      </c>
      <c r="F1538" s="25" t="str" cm="1">
        <f t="array" ref="F15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8" s="26">
        <v>21.59</v>
      </c>
      <c r="H1538" s="27">
        <v>159994</v>
      </c>
    </row>
    <row r="1539" spans="1:8" ht="18" x14ac:dyDescent="0.25">
      <c r="A1539" s="24" t="s">
        <v>1453</v>
      </c>
      <c r="B1539" s="25">
        <v>2016</v>
      </c>
      <c r="C1539" s="25" t="s">
        <v>2462</v>
      </c>
      <c r="D1539" s="25">
        <v>87</v>
      </c>
      <c r="E1539" s="25">
        <v>6.8</v>
      </c>
      <c r="F1539" s="25" t="str" cm="1">
        <f t="array" ref="F15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39" s="26">
        <v>72.680000000000007</v>
      </c>
      <c r="H1539" s="27">
        <v>66143</v>
      </c>
    </row>
    <row r="1540" spans="1:8" ht="18" x14ac:dyDescent="0.25">
      <c r="A1540" s="24" t="s">
        <v>2342</v>
      </c>
      <c r="B1540" s="25">
        <v>2016</v>
      </c>
      <c r="C1540" s="25" t="s">
        <v>2463</v>
      </c>
      <c r="D1540" s="25">
        <v>101</v>
      </c>
      <c r="E1540" s="25">
        <v>7.7</v>
      </c>
      <c r="F1540" s="25" t="str" cm="1">
        <f t="array" ref="F15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0" s="26">
        <v>48.02</v>
      </c>
      <c r="H1540" s="27">
        <v>136479</v>
      </c>
    </row>
    <row r="1541" spans="1:8" ht="18" x14ac:dyDescent="0.25">
      <c r="A1541" s="24" t="s">
        <v>2343</v>
      </c>
      <c r="B1541" s="25">
        <v>2016</v>
      </c>
      <c r="C1541" s="25" t="s">
        <v>2462</v>
      </c>
      <c r="D1541" s="25">
        <v>87</v>
      </c>
      <c r="E1541" s="25">
        <v>6.5</v>
      </c>
      <c r="F1541" s="25" t="str" cm="1">
        <f t="array" ref="F15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1" s="26">
        <v>368.38</v>
      </c>
      <c r="H1541" s="27">
        <v>212981</v>
      </c>
    </row>
    <row r="1542" spans="1:8" ht="18" x14ac:dyDescent="0.25">
      <c r="A1542" s="24" t="s">
        <v>1456</v>
      </c>
      <c r="B1542" s="25">
        <v>2016</v>
      </c>
      <c r="C1542" s="25" t="s">
        <v>2462</v>
      </c>
      <c r="D1542" s="25">
        <v>108</v>
      </c>
      <c r="E1542" s="25">
        <v>8</v>
      </c>
      <c r="F1542" s="25" t="str" cm="1">
        <f t="array" ref="F15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2" s="26">
        <v>341.27</v>
      </c>
      <c r="H1542" s="27">
        <v>531068</v>
      </c>
    </row>
    <row r="1543" spans="1:8" ht="18" x14ac:dyDescent="0.25">
      <c r="A1543" s="24" t="s">
        <v>1457</v>
      </c>
      <c r="B1543" s="25">
        <v>2016</v>
      </c>
      <c r="C1543" s="25" t="s">
        <v>2462</v>
      </c>
      <c r="D1543" s="25">
        <v>106</v>
      </c>
      <c r="E1543" s="25">
        <v>7.4</v>
      </c>
      <c r="F1543" s="25" t="str" cm="1">
        <f t="array" ref="F15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3" s="26">
        <v>364</v>
      </c>
      <c r="H1543" s="27">
        <v>287881</v>
      </c>
    </row>
    <row r="1544" spans="1:8" ht="18" x14ac:dyDescent="0.25">
      <c r="A1544" s="24" t="s">
        <v>1458</v>
      </c>
      <c r="B1544" s="25">
        <v>2016</v>
      </c>
      <c r="C1544" s="25" t="s">
        <v>2462</v>
      </c>
      <c r="D1544" s="25">
        <v>92</v>
      </c>
      <c r="E1544" s="25">
        <v>6.4</v>
      </c>
      <c r="F1544" s="25" t="str" cm="1">
        <f t="array" ref="F15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4" s="26">
        <v>153.71</v>
      </c>
      <c r="H1544" s="27">
        <v>88637</v>
      </c>
    </row>
    <row r="1545" spans="1:8" ht="18" x14ac:dyDescent="0.25">
      <c r="A1545" s="24" t="s">
        <v>2344</v>
      </c>
      <c r="B1545" s="25">
        <v>2016</v>
      </c>
      <c r="C1545" s="25" t="s">
        <v>2462</v>
      </c>
      <c r="D1545" s="25">
        <v>104</v>
      </c>
      <c r="E1545" s="25">
        <v>6.1</v>
      </c>
      <c r="F1545" s="25" t="str" cm="1">
        <f t="array" ref="F15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5" s="26">
        <v>0.05</v>
      </c>
      <c r="H1545" s="27">
        <v>20430</v>
      </c>
    </row>
    <row r="1546" spans="1:8" ht="18" x14ac:dyDescent="0.25">
      <c r="A1546" s="24" t="s">
        <v>2345</v>
      </c>
      <c r="B1546" s="25">
        <v>2016</v>
      </c>
      <c r="C1546" s="25" t="s">
        <v>2462</v>
      </c>
      <c r="D1546" s="25">
        <v>89</v>
      </c>
      <c r="E1546" s="25">
        <v>4.5999999999999996</v>
      </c>
      <c r="F1546" s="25" t="str" cm="1">
        <f t="array" ref="F15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6" s="26">
        <v>2.46</v>
      </c>
      <c r="H1546" s="27">
        <v>15601</v>
      </c>
    </row>
    <row r="1547" spans="1:8" ht="18" x14ac:dyDescent="0.25">
      <c r="A1547" s="24" t="s">
        <v>1464</v>
      </c>
      <c r="B1547" s="25">
        <v>2016</v>
      </c>
      <c r="C1547" s="25" t="s">
        <v>2462</v>
      </c>
      <c r="D1547" s="25">
        <v>162</v>
      </c>
      <c r="E1547" s="25">
        <v>7.3</v>
      </c>
      <c r="F1547" s="25" t="str" cm="1">
        <f t="array" ref="F15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7" s="26">
        <v>1.48</v>
      </c>
      <c r="H1547" s="27">
        <v>50585</v>
      </c>
    </row>
    <row r="1548" spans="1:8" ht="18" x14ac:dyDescent="0.25">
      <c r="A1548" s="24" t="s">
        <v>1465</v>
      </c>
      <c r="B1548" s="25">
        <v>2016</v>
      </c>
      <c r="C1548" s="25" t="s">
        <v>2462</v>
      </c>
      <c r="D1548" s="25">
        <v>119</v>
      </c>
      <c r="E1548" s="25">
        <v>6.9</v>
      </c>
      <c r="F1548" s="25" t="str" cm="1">
        <f t="array" ref="F15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8" s="26">
        <v>0.3</v>
      </c>
      <c r="H1548" s="27">
        <v>16508</v>
      </c>
    </row>
    <row r="1549" spans="1:8" ht="18" x14ac:dyDescent="0.25">
      <c r="A1549" s="24" t="s">
        <v>2346</v>
      </c>
      <c r="B1549" s="25">
        <v>2016</v>
      </c>
      <c r="C1549" s="25" t="s">
        <v>2462</v>
      </c>
      <c r="D1549" s="25">
        <v>124</v>
      </c>
      <c r="E1549" s="25">
        <v>7.4</v>
      </c>
      <c r="F1549" s="25" t="str" cm="1">
        <f t="array" ref="F15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49" s="26">
        <v>8.81</v>
      </c>
      <c r="H1549" s="27">
        <v>18393</v>
      </c>
    </row>
    <row r="1550" spans="1:8" ht="18" x14ac:dyDescent="0.25">
      <c r="A1550" s="24" t="s">
        <v>1476</v>
      </c>
      <c r="B1550" s="25">
        <v>2016</v>
      </c>
      <c r="C1550" s="25" t="s">
        <v>2462</v>
      </c>
      <c r="D1550" s="25">
        <v>116</v>
      </c>
      <c r="E1550" s="25">
        <v>7.9</v>
      </c>
      <c r="F1550" s="25" t="str" cm="1">
        <f t="array" ref="F15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0" s="26">
        <v>100.55</v>
      </c>
      <c r="H1550" s="27">
        <v>743318</v>
      </c>
    </row>
    <row r="1551" spans="1:8" ht="18" x14ac:dyDescent="0.25">
      <c r="A1551" s="24" t="s">
        <v>2347</v>
      </c>
      <c r="B1551" s="25">
        <v>2016</v>
      </c>
      <c r="C1551" s="25" t="s">
        <v>2462</v>
      </c>
      <c r="D1551" s="25">
        <v>132</v>
      </c>
      <c r="E1551" s="25">
        <v>7.2</v>
      </c>
      <c r="F1551" s="25" t="str" cm="1">
        <f t="array" ref="F15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1" s="26">
        <v>234.04</v>
      </c>
      <c r="H1551" s="27">
        <v>497645</v>
      </c>
    </row>
    <row r="1552" spans="1:8" ht="18" x14ac:dyDescent="0.25">
      <c r="A1552" s="24" t="s">
        <v>2348</v>
      </c>
      <c r="B1552" s="25">
        <v>2016</v>
      </c>
      <c r="C1552" s="25" t="s">
        <v>2462</v>
      </c>
      <c r="D1552" s="25">
        <v>112</v>
      </c>
      <c r="E1552" s="25">
        <v>6.5</v>
      </c>
      <c r="F1552" s="25" t="str" cm="1">
        <f t="array" ref="F15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2" s="26">
        <v>75.400000000000006</v>
      </c>
      <c r="H1552" s="27">
        <v>196007</v>
      </c>
    </row>
    <row r="1553" spans="1:8" ht="18" x14ac:dyDescent="0.25">
      <c r="A1553" s="24" t="s">
        <v>2349</v>
      </c>
      <c r="B1553" s="25">
        <v>2016</v>
      </c>
      <c r="C1553" s="25" t="s">
        <v>2463</v>
      </c>
      <c r="D1553" s="25">
        <v>128</v>
      </c>
      <c r="E1553" s="25">
        <v>5.3</v>
      </c>
      <c r="F1553" s="25" t="str" cm="1">
        <f t="array" ref="F15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3" s="26">
        <v>2.46</v>
      </c>
      <c r="H1553" s="27">
        <v>13993</v>
      </c>
    </row>
    <row r="1554" spans="1:8" ht="18" x14ac:dyDescent="0.25">
      <c r="A1554" s="24" t="s">
        <v>1480</v>
      </c>
      <c r="B1554" s="25">
        <v>2016</v>
      </c>
      <c r="C1554" s="25" t="s">
        <v>2462</v>
      </c>
      <c r="D1554" s="25">
        <v>145</v>
      </c>
      <c r="E1554" s="25">
        <v>8.1</v>
      </c>
      <c r="F1554" s="25" t="str" cm="1">
        <f t="array" ref="F15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4" s="26">
        <v>2.0099999999999998</v>
      </c>
      <c r="H1554" s="27">
        <v>165167</v>
      </c>
    </row>
    <row r="1555" spans="1:8" ht="18" x14ac:dyDescent="0.25">
      <c r="A1555" s="24" t="s">
        <v>1481</v>
      </c>
      <c r="B1555" s="25">
        <v>2016</v>
      </c>
      <c r="C1555" s="25" t="s">
        <v>2462</v>
      </c>
      <c r="D1555" s="25">
        <v>114</v>
      </c>
      <c r="E1555" s="25">
        <v>7.2</v>
      </c>
      <c r="F1555" s="25" t="str" cm="1">
        <f t="array" ref="F15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5" s="26">
        <v>0.05</v>
      </c>
      <c r="H1555" s="27">
        <v>7096</v>
      </c>
    </row>
    <row r="1556" spans="1:8" ht="18" x14ac:dyDescent="0.25">
      <c r="A1556" s="24" t="s">
        <v>1486</v>
      </c>
      <c r="B1556" s="25">
        <v>2016</v>
      </c>
      <c r="C1556" s="25" t="s">
        <v>2463</v>
      </c>
      <c r="D1556" s="25">
        <v>97</v>
      </c>
      <c r="E1556" s="25">
        <v>7</v>
      </c>
      <c r="F1556" s="25" t="str" cm="1">
        <f t="array" ref="F15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6" s="26">
        <v>2.46</v>
      </c>
      <c r="H1556" s="27">
        <v>3749</v>
      </c>
    </row>
    <row r="1557" spans="1:8" ht="18" x14ac:dyDescent="0.25">
      <c r="A1557" s="24" t="s">
        <v>1487</v>
      </c>
      <c r="B1557" s="25">
        <v>2016</v>
      </c>
      <c r="C1557" s="25" t="s">
        <v>2462</v>
      </c>
      <c r="D1557" s="25">
        <v>99</v>
      </c>
      <c r="E1557" s="25">
        <v>5.8</v>
      </c>
      <c r="F1557" s="25" t="str" cm="1">
        <f t="array" ref="F15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7" s="26">
        <v>2.46</v>
      </c>
      <c r="H1557" s="27">
        <v>8881</v>
      </c>
    </row>
    <row r="1558" spans="1:8" ht="18" x14ac:dyDescent="0.25">
      <c r="A1558" s="24" t="s">
        <v>2350</v>
      </c>
      <c r="B1558" s="25">
        <v>2016</v>
      </c>
      <c r="C1558" s="25" t="s">
        <v>2462</v>
      </c>
      <c r="D1558" s="25">
        <v>95</v>
      </c>
      <c r="E1558" s="25">
        <v>5.3</v>
      </c>
      <c r="F1558" s="25" t="str" cm="1">
        <f t="array" ref="F15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8" s="26">
        <v>0</v>
      </c>
      <c r="H1558" s="27">
        <v>8454</v>
      </c>
    </row>
    <row r="1559" spans="1:8" ht="18" x14ac:dyDescent="0.25">
      <c r="A1559" s="24" t="s">
        <v>2351</v>
      </c>
      <c r="B1559" s="25">
        <v>2016</v>
      </c>
      <c r="C1559" s="25" t="s">
        <v>2462</v>
      </c>
      <c r="D1559" s="25">
        <v>111</v>
      </c>
      <c r="E1559" s="25">
        <v>6.6</v>
      </c>
      <c r="F1559" s="25" t="str" cm="1">
        <f t="array" ref="F15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59" s="26">
        <v>4.71</v>
      </c>
      <c r="H1559" s="27">
        <v>17303</v>
      </c>
    </row>
    <row r="1560" spans="1:8" ht="18" x14ac:dyDescent="0.25">
      <c r="A1560" s="24" t="s">
        <v>2352</v>
      </c>
      <c r="B1560" s="25">
        <v>2016</v>
      </c>
      <c r="C1560" s="25" t="s">
        <v>2464</v>
      </c>
      <c r="D1560" s="25">
        <v>103</v>
      </c>
      <c r="E1560" s="25">
        <v>6.5</v>
      </c>
      <c r="F1560" s="25" t="str" cm="1">
        <f t="array" ref="F15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0" s="26">
        <v>2.46</v>
      </c>
      <c r="H1560" s="27">
        <v>9799</v>
      </c>
    </row>
    <row r="1561" spans="1:8" ht="18" x14ac:dyDescent="0.25">
      <c r="A1561" s="24" t="s">
        <v>1491</v>
      </c>
      <c r="B1561" s="25">
        <v>2016</v>
      </c>
      <c r="C1561" s="25" t="s">
        <v>2462</v>
      </c>
      <c r="D1561" s="25">
        <v>139</v>
      </c>
      <c r="E1561" s="25">
        <v>8.1</v>
      </c>
      <c r="F1561" s="25" t="str" cm="1">
        <f t="array" ref="F15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1" s="26">
        <v>67.209999999999994</v>
      </c>
      <c r="H1561" s="27">
        <v>573639</v>
      </c>
    </row>
    <row r="1562" spans="1:8" ht="18" x14ac:dyDescent="0.25">
      <c r="A1562" s="24" t="s">
        <v>2353</v>
      </c>
      <c r="B1562" s="25">
        <v>2016</v>
      </c>
      <c r="C1562" s="25" t="s">
        <v>2462</v>
      </c>
      <c r="D1562" s="25">
        <v>133</v>
      </c>
      <c r="E1562" s="25">
        <v>7.1</v>
      </c>
      <c r="F1562" s="25" t="str" cm="1">
        <f t="array" ref="F15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2" s="26">
        <v>0.11</v>
      </c>
      <c r="H1562" s="27">
        <v>9778</v>
      </c>
    </row>
    <row r="1563" spans="1:8" ht="18" x14ac:dyDescent="0.25">
      <c r="A1563" s="24" t="s">
        <v>2354</v>
      </c>
      <c r="B1563" s="25">
        <v>2016</v>
      </c>
      <c r="C1563" s="25" t="s">
        <v>2462</v>
      </c>
      <c r="D1563" s="25">
        <v>118</v>
      </c>
      <c r="E1563" s="25">
        <v>7.4</v>
      </c>
      <c r="F1563" s="25" t="str" cm="1">
        <f t="array" ref="F15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3" s="26">
        <v>0.27</v>
      </c>
      <c r="H1563" s="27">
        <v>12373</v>
      </c>
    </row>
    <row r="1564" spans="1:8" ht="18" x14ac:dyDescent="0.25">
      <c r="A1564" s="24" t="s">
        <v>2355</v>
      </c>
      <c r="B1564" s="25">
        <v>2016</v>
      </c>
      <c r="C1564" s="25" t="s">
        <v>2464</v>
      </c>
      <c r="D1564" s="25">
        <v>120</v>
      </c>
      <c r="E1564" s="25">
        <v>5.4</v>
      </c>
      <c r="F1564" s="25" t="str" cm="1">
        <f t="array" ref="F15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4" s="26">
        <v>2.46</v>
      </c>
      <c r="H1564" s="27">
        <v>3541</v>
      </c>
    </row>
    <row r="1565" spans="1:8" ht="18" x14ac:dyDescent="0.25">
      <c r="A1565" s="24" t="s">
        <v>2356</v>
      </c>
      <c r="B1565" s="25">
        <v>2016</v>
      </c>
      <c r="C1565" s="25" t="s">
        <v>2462</v>
      </c>
      <c r="D1565" s="25">
        <v>105</v>
      </c>
      <c r="E1565" s="25">
        <v>5.9</v>
      </c>
      <c r="F1565" s="25" t="str" cm="1">
        <f t="array" ref="F15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5" s="26">
        <v>14.9</v>
      </c>
      <c r="H1565" s="27">
        <v>66290</v>
      </c>
    </row>
    <row r="1566" spans="1:8" ht="18" x14ac:dyDescent="0.25">
      <c r="A1566" s="24" t="s">
        <v>1498</v>
      </c>
      <c r="B1566" s="25">
        <v>2016</v>
      </c>
      <c r="C1566" s="25" t="s">
        <v>2462</v>
      </c>
      <c r="D1566" s="25">
        <v>85</v>
      </c>
      <c r="E1566" s="25">
        <v>6.7</v>
      </c>
      <c r="F1566" s="25" t="str" cm="1">
        <f t="array" ref="F15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6" s="26">
        <v>0.7</v>
      </c>
      <c r="H1566" s="27">
        <v>7721</v>
      </c>
    </row>
    <row r="1567" spans="1:8" ht="18" x14ac:dyDescent="0.25">
      <c r="A1567" s="24" t="s">
        <v>2357</v>
      </c>
      <c r="B1567" s="25">
        <v>2016</v>
      </c>
      <c r="C1567" s="25" t="s">
        <v>2462</v>
      </c>
      <c r="D1567" s="25">
        <v>120</v>
      </c>
      <c r="E1567" s="25">
        <v>6.5</v>
      </c>
      <c r="F1567" s="25" t="str" cm="1">
        <f t="array" ref="F15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7" s="26">
        <v>15.86</v>
      </c>
      <c r="H1567" s="27">
        <v>21655</v>
      </c>
    </row>
    <row r="1568" spans="1:8" ht="18" x14ac:dyDescent="0.25">
      <c r="A1568" s="24" t="s">
        <v>1500</v>
      </c>
      <c r="B1568" s="25">
        <v>2016</v>
      </c>
      <c r="C1568" s="25" t="s">
        <v>2464</v>
      </c>
      <c r="D1568" s="25">
        <v>127</v>
      </c>
      <c r="E1568" s="25">
        <v>7.8</v>
      </c>
      <c r="F1568" s="25" t="str" cm="1">
        <f t="array" ref="F15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8" s="26">
        <v>169.61</v>
      </c>
      <c r="H1568" s="27">
        <v>247892</v>
      </c>
    </row>
    <row r="1569" spans="1:8" ht="18" x14ac:dyDescent="0.25">
      <c r="A1569" s="24" t="s">
        <v>1501</v>
      </c>
      <c r="B1569" s="25">
        <v>2016</v>
      </c>
      <c r="C1569" s="25" t="s">
        <v>2462</v>
      </c>
      <c r="D1569" s="25">
        <v>116</v>
      </c>
      <c r="E1569" s="25">
        <v>7.5</v>
      </c>
      <c r="F1569" s="25" t="str" cm="1">
        <f t="array" ref="F15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69" s="26">
        <v>10.66</v>
      </c>
      <c r="H1569" s="27">
        <v>296837</v>
      </c>
    </row>
    <row r="1570" spans="1:8" ht="18" x14ac:dyDescent="0.25">
      <c r="A1570" s="24" t="s">
        <v>1502</v>
      </c>
      <c r="B1570" s="25">
        <v>2016</v>
      </c>
      <c r="C1570" s="25" t="s">
        <v>2462</v>
      </c>
      <c r="D1570" s="25">
        <v>104</v>
      </c>
      <c r="E1570" s="25">
        <v>6</v>
      </c>
      <c r="F1570" s="25" t="str" cm="1">
        <f t="array" ref="F15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0" s="26">
        <v>2.46</v>
      </c>
      <c r="H1570" s="27">
        <v>7595</v>
      </c>
    </row>
    <row r="1571" spans="1:8" ht="18" x14ac:dyDescent="0.25">
      <c r="A1571" s="24" t="s">
        <v>1503</v>
      </c>
      <c r="B1571" s="25">
        <v>2016</v>
      </c>
      <c r="C1571" s="25" t="s">
        <v>2462</v>
      </c>
      <c r="D1571" s="25">
        <v>96</v>
      </c>
      <c r="E1571" s="25">
        <v>6.6</v>
      </c>
      <c r="F1571" s="25" t="str" cm="1">
        <f t="array" ref="F15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1" s="26">
        <v>11.1</v>
      </c>
      <c r="H1571" s="27">
        <v>80182</v>
      </c>
    </row>
    <row r="1572" spans="1:8" ht="18" x14ac:dyDescent="0.25">
      <c r="A1572" s="24" t="s">
        <v>2358</v>
      </c>
      <c r="B1572" s="25">
        <v>2016</v>
      </c>
      <c r="C1572" s="25" t="s">
        <v>2462</v>
      </c>
      <c r="D1572" s="25">
        <v>84</v>
      </c>
      <c r="E1572" s="25">
        <v>6.3</v>
      </c>
      <c r="F1572" s="25" t="str" cm="1">
        <f t="array" ref="F15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2" s="26">
        <v>6.3</v>
      </c>
      <c r="H1572" s="27">
        <v>10074</v>
      </c>
    </row>
    <row r="1573" spans="1:8" ht="18" x14ac:dyDescent="0.25">
      <c r="A1573" s="24" t="s">
        <v>1505</v>
      </c>
      <c r="B1573" s="25">
        <v>2016</v>
      </c>
      <c r="C1573" s="25" t="s">
        <v>2462</v>
      </c>
      <c r="D1573" s="25">
        <v>102</v>
      </c>
      <c r="E1573" s="25">
        <v>4.7</v>
      </c>
      <c r="F1573" s="25" t="str" cm="1">
        <f t="array" ref="F15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3" s="26">
        <v>2.46</v>
      </c>
      <c r="H1573" s="27">
        <v>893</v>
      </c>
    </row>
    <row r="1574" spans="1:8" ht="18" x14ac:dyDescent="0.25">
      <c r="A1574" s="24" t="s">
        <v>1506</v>
      </c>
      <c r="B1574" s="25">
        <v>2016</v>
      </c>
      <c r="C1574" s="25" t="s">
        <v>2462</v>
      </c>
      <c r="D1574" s="25">
        <v>107</v>
      </c>
      <c r="E1574" s="25">
        <v>7.6</v>
      </c>
      <c r="F1574" s="25" t="str" cm="1">
        <f t="array" ref="F15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4" s="26">
        <v>248.76</v>
      </c>
      <c r="H1574" s="27">
        <v>364588</v>
      </c>
    </row>
    <row r="1575" spans="1:8" ht="18" x14ac:dyDescent="0.25">
      <c r="A1575" s="24" t="s">
        <v>2359</v>
      </c>
      <c r="B1575" s="25">
        <v>2016</v>
      </c>
      <c r="C1575" s="25" t="s">
        <v>2463</v>
      </c>
      <c r="D1575" s="25">
        <v>137</v>
      </c>
      <c r="E1575" s="25">
        <v>7.8</v>
      </c>
      <c r="F1575" s="25" t="str" cm="1">
        <f t="array" ref="F15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5" s="26">
        <v>47.7</v>
      </c>
      <c r="H1575" s="27">
        <v>302797</v>
      </c>
    </row>
    <row r="1576" spans="1:8" ht="18" x14ac:dyDescent="0.25">
      <c r="A1576" s="24" t="s">
        <v>1508</v>
      </c>
      <c r="B1576" s="25">
        <v>2016</v>
      </c>
      <c r="C1576" s="25" t="s">
        <v>2462</v>
      </c>
      <c r="D1576" s="25">
        <v>88</v>
      </c>
      <c r="E1576" s="25">
        <v>5.7</v>
      </c>
      <c r="F1576" s="25" t="str" cm="1">
        <f t="array" ref="F15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6" s="26">
        <v>0.2</v>
      </c>
      <c r="H1576" s="27">
        <v>11530</v>
      </c>
    </row>
    <row r="1577" spans="1:8" ht="18" x14ac:dyDescent="0.25">
      <c r="A1577" s="24" t="s">
        <v>1509</v>
      </c>
      <c r="B1577" s="25">
        <v>2016</v>
      </c>
      <c r="C1577" s="25" t="s">
        <v>2463</v>
      </c>
      <c r="D1577" s="25">
        <v>161</v>
      </c>
      <c r="E1577" s="25">
        <v>7.2</v>
      </c>
      <c r="F1577" s="25" t="str" cm="1">
        <f t="array" ref="F15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7" s="26">
        <v>7.1</v>
      </c>
      <c r="H1577" s="27">
        <v>119908</v>
      </c>
    </row>
    <row r="1578" spans="1:8" ht="18" x14ac:dyDescent="0.25">
      <c r="A1578" s="24" t="s">
        <v>1510</v>
      </c>
      <c r="B1578" s="25">
        <v>2016</v>
      </c>
      <c r="C1578" s="25" t="s">
        <v>2462</v>
      </c>
      <c r="D1578" s="25">
        <v>163</v>
      </c>
      <c r="E1578" s="25">
        <v>7</v>
      </c>
      <c r="F1578" s="25" t="str" cm="1">
        <f t="array" ref="F15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8" s="26">
        <v>0.66</v>
      </c>
      <c r="H1578" s="27">
        <v>45649</v>
      </c>
    </row>
    <row r="1579" spans="1:8" ht="18" x14ac:dyDescent="0.25">
      <c r="A1579" s="24" t="s">
        <v>2360</v>
      </c>
      <c r="B1579" s="25">
        <v>2016</v>
      </c>
      <c r="C1579" s="25" t="s">
        <v>2463</v>
      </c>
      <c r="D1579" s="25">
        <v>83</v>
      </c>
      <c r="E1579" s="25">
        <v>4.5</v>
      </c>
      <c r="F1579" s="25" t="str" cm="1">
        <f t="array" ref="F15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79" s="26">
        <v>2.46</v>
      </c>
      <c r="H1579" s="27">
        <v>704</v>
      </c>
    </row>
    <row r="1580" spans="1:8" ht="18" x14ac:dyDescent="0.25">
      <c r="A1580" s="24" t="s">
        <v>1512</v>
      </c>
      <c r="B1580" s="25">
        <v>2016</v>
      </c>
      <c r="C1580" s="25" t="s">
        <v>2463</v>
      </c>
      <c r="D1580" s="25">
        <v>132</v>
      </c>
      <c r="E1580" s="25">
        <v>7.5</v>
      </c>
      <c r="F1580" s="25" t="str" cm="1">
        <f t="array" ref="F15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0" s="26">
        <v>3.5</v>
      </c>
      <c r="H1580" s="27">
        <v>80589</v>
      </c>
    </row>
    <row r="1581" spans="1:8" ht="18" x14ac:dyDescent="0.25">
      <c r="A1581" s="24" t="s">
        <v>2361</v>
      </c>
      <c r="B1581" s="25">
        <v>2016</v>
      </c>
      <c r="C1581" s="25" t="s">
        <v>2462</v>
      </c>
      <c r="D1581" s="25">
        <v>108</v>
      </c>
      <c r="E1581" s="25">
        <v>6.3</v>
      </c>
      <c r="F1581" s="25" t="str" cm="1">
        <f t="array" ref="F15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1" s="26">
        <v>2.46</v>
      </c>
      <c r="H1581" s="27">
        <v>15030</v>
      </c>
    </row>
    <row r="1582" spans="1:8" ht="18" x14ac:dyDescent="0.25">
      <c r="A1582" s="24" t="s">
        <v>2362</v>
      </c>
      <c r="B1582" s="25">
        <v>2016</v>
      </c>
      <c r="C1582" s="25" t="s">
        <v>2462</v>
      </c>
      <c r="D1582" s="25">
        <v>104</v>
      </c>
      <c r="E1582" s="25">
        <v>7.3</v>
      </c>
      <c r="F1582" s="25" t="str" cm="1">
        <f t="array" ref="F15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2" s="26">
        <v>14.43</v>
      </c>
      <c r="H1582" s="27">
        <v>137191</v>
      </c>
    </row>
    <row r="1583" spans="1:8" ht="18" x14ac:dyDescent="0.25">
      <c r="A1583" s="24" t="s">
        <v>2363</v>
      </c>
      <c r="B1583" s="25">
        <v>2016</v>
      </c>
      <c r="C1583" s="25" t="s">
        <v>2462</v>
      </c>
      <c r="D1583" s="25">
        <v>117</v>
      </c>
      <c r="E1583" s="25">
        <v>6.8</v>
      </c>
      <c r="F1583" s="25" t="str" cm="1">
        <f t="array" ref="F15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3" s="26">
        <v>4.8499999999999996</v>
      </c>
      <c r="H1583" s="27">
        <v>29122</v>
      </c>
    </row>
    <row r="1584" spans="1:8" ht="18" x14ac:dyDescent="0.25">
      <c r="A1584" s="24" t="s">
        <v>2364</v>
      </c>
      <c r="B1584" s="25">
        <v>2016</v>
      </c>
      <c r="C1584" s="25" t="s">
        <v>2462</v>
      </c>
      <c r="D1584" s="25">
        <v>102</v>
      </c>
      <c r="E1584" s="25">
        <v>6.8</v>
      </c>
      <c r="F1584" s="25" t="str" cm="1">
        <f t="array" ref="F15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4" s="26">
        <v>2.46</v>
      </c>
      <c r="H1584" s="27">
        <v>3046</v>
      </c>
    </row>
    <row r="1585" spans="1:8" ht="18" x14ac:dyDescent="0.25">
      <c r="A1585" s="24" t="s">
        <v>2365</v>
      </c>
      <c r="B1585" s="25">
        <v>2016</v>
      </c>
      <c r="C1585" s="25" t="s">
        <v>2463</v>
      </c>
      <c r="D1585" s="25">
        <v>111</v>
      </c>
      <c r="E1585" s="25">
        <v>6.6</v>
      </c>
      <c r="F1585" s="25" t="str" cm="1">
        <f t="array" ref="F15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5" s="26">
        <v>2.46</v>
      </c>
      <c r="H1585" s="27">
        <v>63398</v>
      </c>
    </row>
    <row r="1586" spans="1:8" ht="18" x14ac:dyDescent="0.25">
      <c r="A1586" s="24" t="s">
        <v>1518</v>
      </c>
      <c r="B1586" s="25">
        <v>2016</v>
      </c>
      <c r="C1586" s="25" t="s">
        <v>2462</v>
      </c>
      <c r="D1586" s="25">
        <v>118</v>
      </c>
      <c r="E1586" s="25">
        <v>6.1</v>
      </c>
      <c r="F1586" s="25" t="str" cm="1">
        <f t="array" ref="F15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6" s="26">
        <v>58.7</v>
      </c>
      <c r="H1586" s="27">
        <v>170619</v>
      </c>
    </row>
    <row r="1587" spans="1:8" ht="18" x14ac:dyDescent="0.25">
      <c r="A1587" s="24" t="s">
        <v>1519</v>
      </c>
      <c r="B1587" s="25">
        <v>2016</v>
      </c>
      <c r="C1587" s="25" t="s">
        <v>2462</v>
      </c>
      <c r="D1587" s="25">
        <v>94</v>
      </c>
      <c r="E1587" s="25">
        <v>6.1</v>
      </c>
      <c r="F1587" s="25" t="str" cm="1">
        <f t="array" ref="F15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7" s="26">
        <v>0.06</v>
      </c>
      <c r="H1587" s="27">
        <v>7804</v>
      </c>
    </row>
    <row r="1588" spans="1:8" ht="18" x14ac:dyDescent="0.25">
      <c r="A1588" s="24" t="s">
        <v>2366</v>
      </c>
      <c r="B1588" s="25">
        <v>2016</v>
      </c>
      <c r="C1588" s="25" t="s">
        <v>2462</v>
      </c>
      <c r="D1588" s="25">
        <v>86</v>
      </c>
      <c r="E1588" s="25">
        <v>6.8</v>
      </c>
      <c r="F1588" s="25" t="str" cm="1">
        <f t="array" ref="F15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8" s="26">
        <v>0.01</v>
      </c>
      <c r="H1588" s="27">
        <v>133482</v>
      </c>
    </row>
    <row r="1589" spans="1:8" ht="18" x14ac:dyDescent="0.25">
      <c r="A1589" s="24" t="s">
        <v>2367</v>
      </c>
      <c r="B1589" s="25">
        <v>2016</v>
      </c>
      <c r="C1589" s="25" t="s">
        <v>2462</v>
      </c>
      <c r="D1589" s="25">
        <v>113</v>
      </c>
      <c r="E1589" s="25">
        <v>6.2</v>
      </c>
      <c r="F1589" s="25" t="str" cm="1">
        <f t="array" ref="F15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89" s="26">
        <v>1.74</v>
      </c>
      <c r="H1589" s="27">
        <v>23718</v>
      </c>
    </row>
    <row r="1590" spans="1:8" ht="18" x14ac:dyDescent="0.25">
      <c r="A1590" s="24" t="s">
        <v>263</v>
      </c>
      <c r="B1590" s="25">
        <v>2016</v>
      </c>
      <c r="C1590" s="25" t="s">
        <v>2462</v>
      </c>
      <c r="D1590" s="25">
        <v>116</v>
      </c>
      <c r="E1590" s="25">
        <v>7</v>
      </c>
      <c r="F1590" s="25" t="str" cm="1">
        <f t="array" ref="F15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0" s="26">
        <v>100.01</v>
      </c>
      <c r="H1590" s="27">
        <v>433338</v>
      </c>
    </row>
    <row r="1591" spans="1:8" ht="18" x14ac:dyDescent="0.25">
      <c r="A1591" s="24" t="s">
        <v>1522</v>
      </c>
      <c r="B1591" s="25">
        <v>2016</v>
      </c>
      <c r="C1591" s="25" t="s">
        <v>2462</v>
      </c>
      <c r="D1591" s="25">
        <v>130</v>
      </c>
      <c r="E1591" s="25">
        <v>7.3</v>
      </c>
      <c r="F1591" s="25" t="str" cm="1">
        <f t="array" ref="F15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1" s="26">
        <v>1.99</v>
      </c>
      <c r="H1591" s="27">
        <v>7114</v>
      </c>
    </row>
    <row r="1592" spans="1:8" ht="18" x14ac:dyDescent="0.25">
      <c r="A1592" s="24" t="s">
        <v>1523</v>
      </c>
      <c r="B1592" s="25">
        <v>2016</v>
      </c>
      <c r="C1592" s="25" t="s">
        <v>2463</v>
      </c>
      <c r="D1592" s="25">
        <v>116</v>
      </c>
      <c r="E1592" s="25">
        <v>7.2</v>
      </c>
      <c r="F1592" s="25" t="str" cm="1">
        <f t="array" ref="F15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2" s="26">
        <v>0.11</v>
      </c>
      <c r="H1592" s="27">
        <v>10184</v>
      </c>
    </row>
    <row r="1593" spans="1:8" ht="18" x14ac:dyDescent="0.25">
      <c r="A1593" s="24" t="s">
        <v>1524</v>
      </c>
      <c r="B1593" s="25">
        <v>2016</v>
      </c>
      <c r="C1593" s="25" t="s">
        <v>2462</v>
      </c>
      <c r="D1593" s="25">
        <v>81</v>
      </c>
      <c r="E1593" s="25">
        <v>6.3</v>
      </c>
      <c r="F1593" s="25" t="str" cm="1">
        <f t="array" ref="F15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3" s="26">
        <v>67.27</v>
      </c>
      <c r="H1593" s="27">
        <v>139497</v>
      </c>
    </row>
    <row r="1594" spans="1:8" ht="18" x14ac:dyDescent="0.25">
      <c r="A1594" s="24" t="s">
        <v>1525</v>
      </c>
      <c r="B1594" s="25">
        <v>2016</v>
      </c>
      <c r="C1594" s="25" t="s">
        <v>2463</v>
      </c>
      <c r="D1594" s="25">
        <v>105</v>
      </c>
      <c r="E1594" s="25">
        <v>5.9</v>
      </c>
      <c r="F1594" s="25" t="str" cm="1">
        <f t="array" ref="F15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4" s="26">
        <v>2.46</v>
      </c>
      <c r="H1594" s="27">
        <v>2888</v>
      </c>
    </row>
    <row r="1595" spans="1:8" ht="18" x14ac:dyDescent="0.25">
      <c r="A1595" s="24" t="s">
        <v>1526</v>
      </c>
      <c r="B1595" s="25">
        <v>2016</v>
      </c>
      <c r="C1595" s="25" t="s">
        <v>2462</v>
      </c>
      <c r="D1595" s="25">
        <v>115</v>
      </c>
      <c r="E1595" s="25">
        <v>7.5</v>
      </c>
      <c r="F1595" s="25" t="str" cm="1">
        <f t="array" ref="F15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5" s="26">
        <v>232.64</v>
      </c>
      <c r="H1595" s="27">
        <v>785811</v>
      </c>
    </row>
    <row r="1596" spans="1:8" ht="18" x14ac:dyDescent="0.25">
      <c r="A1596" s="24" t="s">
        <v>1527</v>
      </c>
      <c r="B1596" s="25">
        <v>2016</v>
      </c>
      <c r="C1596" s="25" t="s">
        <v>2462</v>
      </c>
      <c r="D1596" s="25">
        <v>118</v>
      </c>
      <c r="E1596" s="25">
        <v>8</v>
      </c>
      <c r="F1596" s="25" t="str" cm="1">
        <f t="array" ref="F15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6" s="26">
        <v>51.74</v>
      </c>
      <c r="H1596" s="27">
        <v>246551</v>
      </c>
    </row>
    <row r="1597" spans="1:8" ht="18" x14ac:dyDescent="0.25">
      <c r="A1597" s="24" t="s">
        <v>1528</v>
      </c>
      <c r="B1597" s="25">
        <v>2016</v>
      </c>
      <c r="C1597" s="25" t="s">
        <v>2463</v>
      </c>
      <c r="D1597" s="25">
        <v>100</v>
      </c>
      <c r="E1597" s="25">
        <v>6.7</v>
      </c>
      <c r="F1597" s="25" t="str" cm="1">
        <f t="array" ref="F15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7" s="26">
        <v>13.96</v>
      </c>
      <c r="H1597" s="27">
        <v>82493</v>
      </c>
    </row>
    <row r="1598" spans="1:8" ht="18" x14ac:dyDescent="0.25">
      <c r="A1598" s="24" t="s">
        <v>1529</v>
      </c>
      <c r="B1598" s="25">
        <v>2016</v>
      </c>
      <c r="C1598" s="25" t="s">
        <v>2462</v>
      </c>
      <c r="D1598" s="25">
        <v>115</v>
      </c>
      <c r="E1598" s="25">
        <v>7.2</v>
      </c>
      <c r="F1598" s="25" t="str" cm="1">
        <f t="array" ref="F15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8" s="26">
        <v>12.79</v>
      </c>
      <c r="H1598" s="27">
        <v>169692</v>
      </c>
    </row>
    <row r="1599" spans="1:8" ht="18" x14ac:dyDescent="0.25">
      <c r="A1599" s="24" t="s">
        <v>1530</v>
      </c>
      <c r="B1599" s="25">
        <v>2016</v>
      </c>
      <c r="C1599" s="25" t="s">
        <v>2462</v>
      </c>
      <c r="D1599" s="25">
        <v>97</v>
      </c>
      <c r="E1599" s="25">
        <v>5.4</v>
      </c>
      <c r="F1599" s="25" t="str" cm="1">
        <f t="array" ref="F15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599" s="26">
        <v>2.46</v>
      </c>
      <c r="H1599" s="27">
        <v>6068</v>
      </c>
    </row>
    <row r="1600" spans="1:8" ht="18" x14ac:dyDescent="0.25">
      <c r="A1600" s="24" t="s">
        <v>1531</v>
      </c>
      <c r="B1600" s="25">
        <v>2016</v>
      </c>
      <c r="C1600" s="25" t="s">
        <v>2462</v>
      </c>
      <c r="D1600" s="25">
        <v>107</v>
      </c>
      <c r="E1600" s="25">
        <v>7.1</v>
      </c>
      <c r="F1600" s="25" t="str" cm="1">
        <f t="array" ref="F16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0" s="26">
        <v>61.43</v>
      </c>
      <c r="H1600" s="27">
        <v>178060</v>
      </c>
    </row>
    <row r="1601" spans="1:8" ht="18" x14ac:dyDescent="0.25">
      <c r="A1601" s="24" t="s">
        <v>1534</v>
      </c>
      <c r="B1601" s="25">
        <v>2016</v>
      </c>
      <c r="C1601" s="25" t="s">
        <v>2462</v>
      </c>
      <c r="D1601" s="25">
        <v>108</v>
      </c>
      <c r="E1601" s="25">
        <v>6.1</v>
      </c>
      <c r="F1601" s="25" t="str" cm="1">
        <f t="array" ref="F16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1" s="26">
        <v>2.46</v>
      </c>
      <c r="H1601" s="27">
        <v>1900</v>
      </c>
    </row>
    <row r="1602" spans="1:8" ht="18" x14ac:dyDescent="0.25">
      <c r="A1602" s="24" t="s">
        <v>2368</v>
      </c>
      <c r="B1602" s="25">
        <v>2016</v>
      </c>
      <c r="C1602" s="25" t="s">
        <v>2462</v>
      </c>
      <c r="D1602" s="25">
        <v>117</v>
      </c>
      <c r="E1602" s="25">
        <v>6.3</v>
      </c>
      <c r="F1602" s="25" t="str" cm="1">
        <f t="array" ref="F16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2" s="26">
        <v>55.48</v>
      </c>
      <c r="H1602" s="27">
        <v>91452</v>
      </c>
    </row>
    <row r="1603" spans="1:8" ht="18" x14ac:dyDescent="0.25">
      <c r="A1603" s="24" t="s">
        <v>1541</v>
      </c>
      <c r="B1603" s="25">
        <v>2016</v>
      </c>
      <c r="C1603" s="25" t="s">
        <v>2462</v>
      </c>
      <c r="D1603" s="25">
        <v>108</v>
      </c>
      <c r="E1603" s="25">
        <v>7.4</v>
      </c>
      <c r="F1603" s="25" t="str" cm="1">
        <f t="array" ref="F16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3" s="26">
        <v>3.74</v>
      </c>
      <c r="H1603" s="27">
        <v>92084</v>
      </c>
    </row>
    <row r="1604" spans="1:8" ht="18" x14ac:dyDescent="0.25">
      <c r="A1604" s="24" t="s">
        <v>2369</v>
      </c>
      <c r="B1604" s="25">
        <v>2016</v>
      </c>
      <c r="C1604" s="25" t="s">
        <v>2463</v>
      </c>
      <c r="D1604" s="25">
        <v>114</v>
      </c>
      <c r="E1604" s="25">
        <v>6.7</v>
      </c>
      <c r="F1604" s="25" t="str" cm="1">
        <f t="array" ref="F16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4" s="26">
        <v>0.12</v>
      </c>
      <c r="H1604" s="27">
        <v>6011</v>
      </c>
    </row>
    <row r="1605" spans="1:8" ht="18" x14ac:dyDescent="0.25">
      <c r="A1605" s="24" t="s">
        <v>1543</v>
      </c>
      <c r="B1605" s="25">
        <v>2016</v>
      </c>
      <c r="C1605" s="25" t="s">
        <v>2462</v>
      </c>
      <c r="D1605" s="25">
        <v>92</v>
      </c>
      <c r="E1605" s="25">
        <v>7.4</v>
      </c>
      <c r="F1605" s="25" t="str" cm="1">
        <f t="array" ref="F16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5" s="26">
        <v>0.26</v>
      </c>
      <c r="H1605" s="27">
        <v>6127</v>
      </c>
    </row>
    <row r="1606" spans="1:8" ht="18" x14ac:dyDescent="0.25">
      <c r="A1606" s="24" t="s">
        <v>1544</v>
      </c>
      <c r="B1606" s="25">
        <v>2016</v>
      </c>
      <c r="C1606" s="25" t="s">
        <v>2462</v>
      </c>
      <c r="D1606" s="25">
        <v>97</v>
      </c>
      <c r="E1606" s="25">
        <v>6.8</v>
      </c>
      <c r="F1606" s="25" t="str" cm="1">
        <f t="array" ref="F16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6" s="26">
        <v>31.02</v>
      </c>
      <c r="H1606" s="27">
        <v>103829</v>
      </c>
    </row>
    <row r="1607" spans="1:8" ht="18" x14ac:dyDescent="0.25">
      <c r="A1607" s="24" t="s">
        <v>1547</v>
      </c>
      <c r="B1607" s="25">
        <v>2016</v>
      </c>
      <c r="C1607" s="25" t="s">
        <v>2462</v>
      </c>
      <c r="D1607" s="25">
        <v>106</v>
      </c>
      <c r="E1607" s="25">
        <v>7.9</v>
      </c>
      <c r="F1607" s="25" t="str" cm="1">
        <f t="array" ref="F16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7" s="26">
        <v>3.24</v>
      </c>
      <c r="H1607" s="27">
        <v>99163</v>
      </c>
    </row>
    <row r="1608" spans="1:8" ht="18" x14ac:dyDescent="0.25">
      <c r="A1608" s="24" t="s">
        <v>2370</v>
      </c>
      <c r="B1608" s="25">
        <v>2016</v>
      </c>
      <c r="C1608" s="25" t="s">
        <v>2463</v>
      </c>
      <c r="D1608" s="25">
        <v>115</v>
      </c>
      <c r="E1608" s="25">
        <v>5.6</v>
      </c>
      <c r="F1608" s="25" t="str" cm="1">
        <f t="array" ref="F16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8" s="26">
        <v>54.65</v>
      </c>
      <c r="H1608" s="27">
        <v>206127</v>
      </c>
    </row>
    <row r="1609" spans="1:8" ht="18" x14ac:dyDescent="0.25">
      <c r="A1609" s="24" t="s">
        <v>1549</v>
      </c>
      <c r="B1609" s="25">
        <v>2016</v>
      </c>
      <c r="C1609" s="25" t="s">
        <v>2462</v>
      </c>
      <c r="D1609" s="25">
        <v>146</v>
      </c>
      <c r="E1609" s="25">
        <v>7.4</v>
      </c>
      <c r="F1609" s="25" t="str" cm="1">
        <f t="array" ref="F16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09" s="26">
        <v>0.28999999999999998</v>
      </c>
      <c r="H1609" s="27">
        <v>20521</v>
      </c>
    </row>
    <row r="1610" spans="1:8" ht="18" x14ac:dyDescent="0.25">
      <c r="A1610" s="24" t="s">
        <v>1550</v>
      </c>
      <c r="B1610" s="25">
        <v>2016</v>
      </c>
      <c r="C1610" s="25" t="s">
        <v>2462</v>
      </c>
      <c r="D1610" s="25">
        <v>107</v>
      </c>
      <c r="E1610" s="25">
        <v>6.4</v>
      </c>
      <c r="F1610" s="25" t="str" cm="1">
        <f t="array" ref="F16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0" s="26">
        <v>1.03</v>
      </c>
      <c r="H1610" s="27">
        <v>14773</v>
      </c>
    </row>
    <row r="1611" spans="1:8" ht="18" x14ac:dyDescent="0.25">
      <c r="A1611" s="24" t="s">
        <v>1551</v>
      </c>
      <c r="B1611" s="25">
        <v>2016</v>
      </c>
      <c r="C1611" s="25" t="s">
        <v>2462</v>
      </c>
      <c r="D1611" s="25">
        <v>80</v>
      </c>
      <c r="E1611" s="25">
        <v>7.5</v>
      </c>
      <c r="F1611" s="25" t="str" cm="1">
        <f t="array" ref="F16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1" s="26">
        <v>0.92</v>
      </c>
      <c r="H1611" s="27">
        <v>37644</v>
      </c>
    </row>
    <row r="1612" spans="1:8" ht="18" x14ac:dyDescent="0.25">
      <c r="A1612" s="24" t="s">
        <v>2371</v>
      </c>
      <c r="B1612" s="25">
        <v>2016</v>
      </c>
      <c r="C1612" s="25" t="s">
        <v>2462</v>
      </c>
      <c r="D1612" s="25">
        <v>98</v>
      </c>
      <c r="E1612" s="25">
        <v>5.8</v>
      </c>
      <c r="F1612" s="25" t="str" cm="1">
        <f t="array" ref="F16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2" s="26">
        <v>2.46</v>
      </c>
      <c r="H1612" s="27">
        <v>20047</v>
      </c>
    </row>
    <row r="1613" spans="1:8" ht="18" x14ac:dyDescent="0.25">
      <c r="A1613" s="24" t="s">
        <v>1554</v>
      </c>
      <c r="B1613" s="25">
        <v>2016</v>
      </c>
      <c r="C1613" s="25" t="s">
        <v>2462</v>
      </c>
      <c r="D1613" s="25">
        <v>132</v>
      </c>
      <c r="E1613" s="25">
        <v>6.9</v>
      </c>
      <c r="F1613" s="25" t="str" cm="1">
        <f t="array" ref="F16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3" s="26">
        <v>93.43</v>
      </c>
      <c r="H1613" s="27">
        <v>224047</v>
      </c>
    </row>
    <row r="1614" spans="1:8" ht="18" x14ac:dyDescent="0.25">
      <c r="A1614" s="24" t="s">
        <v>1555</v>
      </c>
      <c r="B1614" s="25">
        <v>2016</v>
      </c>
      <c r="C1614" s="25" t="s">
        <v>2462</v>
      </c>
      <c r="D1614" s="25">
        <v>124</v>
      </c>
      <c r="E1614" s="25">
        <v>7.7</v>
      </c>
      <c r="F1614" s="25" t="str" cm="1">
        <f t="array" ref="F16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4" s="26">
        <v>2.4</v>
      </c>
      <c r="H1614" s="27">
        <v>63634</v>
      </c>
    </row>
    <row r="1615" spans="1:8" ht="18" x14ac:dyDescent="0.25">
      <c r="A1615" s="24" t="s">
        <v>2372</v>
      </c>
      <c r="B1615" s="25">
        <v>2016</v>
      </c>
      <c r="C1615" s="25" t="s">
        <v>2462</v>
      </c>
      <c r="D1615" s="25">
        <v>119</v>
      </c>
      <c r="E1615" s="25">
        <v>7.3</v>
      </c>
      <c r="F1615" s="25" t="str" cm="1">
        <f t="array" ref="F16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5" s="26">
        <v>5.66</v>
      </c>
      <c r="H1615" s="27">
        <v>48389</v>
      </c>
    </row>
    <row r="1616" spans="1:8" ht="18" x14ac:dyDescent="0.25">
      <c r="A1616" s="24" t="s">
        <v>1558</v>
      </c>
      <c r="B1616" s="25">
        <v>2016</v>
      </c>
      <c r="C1616" s="25" t="s">
        <v>2462</v>
      </c>
      <c r="D1616" s="25">
        <v>91</v>
      </c>
      <c r="E1616" s="25">
        <v>5.7</v>
      </c>
      <c r="F1616" s="25" t="str" cm="1">
        <f t="array" ref="F16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6" s="26">
        <v>30.35</v>
      </c>
      <c r="H1616" s="27">
        <v>79710</v>
      </c>
    </row>
    <row r="1617" spans="1:8" ht="18" x14ac:dyDescent="0.25">
      <c r="A1617" s="24" t="s">
        <v>2373</v>
      </c>
      <c r="B1617" s="25">
        <v>2016</v>
      </c>
      <c r="C1617" s="25" t="s">
        <v>2463</v>
      </c>
      <c r="D1617" s="25">
        <v>129</v>
      </c>
      <c r="E1617" s="25">
        <v>6.4</v>
      </c>
      <c r="F1617" s="25" t="str" cm="1">
        <f t="array" ref="F16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7" s="26">
        <v>10.38</v>
      </c>
      <c r="H1617" s="27">
        <v>59182</v>
      </c>
    </row>
    <row r="1618" spans="1:8" ht="18" x14ac:dyDescent="0.25">
      <c r="A1618" s="24" t="s">
        <v>1560</v>
      </c>
      <c r="B1618" s="25">
        <v>2016</v>
      </c>
      <c r="C1618" s="25" t="s">
        <v>2462</v>
      </c>
      <c r="D1618" s="25">
        <v>107</v>
      </c>
      <c r="E1618" s="25">
        <v>6.8</v>
      </c>
      <c r="F1618" s="25" t="str" cm="1">
        <f t="array" ref="F16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8" s="26">
        <v>0.94</v>
      </c>
      <c r="H1618" s="27">
        <v>10913</v>
      </c>
    </row>
    <row r="1619" spans="1:8" ht="18" x14ac:dyDescent="0.25">
      <c r="A1619" s="24" t="s">
        <v>1561</v>
      </c>
      <c r="B1619" s="25">
        <v>2016</v>
      </c>
      <c r="C1619" s="25" t="s">
        <v>2462</v>
      </c>
      <c r="D1619" s="25">
        <v>87</v>
      </c>
      <c r="E1619" s="25">
        <v>5.3</v>
      </c>
      <c r="F1619" s="25" t="str" cm="1">
        <f t="array" ref="F16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19" s="26">
        <v>19.64</v>
      </c>
      <c r="H1619" s="27">
        <v>23931</v>
      </c>
    </row>
    <row r="1620" spans="1:8" ht="18" x14ac:dyDescent="0.25">
      <c r="A1620" s="24" t="s">
        <v>1562</v>
      </c>
      <c r="B1620" s="25">
        <v>2016</v>
      </c>
      <c r="C1620" s="25" t="s">
        <v>2462</v>
      </c>
      <c r="D1620" s="25">
        <v>139</v>
      </c>
      <c r="E1620" s="25">
        <v>7.2</v>
      </c>
      <c r="F1620" s="25" t="str" cm="1">
        <f t="array" ref="F16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0" s="26">
        <v>57.68</v>
      </c>
      <c r="H1620" s="27">
        <v>115118</v>
      </c>
    </row>
    <row r="1621" spans="1:8" ht="18" x14ac:dyDescent="0.25">
      <c r="A1621" s="24" t="s">
        <v>1563</v>
      </c>
      <c r="B1621" s="25">
        <v>2016</v>
      </c>
      <c r="C1621" s="25" t="s">
        <v>2462</v>
      </c>
      <c r="D1621" s="25">
        <v>99</v>
      </c>
      <c r="E1621" s="25">
        <v>7.1</v>
      </c>
      <c r="F1621" s="25" t="str" cm="1">
        <f t="array" ref="F16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1" s="26">
        <v>1.49</v>
      </c>
      <c r="H1621" s="27">
        <v>33452</v>
      </c>
    </row>
    <row r="1622" spans="1:8" ht="18" x14ac:dyDescent="0.25">
      <c r="A1622" s="24" t="s">
        <v>1564</v>
      </c>
      <c r="B1622" s="25">
        <v>2016</v>
      </c>
      <c r="C1622" s="25" t="s">
        <v>2463</v>
      </c>
      <c r="D1622" s="25">
        <v>122</v>
      </c>
      <c r="E1622" s="25">
        <v>7</v>
      </c>
      <c r="F1622" s="25" t="str" cm="1">
        <f t="array" ref="F16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2" s="26">
        <v>158.85</v>
      </c>
      <c r="H1622" s="27">
        <v>255207</v>
      </c>
    </row>
    <row r="1623" spans="1:8" ht="18" x14ac:dyDescent="0.25">
      <c r="A1623" s="24" t="s">
        <v>1565</v>
      </c>
      <c r="B1623" s="25">
        <v>2016</v>
      </c>
      <c r="C1623" s="25" t="s">
        <v>2464</v>
      </c>
      <c r="D1623" s="25">
        <v>133</v>
      </c>
      <c r="E1623" s="25">
        <v>7.8</v>
      </c>
      <c r="F1623" s="25" t="str" cm="1">
        <f t="array" ref="F16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3" s="26">
        <v>532.17999999999995</v>
      </c>
      <c r="H1623" s="27">
        <v>672386</v>
      </c>
    </row>
    <row r="1624" spans="1:8" ht="18" x14ac:dyDescent="0.25">
      <c r="A1624" s="24" t="s">
        <v>1566</v>
      </c>
      <c r="B1624" s="25">
        <v>2016</v>
      </c>
      <c r="C1624" s="25" t="s">
        <v>2464</v>
      </c>
      <c r="D1624" s="25">
        <v>87</v>
      </c>
      <c r="E1624" s="25">
        <v>5.3</v>
      </c>
      <c r="F1624" s="25" t="str" cm="1">
        <f t="array" ref="F16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4" s="26">
        <v>4.79</v>
      </c>
      <c r="H1624" s="27">
        <v>13978</v>
      </c>
    </row>
    <row r="1625" spans="1:8" ht="18" x14ac:dyDescent="0.25">
      <c r="A1625" s="24" t="s">
        <v>1567</v>
      </c>
      <c r="B1625" s="25">
        <v>2016</v>
      </c>
      <c r="C1625" s="25" t="s">
        <v>2462</v>
      </c>
      <c r="D1625" s="25">
        <v>100</v>
      </c>
      <c r="E1625" s="25">
        <v>7.8</v>
      </c>
      <c r="F1625" s="25" t="str" cm="1">
        <f t="array" ref="F16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5" s="26">
        <v>0.26</v>
      </c>
      <c r="H1625" s="27">
        <v>63438</v>
      </c>
    </row>
    <row r="1626" spans="1:8" ht="18" x14ac:dyDescent="0.25">
      <c r="A1626" s="24" t="s">
        <v>1568</v>
      </c>
      <c r="B1626" s="25">
        <v>2016</v>
      </c>
      <c r="C1626" s="25" t="s">
        <v>2462</v>
      </c>
      <c r="D1626" s="25">
        <v>120</v>
      </c>
      <c r="E1626" s="25">
        <v>6.7</v>
      </c>
      <c r="F1626" s="25" t="str" cm="1">
        <f t="array" ref="F16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6" s="26">
        <v>7.23</v>
      </c>
      <c r="H1626" s="27">
        <v>67930</v>
      </c>
    </row>
    <row r="1627" spans="1:8" ht="18" x14ac:dyDescent="0.25">
      <c r="A1627" s="24" t="s">
        <v>2374</v>
      </c>
      <c r="B1627" s="25">
        <v>2016</v>
      </c>
      <c r="C1627" s="25" t="s">
        <v>2462</v>
      </c>
      <c r="D1627" s="25">
        <v>102</v>
      </c>
      <c r="E1627" s="25">
        <v>7.6</v>
      </c>
      <c r="F1627" s="25" t="str" cm="1">
        <f t="array" ref="F16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7" s="26">
        <v>27.01</v>
      </c>
      <c r="H1627" s="27">
        <v>245508</v>
      </c>
    </row>
    <row r="1628" spans="1:8" ht="18" x14ac:dyDescent="0.25">
      <c r="A1628" s="24" t="s">
        <v>2375</v>
      </c>
      <c r="B1628" s="25">
        <v>2016</v>
      </c>
      <c r="C1628" s="25" t="s">
        <v>2462</v>
      </c>
      <c r="D1628" s="25">
        <v>100</v>
      </c>
      <c r="E1628" s="25">
        <v>8.1999999999999993</v>
      </c>
      <c r="F1628" s="25" t="str" cm="1">
        <f t="array" ref="F16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8" s="26">
        <v>2.46</v>
      </c>
      <c r="H1628" s="27">
        <v>37112</v>
      </c>
    </row>
    <row r="1629" spans="1:8" ht="18" x14ac:dyDescent="0.25">
      <c r="A1629" s="24" t="s">
        <v>1571</v>
      </c>
      <c r="B1629" s="25">
        <v>2016</v>
      </c>
      <c r="C1629" s="25" t="s">
        <v>2462</v>
      </c>
      <c r="D1629" s="25">
        <v>93</v>
      </c>
      <c r="E1629" s="25">
        <v>5.8</v>
      </c>
      <c r="F1629" s="25" t="str" cm="1">
        <f t="array" ref="F16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29" s="26">
        <v>2.46</v>
      </c>
      <c r="H1629" s="27">
        <v>4411</v>
      </c>
    </row>
    <row r="1630" spans="1:8" ht="18" x14ac:dyDescent="0.25">
      <c r="A1630" s="24" t="s">
        <v>1572</v>
      </c>
      <c r="B1630" s="25">
        <v>2016</v>
      </c>
      <c r="C1630" s="25" t="s">
        <v>2462</v>
      </c>
      <c r="D1630" s="25">
        <v>96</v>
      </c>
      <c r="E1630" s="25">
        <v>5.8</v>
      </c>
      <c r="F1630" s="25" t="str" cm="1">
        <f t="array" ref="F16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0" s="26">
        <v>2.46</v>
      </c>
      <c r="H1630" s="27">
        <v>4651</v>
      </c>
    </row>
    <row r="1631" spans="1:8" ht="18" x14ac:dyDescent="0.25">
      <c r="A1631" s="24" t="s">
        <v>1573</v>
      </c>
      <c r="B1631" s="25">
        <v>2016</v>
      </c>
      <c r="C1631" s="25" t="s">
        <v>2462</v>
      </c>
      <c r="D1631" s="25">
        <v>108</v>
      </c>
      <c r="E1631" s="25">
        <v>6.1</v>
      </c>
      <c r="F1631" s="25" t="str" cm="1">
        <f t="array" ref="F16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1" s="26">
        <v>0.54</v>
      </c>
      <c r="H1631" s="27">
        <v>17804</v>
      </c>
    </row>
    <row r="1632" spans="1:8" ht="18" x14ac:dyDescent="0.25">
      <c r="A1632" s="24" t="s">
        <v>1574</v>
      </c>
      <c r="B1632" s="25">
        <v>2016</v>
      </c>
      <c r="C1632" s="25" t="s">
        <v>2462</v>
      </c>
      <c r="D1632" s="25">
        <v>103</v>
      </c>
      <c r="E1632" s="25">
        <v>7.3</v>
      </c>
      <c r="F1632" s="25" t="str" cm="1">
        <f t="array" ref="F16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2" s="26">
        <v>0.04</v>
      </c>
      <c r="H1632" s="27">
        <v>32998</v>
      </c>
    </row>
    <row r="1633" spans="1:8" ht="18" x14ac:dyDescent="0.25">
      <c r="A1633" s="24" t="s">
        <v>1577</v>
      </c>
      <c r="B1633" s="25">
        <v>2016</v>
      </c>
      <c r="C1633" s="25" t="s">
        <v>2462</v>
      </c>
      <c r="D1633" s="25">
        <v>123</v>
      </c>
      <c r="E1633" s="25">
        <v>7</v>
      </c>
      <c r="F1633" s="25" t="str" cm="1">
        <f t="array" ref="F16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3" s="26">
        <v>7.7</v>
      </c>
      <c r="H1633" s="27">
        <v>36002</v>
      </c>
    </row>
    <row r="1634" spans="1:8" ht="18" x14ac:dyDescent="0.25">
      <c r="A1634" s="24" t="s">
        <v>1578</v>
      </c>
      <c r="B1634" s="25">
        <v>2016</v>
      </c>
      <c r="C1634" s="25" t="s">
        <v>2464</v>
      </c>
      <c r="D1634" s="25">
        <v>113</v>
      </c>
      <c r="E1634" s="25">
        <v>6.5</v>
      </c>
      <c r="F1634" s="25" t="str" cm="1">
        <f t="array" ref="F16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4" s="26">
        <v>0.15</v>
      </c>
      <c r="H1634" s="27">
        <v>10201</v>
      </c>
    </row>
    <row r="1635" spans="1:8" ht="18" x14ac:dyDescent="0.25">
      <c r="A1635" s="24" t="s">
        <v>1579</v>
      </c>
      <c r="B1635" s="25">
        <v>2016</v>
      </c>
      <c r="C1635" s="25" t="s">
        <v>2462</v>
      </c>
      <c r="D1635" s="25">
        <v>111</v>
      </c>
      <c r="E1635" s="25">
        <v>7.4</v>
      </c>
      <c r="F1635" s="25" t="str" cm="1">
        <f t="array" ref="F16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5" s="26">
        <v>27.85</v>
      </c>
      <c r="H1635" s="27">
        <v>324773</v>
      </c>
    </row>
    <row r="1636" spans="1:8" ht="18" x14ac:dyDescent="0.25">
      <c r="A1636" s="24" t="s">
        <v>1580</v>
      </c>
      <c r="B1636" s="25">
        <v>2016</v>
      </c>
      <c r="C1636" s="25" t="s">
        <v>2462</v>
      </c>
      <c r="D1636" s="25">
        <v>110</v>
      </c>
      <c r="E1636" s="25">
        <v>6</v>
      </c>
      <c r="F1636" s="25" t="str" cm="1">
        <f t="array" ref="F16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6" s="26">
        <v>2.46</v>
      </c>
      <c r="H1636" s="27">
        <v>4433</v>
      </c>
    </row>
    <row r="1637" spans="1:8" ht="18" x14ac:dyDescent="0.25">
      <c r="A1637" s="24" t="s">
        <v>1581</v>
      </c>
      <c r="B1637" s="25">
        <v>2016</v>
      </c>
      <c r="C1637" s="25" t="s">
        <v>2462</v>
      </c>
      <c r="D1637" s="25">
        <v>128</v>
      </c>
      <c r="E1637" s="25">
        <v>8</v>
      </c>
      <c r="F1637" s="25" t="str" cm="1">
        <f t="array" ref="F16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7" s="26">
        <v>151.1</v>
      </c>
      <c r="H1637" s="27">
        <v>640972</v>
      </c>
    </row>
    <row r="1638" spans="1:8" ht="18" x14ac:dyDescent="0.25">
      <c r="A1638" s="24" t="s">
        <v>2376</v>
      </c>
      <c r="B1638" s="25">
        <v>2016</v>
      </c>
      <c r="C1638" s="25" t="s">
        <v>2462</v>
      </c>
      <c r="D1638" s="25">
        <v>97</v>
      </c>
      <c r="E1638" s="25">
        <v>6.8</v>
      </c>
      <c r="F1638" s="25" t="str" cm="1">
        <f t="array" ref="F16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8" s="26">
        <v>2.46</v>
      </c>
      <c r="H1638" s="27">
        <v>24823</v>
      </c>
    </row>
    <row r="1639" spans="1:8" ht="18" x14ac:dyDescent="0.25">
      <c r="A1639" s="24" t="s">
        <v>1583</v>
      </c>
      <c r="B1639" s="25">
        <v>2016</v>
      </c>
      <c r="C1639" s="25" t="s">
        <v>2462</v>
      </c>
      <c r="D1639" s="25">
        <v>118</v>
      </c>
      <c r="E1639" s="25">
        <v>7.3</v>
      </c>
      <c r="F1639" s="25" t="str" cm="1">
        <f t="array" ref="F16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39" s="26">
        <v>2.14</v>
      </c>
      <c r="H1639" s="27">
        <v>87026</v>
      </c>
    </row>
    <row r="1640" spans="1:8" ht="18" x14ac:dyDescent="0.25">
      <c r="A1640" s="24" t="s">
        <v>1584</v>
      </c>
      <c r="B1640" s="25">
        <v>2016</v>
      </c>
      <c r="C1640" s="25" t="s">
        <v>2462</v>
      </c>
      <c r="D1640" s="25">
        <v>133</v>
      </c>
      <c r="E1640" s="25">
        <v>7.2</v>
      </c>
      <c r="F1640" s="25" t="str" cm="1">
        <f t="array" ref="F16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0" s="26">
        <v>12.55</v>
      </c>
      <c r="H1640" s="27">
        <v>59330</v>
      </c>
    </row>
    <row r="1641" spans="1:8" ht="18" x14ac:dyDescent="0.25">
      <c r="A1641" s="24" t="s">
        <v>2377</v>
      </c>
      <c r="B1641" s="25">
        <v>2016</v>
      </c>
      <c r="C1641" s="25" t="s">
        <v>2462</v>
      </c>
      <c r="D1641" s="25">
        <v>127</v>
      </c>
      <c r="E1641" s="25">
        <v>5.7</v>
      </c>
      <c r="F1641" s="25" t="str" cm="1">
        <f t="array" ref="F16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1" s="26">
        <v>3.65</v>
      </c>
      <c r="H1641" s="27">
        <v>11531</v>
      </c>
    </row>
    <row r="1642" spans="1:8" ht="18" x14ac:dyDescent="0.25">
      <c r="A1642" s="24" t="s">
        <v>2378</v>
      </c>
      <c r="B1642" s="25">
        <v>2016</v>
      </c>
      <c r="C1642" s="25" t="s">
        <v>2462</v>
      </c>
      <c r="D1642" s="25">
        <v>105</v>
      </c>
      <c r="E1642" s="25">
        <v>6.6</v>
      </c>
      <c r="F1642" s="25" t="str" cm="1">
        <f t="array" ref="F16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2" s="26">
        <v>0.03</v>
      </c>
      <c r="H1642" s="27">
        <v>1442</v>
      </c>
    </row>
    <row r="1643" spans="1:8" ht="18" x14ac:dyDescent="0.25">
      <c r="A1643" s="24" t="s">
        <v>2379</v>
      </c>
      <c r="B1643" s="25">
        <v>2016</v>
      </c>
      <c r="C1643" s="25" t="s">
        <v>2464</v>
      </c>
      <c r="D1643" s="25">
        <v>105</v>
      </c>
      <c r="E1643" s="25">
        <v>5.8</v>
      </c>
      <c r="F1643" s="25" t="str" cm="1">
        <f t="array" ref="F16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3" s="26">
        <v>2.46</v>
      </c>
      <c r="H1643" s="27">
        <v>1381</v>
      </c>
    </row>
    <row r="1644" spans="1:8" ht="18" x14ac:dyDescent="0.25">
      <c r="A1644" s="24" t="s">
        <v>2380</v>
      </c>
      <c r="B1644" s="25">
        <v>2016</v>
      </c>
      <c r="C1644" s="25" t="s">
        <v>2462</v>
      </c>
      <c r="D1644" s="25">
        <v>95</v>
      </c>
      <c r="E1644" s="25">
        <v>7.9</v>
      </c>
      <c r="F1644" s="25" t="str" cm="1">
        <f t="array" ref="F16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4" s="26">
        <v>2.46</v>
      </c>
      <c r="H1644" s="27">
        <v>3551</v>
      </c>
    </row>
    <row r="1645" spans="1:8" ht="18" x14ac:dyDescent="0.25">
      <c r="A1645" s="24" t="s">
        <v>1589</v>
      </c>
      <c r="B1645" s="25">
        <v>2016</v>
      </c>
      <c r="C1645" s="25" t="s">
        <v>2462</v>
      </c>
      <c r="D1645" s="25">
        <v>109</v>
      </c>
      <c r="E1645" s="25">
        <v>5.7</v>
      </c>
      <c r="F1645" s="25" t="str" cm="1">
        <f t="array" ref="F16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5" s="26">
        <v>2.46</v>
      </c>
      <c r="H1645" s="27">
        <v>1337</v>
      </c>
    </row>
    <row r="1646" spans="1:8" ht="18" x14ac:dyDescent="0.25">
      <c r="A1646" s="24" t="s">
        <v>1592</v>
      </c>
      <c r="B1646" s="25">
        <v>2016</v>
      </c>
      <c r="C1646" s="25" t="s">
        <v>2462</v>
      </c>
      <c r="D1646" s="25">
        <v>100</v>
      </c>
      <c r="E1646" s="25">
        <v>6.5</v>
      </c>
      <c r="F1646" s="25" t="str" cm="1">
        <f t="array" ref="F16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6" s="26">
        <v>0.01</v>
      </c>
      <c r="H1646" s="27">
        <v>2396</v>
      </c>
    </row>
    <row r="1647" spans="1:8" ht="18" x14ac:dyDescent="0.25">
      <c r="A1647" s="24" t="s">
        <v>1594</v>
      </c>
      <c r="B1647" s="25">
        <v>2016</v>
      </c>
      <c r="C1647" s="25" t="s">
        <v>2462</v>
      </c>
      <c r="D1647" s="25">
        <v>107</v>
      </c>
      <c r="E1647" s="25">
        <v>5.5</v>
      </c>
      <c r="F1647" s="25" t="str" cm="1">
        <f t="array" ref="F16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7" s="26">
        <v>26.83</v>
      </c>
      <c r="H1647" s="27">
        <v>99163</v>
      </c>
    </row>
    <row r="1648" spans="1:8" ht="18" x14ac:dyDescent="0.25">
      <c r="A1648" s="24" t="s">
        <v>1595</v>
      </c>
      <c r="B1648" s="25">
        <v>2016</v>
      </c>
      <c r="C1648" s="25" t="s">
        <v>2464</v>
      </c>
      <c r="D1648" s="25">
        <v>92</v>
      </c>
      <c r="E1648" s="25">
        <v>5.4</v>
      </c>
      <c r="F1648" s="25" t="str" cm="1">
        <f t="array" ref="F16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8" s="26">
        <v>2.46</v>
      </c>
      <c r="H1648" s="27">
        <v>8473</v>
      </c>
    </row>
    <row r="1649" spans="1:8" ht="18" x14ac:dyDescent="0.25">
      <c r="A1649" s="24" t="s">
        <v>1597</v>
      </c>
      <c r="B1649" s="25">
        <v>2016</v>
      </c>
      <c r="C1649" s="25" t="s">
        <v>2463</v>
      </c>
      <c r="D1649" s="25">
        <v>111</v>
      </c>
      <c r="E1649" s="25">
        <v>6.9</v>
      </c>
      <c r="F1649" s="25" t="str" cm="1">
        <f t="array" ref="F16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49" s="26">
        <v>3.9</v>
      </c>
      <c r="H1649" s="27">
        <v>16816</v>
      </c>
    </row>
    <row r="1650" spans="1:8" ht="18" x14ac:dyDescent="0.25">
      <c r="A1650" s="24" t="s">
        <v>1598</v>
      </c>
      <c r="B1650" s="25">
        <v>2016</v>
      </c>
      <c r="C1650" s="25" t="s">
        <v>2462</v>
      </c>
      <c r="D1650" s="25">
        <v>148</v>
      </c>
      <c r="E1650" s="25">
        <v>7</v>
      </c>
      <c r="F1650" s="25" t="str" cm="1">
        <f t="array" ref="F16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0" s="26">
        <v>2.46</v>
      </c>
      <c r="H1650" s="27">
        <v>44180</v>
      </c>
    </row>
    <row r="1651" spans="1:8" ht="18" x14ac:dyDescent="0.25">
      <c r="A1651" s="24" t="s">
        <v>1599</v>
      </c>
      <c r="B1651" s="25">
        <v>2016</v>
      </c>
      <c r="C1651" s="25" t="s">
        <v>2462</v>
      </c>
      <c r="D1651" s="25">
        <v>95</v>
      </c>
      <c r="E1651" s="25">
        <v>4.7</v>
      </c>
      <c r="F1651" s="25" t="str" cm="1">
        <f t="array" ref="F16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1" s="26">
        <v>2.46</v>
      </c>
      <c r="H1651" s="27">
        <v>9114</v>
      </c>
    </row>
    <row r="1652" spans="1:8" ht="18" x14ac:dyDescent="0.25">
      <c r="A1652" s="24" t="s">
        <v>1600</v>
      </c>
      <c r="B1652" s="25">
        <v>2016</v>
      </c>
      <c r="C1652" s="25" t="s">
        <v>2462</v>
      </c>
      <c r="D1652" s="25">
        <v>106</v>
      </c>
      <c r="E1652" s="25">
        <v>5.8</v>
      </c>
      <c r="F1652" s="25" t="str" cm="1">
        <f t="array" ref="F16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2" s="26">
        <v>2.46</v>
      </c>
      <c r="H1652" s="27">
        <v>20772</v>
      </c>
    </row>
    <row r="1653" spans="1:8" ht="18" x14ac:dyDescent="0.25">
      <c r="A1653" s="24" t="s">
        <v>1603</v>
      </c>
      <c r="B1653" s="25">
        <v>2016</v>
      </c>
      <c r="C1653" s="25" t="s">
        <v>2462</v>
      </c>
      <c r="D1653" s="25">
        <v>90</v>
      </c>
      <c r="E1653" s="25">
        <v>6.2</v>
      </c>
      <c r="F1653" s="25" t="str" cm="1">
        <f t="array" ref="F16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3" s="26">
        <v>2.46</v>
      </c>
      <c r="H1653" s="27">
        <v>3937</v>
      </c>
    </row>
    <row r="1654" spans="1:8" ht="18" x14ac:dyDescent="0.25">
      <c r="A1654" s="24" t="s">
        <v>1605</v>
      </c>
      <c r="B1654" s="25">
        <v>2016</v>
      </c>
      <c r="C1654" s="25" t="s">
        <v>2463</v>
      </c>
      <c r="D1654" s="25">
        <v>124</v>
      </c>
      <c r="E1654" s="25">
        <v>7.1</v>
      </c>
      <c r="F1654" s="25" t="str" cm="1">
        <f t="array" ref="F16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4" s="26">
        <v>40.1</v>
      </c>
      <c r="H1654" s="27">
        <v>165409</v>
      </c>
    </row>
    <row r="1655" spans="1:8" ht="18" x14ac:dyDescent="0.25">
      <c r="A1655" s="24" t="s">
        <v>1607</v>
      </c>
      <c r="B1655" s="25">
        <v>2016</v>
      </c>
      <c r="C1655" s="25" t="s">
        <v>2462</v>
      </c>
      <c r="D1655" s="25">
        <v>90</v>
      </c>
      <c r="E1655" s="25">
        <v>6.6</v>
      </c>
      <c r="F1655" s="25" t="str" cm="1">
        <f t="array" ref="F16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5" s="26">
        <v>0</v>
      </c>
      <c r="H1655" s="27">
        <v>1799</v>
      </c>
    </row>
    <row r="1656" spans="1:8" ht="18" x14ac:dyDescent="0.25">
      <c r="A1656" s="24" t="s">
        <v>1609</v>
      </c>
      <c r="B1656" s="25">
        <v>2016</v>
      </c>
      <c r="C1656" s="25" t="s">
        <v>2464</v>
      </c>
      <c r="D1656" s="25">
        <v>86</v>
      </c>
      <c r="E1656" s="25">
        <v>5.4</v>
      </c>
      <c r="F1656" s="25" t="str" cm="1">
        <f t="array" ref="F16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6" s="26">
        <v>2.46</v>
      </c>
      <c r="H1656" s="27">
        <v>1179</v>
      </c>
    </row>
    <row r="1657" spans="1:8" ht="18" x14ac:dyDescent="0.25">
      <c r="A1657" s="24" t="s">
        <v>2381</v>
      </c>
      <c r="B1657" s="25">
        <v>2016</v>
      </c>
      <c r="C1657" s="25" t="s">
        <v>2462</v>
      </c>
      <c r="D1657" s="25">
        <v>123</v>
      </c>
      <c r="E1657" s="25">
        <v>6.5</v>
      </c>
      <c r="F1657" s="25" t="str" cm="1">
        <f t="array" ref="F16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7" s="26">
        <v>24.25</v>
      </c>
      <c r="H1657" s="27">
        <v>80395</v>
      </c>
    </row>
    <row r="1658" spans="1:8" ht="18" x14ac:dyDescent="0.25">
      <c r="A1658" s="24" t="s">
        <v>1615</v>
      </c>
      <c r="B1658" s="25">
        <v>2016</v>
      </c>
      <c r="C1658" s="25" t="s">
        <v>2464</v>
      </c>
      <c r="D1658" s="25">
        <v>111</v>
      </c>
      <c r="E1658" s="25">
        <v>6.2</v>
      </c>
      <c r="F1658" s="25" t="str" cm="1">
        <f t="array" ref="F16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8" s="26">
        <v>60.32</v>
      </c>
      <c r="H1658" s="27">
        <v>121071</v>
      </c>
    </row>
    <row r="1659" spans="1:8" ht="18" x14ac:dyDescent="0.25">
      <c r="A1659" s="24" t="s">
        <v>1616</v>
      </c>
      <c r="B1659" s="25">
        <v>2016</v>
      </c>
      <c r="C1659" s="25" t="s">
        <v>2462</v>
      </c>
      <c r="D1659" s="25">
        <v>94</v>
      </c>
      <c r="E1659" s="25">
        <v>5.5</v>
      </c>
      <c r="F1659" s="25" t="str" cm="1">
        <f t="array" ref="F16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59" s="26">
        <v>2.46</v>
      </c>
      <c r="H1659" s="27">
        <v>13855</v>
      </c>
    </row>
    <row r="1660" spans="1:8" ht="18" x14ac:dyDescent="0.25">
      <c r="A1660" s="24" t="s">
        <v>1617</v>
      </c>
      <c r="B1660" s="25">
        <v>2016</v>
      </c>
      <c r="C1660" s="25" t="s">
        <v>2462</v>
      </c>
      <c r="D1660" s="25">
        <v>103</v>
      </c>
      <c r="E1660" s="25">
        <v>5.9</v>
      </c>
      <c r="F1660" s="25" t="str" cm="1">
        <f t="array" ref="F16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0" s="26">
        <v>45.54</v>
      </c>
      <c r="H1660" s="27">
        <v>143539</v>
      </c>
    </row>
    <row r="1661" spans="1:8" ht="18" x14ac:dyDescent="0.25">
      <c r="A1661" s="24" t="s">
        <v>1618</v>
      </c>
      <c r="B1661" s="25">
        <v>2016</v>
      </c>
      <c r="C1661" s="25" t="s">
        <v>2462</v>
      </c>
      <c r="D1661" s="25">
        <v>84</v>
      </c>
      <c r="E1661" s="25">
        <v>6.3</v>
      </c>
      <c r="F1661" s="25" t="str" cm="1">
        <f t="array" ref="F16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1" s="26">
        <v>0.01</v>
      </c>
      <c r="H1661" s="27">
        <v>5298</v>
      </c>
    </row>
    <row r="1662" spans="1:8" ht="18" x14ac:dyDescent="0.25">
      <c r="A1662" s="24" t="s">
        <v>1622</v>
      </c>
      <c r="B1662" s="25">
        <v>2016</v>
      </c>
      <c r="C1662" s="25" t="s">
        <v>2462</v>
      </c>
      <c r="D1662" s="25">
        <v>80</v>
      </c>
      <c r="E1662" s="25">
        <v>7.3</v>
      </c>
      <c r="F1662" s="25" t="str" cm="1">
        <f t="array" ref="F16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2" s="26">
        <v>0.01</v>
      </c>
      <c r="H1662" s="27">
        <v>19880</v>
      </c>
    </row>
    <row r="1663" spans="1:8" ht="18" x14ac:dyDescent="0.25">
      <c r="A1663" s="24" t="s">
        <v>1623</v>
      </c>
      <c r="B1663" s="25">
        <v>2016</v>
      </c>
      <c r="C1663" s="25" t="s">
        <v>2462</v>
      </c>
      <c r="D1663" s="25">
        <v>77</v>
      </c>
      <c r="E1663" s="25">
        <v>6.9</v>
      </c>
      <c r="F1663" s="25" t="str" cm="1">
        <f t="array" ref="F16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3" s="26">
        <v>0.01</v>
      </c>
      <c r="H1663" s="27">
        <v>2090</v>
      </c>
    </row>
    <row r="1664" spans="1:8" ht="18" x14ac:dyDescent="0.25">
      <c r="A1664" s="24" t="s">
        <v>1627</v>
      </c>
      <c r="B1664" s="25">
        <v>2016</v>
      </c>
      <c r="C1664" s="25" t="s">
        <v>2462</v>
      </c>
      <c r="D1664" s="25">
        <v>133</v>
      </c>
      <c r="E1664" s="25">
        <v>7.3</v>
      </c>
      <c r="F1664" s="25" t="str" cm="1">
        <f t="array" ref="F16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4" s="26">
        <v>31.89</v>
      </c>
      <c r="H1664" s="27">
        <v>110160</v>
      </c>
    </row>
    <row r="1665" spans="1:8" ht="18" x14ac:dyDescent="0.25">
      <c r="A1665" s="24" t="s">
        <v>1629</v>
      </c>
      <c r="B1665" s="25">
        <v>2016</v>
      </c>
      <c r="C1665" s="25" t="s">
        <v>2462</v>
      </c>
      <c r="D1665" s="25">
        <v>87</v>
      </c>
      <c r="E1665" s="25">
        <v>6.4</v>
      </c>
      <c r="F1665" s="25" t="str" cm="1">
        <f t="array" ref="F16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5" s="26">
        <v>2.46</v>
      </c>
      <c r="H1665" s="27">
        <v>1912</v>
      </c>
    </row>
    <row r="1666" spans="1:8" ht="18" x14ac:dyDescent="0.25">
      <c r="A1666" s="24" t="s">
        <v>1630</v>
      </c>
      <c r="B1666" s="25">
        <v>2016</v>
      </c>
      <c r="C1666" s="25" t="s">
        <v>2462</v>
      </c>
      <c r="D1666" s="25">
        <v>105</v>
      </c>
      <c r="E1666" s="25">
        <v>6.1</v>
      </c>
      <c r="F1666" s="25" t="str" cm="1">
        <f t="array" ref="F16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6" s="26">
        <v>1.31</v>
      </c>
      <c r="H1666" s="27">
        <v>42391</v>
      </c>
    </row>
    <row r="1667" spans="1:8" ht="18" x14ac:dyDescent="0.25">
      <c r="A1667" s="24" t="s">
        <v>1631</v>
      </c>
      <c r="B1667" s="25">
        <v>2016</v>
      </c>
      <c r="C1667" s="25" t="s">
        <v>2462</v>
      </c>
      <c r="D1667" s="25">
        <v>123</v>
      </c>
      <c r="E1667" s="25">
        <v>7.4</v>
      </c>
      <c r="F1667" s="25" t="str" cm="1">
        <f t="array" ref="F16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7" s="26">
        <v>2.46</v>
      </c>
      <c r="H1667" s="27">
        <v>4737</v>
      </c>
    </row>
    <row r="1668" spans="1:8" ht="18" x14ac:dyDescent="0.25">
      <c r="A1668" s="24" t="s">
        <v>1634</v>
      </c>
      <c r="B1668" s="25">
        <v>2016</v>
      </c>
      <c r="C1668" s="25" t="s">
        <v>2463</v>
      </c>
      <c r="D1668" s="25">
        <v>88</v>
      </c>
      <c r="E1668" s="25">
        <v>6.5</v>
      </c>
      <c r="F1668" s="25" t="str" cm="1">
        <f t="array" ref="F16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8" s="26">
        <v>2.46</v>
      </c>
      <c r="H1668" s="27">
        <v>4217</v>
      </c>
    </row>
    <row r="1669" spans="1:8" ht="18" x14ac:dyDescent="0.25">
      <c r="A1669" s="24" t="s">
        <v>1636</v>
      </c>
      <c r="B1669" s="25">
        <v>2016</v>
      </c>
      <c r="C1669" s="25" t="s">
        <v>2462</v>
      </c>
      <c r="D1669" s="25">
        <v>105</v>
      </c>
      <c r="E1669" s="25">
        <v>6.6</v>
      </c>
      <c r="F1669" s="25" t="str" cm="1">
        <f t="array" ref="F16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69" s="26">
        <v>2.46</v>
      </c>
      <c r="H1669" s="27">
        <v>2672</v>
      </c>
    </row>
    <row r="1670" spans="1:8" ht="18" x14ac:dyDescent="0.25">
      <c r="A1670" s="24" t="s">
        <v>2382</v>
      </c>
      <c r="B1670" s="25">
        <v>2016</v>
      </c>
      <c r="C1670" s="25" t="s">
        <v>2462</v>
      </c>
      <c r="D1670" s="25">
        <v>99</v>
      </c>
      <c r="E1670" s="25">
        <v>7.2</v>
      </c>
      <c r="F1670" s="25" t="str" cm="1">
        <f t="array" ref="F16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0" s="26">
        <v>2.46</v>
      </c>
      <c r="H1670" s="27">
        <v>5554</v>
      </c>
    </row>
    <row r="1671" spans="1:8" ht="18" x14ac:dyDescent="0.25">
      <c r="A1671" s="24" t="s">
        <v>1639</v>
      </c>
      <c r="B1671" s="25">
        <v>2016</v>
      </c>
      <c r="C1671" s="25" t="s">
        <v>2462</v>
      </c>
      <c r="D1671" s="25">
        <v>173</v>
      </c>
      <c r="E1671" s="25">
        <v>7.3</v>
      </c>
      <c r="F1671" s="25" t="str" cm="1">
        <f t="array" ref="F16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1" s="26">
        <v>2.46</v>
      </c>
      <c r="H1671" s="27">
        <v>5604</v>
      </c>
    </row>
    <row r="1672" spans="1:8" ht="18" x14ac:dyDescent="0.25">
      <c r="A1672" s="24" t="s">
        <v>1640</v>
      </c>
      <c r="B1672" s="25">
        <v>2016</v>
      </c>
      <c r="C1672" s="25" t="s">
        <v>2463</v>
      </c>
      <c r="D1672" s="25">
        <v>130</v>
      </c>
      <c r="E1672" s="25">
        <v>6.4</v>
      </c>
      <c r="F1672" s="25" t="str" cm="1">
        <f t="array" ref="F16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2" s="26">
        <v>0.03</v>
      </c>
      <c r="H1672" s="27">
        <v>5225</v>
      </c>
    </row>
    <row r="1673" spans="1:8" ht="18" x14ac:dyDescent="0.25">
      <c r="A1673" s="24" t="s">
        <v>1641</v>
      </c>
      <c r="B1673" s="25">
        <v>2016</v>
      </c>
      <c r="C1673" s="25" t="s">
        <v>2462</v>
      </c>
      <c r="D1673" s="25">
        <v>120</v>
      </c>
      <c r="E1673" s="25">
        <v>6.2</v>
      </c>
      <c r="F1673" s="25" t="str" cm="1">
        <f t="array" ref="F16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3" s="26">
        <v>0.23</v>
      </c>
      <c r="H1673" s="27">
        <v>19042</v>
      </c>
    </row>
    <row r="1674" spans="1:8" ht="18" x14ac:dyDescent="0.25">
      <c r="A1674" s="24" t="s">
        <v>1643</v>
      </c>
      <c r="B1674" s="25">
        <v>2016</v>
      </c>
      <c r="C1674" s="25" t="s">
        <v>2462</v>
      </c>
      <c r="D1674" s="25">
        <v>93</v>
      </c>
      <c r="E1674" s="25">
        <v>7.9</v>
      </c>
      <c r="F1674" s="25" t="str" cm="1">
        <f t="array" ref="F16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4" s="26">
        <v>7.12</v>
      </c>
      <c r="H1674" s="27">
        <v>23109</v>
      </c>
    </row>
    <row r="1675" spans="1:8" ht="18" x14ac:dyDescent="0.25">
      <c r="A1675" s="24" t="s">
        <v>1644</v>
      </c>
      <c r="B1675" s="25">
        <v>2016</v>
      </c>
      <c r="C1675" s="25" t="s">
        <v>2462</v>
      </c>
      <c r="D1675" s="25">
        <v>117</v>
      </c>
      <c r="E1675" s="25">
        <v>6.3</v>
      </c>
      <c r="F1675" s="25" t="str" cm="1">
        <f t="array" ref="F16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5" s="26">
        <v>0.05</v>
      </c>
      <c r="H1675" s="27">
        <v>3690</v>
      </c>
    </row>
    <row r="1676" spans="1:8" ht="18" x14ac:dyDescent="0.25">
      <c r="A1676" s="24" t="s">
        <v>1646</v>
      </c>
      <c r="B1676" s="25">
        <v>2016</v>
      </c>
      <c r="C1676" s="25" t="s">
        <v>2462</v>
      </c>
      <c r="D1676" s="25">
        <v>107</v>
      </c>
      <c r="E1676" s="25">
        <v>6.8</v>
      </c>
      <c r="F1676" s="25" t="str" cm="1">
        <f t="array" ref="F16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6" s="26">
        <v>0.61</v>
      </c>
      <c r="H1676" s="27">
        <v>14897</v>
      </c>
    </row>
    <row r="1677" spans="1:8" ht="18" x14ac:dyDescent="0.25">
      <c r="A1677" s="24" t="s">
        <v>1647</v>
      </c>
      <c r="B1677" s="25">
        <v>2016</v>
      </c>
      <c r="C1677" s="25" t="s">
        <v>2462</v>
      </c>
      <c r="D1677" s="25">
        <v>92</v>
      </c>
      <c r="E1677" s="25">
        <v>4.5999999999999996</v>
      </c>
      <c r="F1677" s="25" t="str" cm="1">
        <f t="array" ref="F16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7" s="26">
        <v>3.82</v>
      </c>
      <c r="H1677" s="27">
        <v>20366</v>
      </c>
    </row>
    <row r="1678" spans="1:8" ht="18" x14ac:dyDescent="0.25">
      <c r="A1678" s="24" t="s">
        <v>1648</v>
      </c>
      <c r="B1678" s="25">
        <v>2016</v>
      </c>
      <c r="C1678" s="25" t="s">
        <v>2462</v>
      </c>
      <c r="D1678" s="25">
        <v>90</v>
      </c>
      <c r="E1678" s="25">
        <v>7.3</v>
      </c>
      <c r="F1678" s="25" t="str" cm="1">
        <f t="array" ref="F16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8" s="26">
        <v>2.46</v>
      </c>
      <c r="H1678" s="27">
        <v>419</v>
      </c>
    </row>
    <row r="1679" spans="1:8" ht="18" x14ac:dyDescent="0.25">
      <c r="A1679" s="24" t="s">
        <v>1649</v>
      </c>
      <c r="B1679" s="25">
        <v>2016</v>
      </c>
      <c r="C1679" s="25" t="s">
        <v>2462</v>
      </c>
      <c r="D1679" s="25">
        <v>83</v>
      </c>
      <c r="E1679" s="25">
        <v>6.4</v>
      </c>
      <c r="F1679" s="25" t="str" cm="1">
        <f t="array" ref="F16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79" s="26">
        <v>0</v>
      </c>
      <c r="H1679" s="27">
        <v>2768</v>
      </c>
    </row>
    <row r="1680" spans="1:8" ht="18" x14ac:dyDescent="0.25">
      <c r="A1680" s="24" t="s">
        <v>2383</v>
      </c>
      <c r="B1680" s="25">
        <v>2016</v>
      </c>
      <c r="C1680" s="25" t="s">
        <v>2462</v>
      </c>
      <c r="D1680" s="25">
        <v>137</v>
      </c>
      <c r="E1680" s="25">
        <v>5.8</v>
      </c>
      <c r="F1680" s="25" t="str" cm="1">
        <f t="array" ref="F16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0" s="26">
        <v>0.01</v>
      </c>
      <c r="H1680" s="27">
        <v>590</v>
      </c>
    </row>
    <row r="1681" spans="1:8" ht="18" x14ac:dyDescent="0.25">
      <c r="A1681" s="24" t="s">
        <v>1661</v>
      </c>
      <c r="B1681" s="25">
        <v>2016</v>
      </c>
      <c r="C1681" s="25" t="s">
        <v>2462</v>
      </c>
      <c r="D1681" s="25">
        <v>88</v>
      </c>
      <c r="E1681" s="25">
        <v>5.9</v>
      </c>
      <c r="F1681" s="25" t="str" cm="1">
        <f t="array" ref="F16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1" s="26">
        <v>2.46</v>
      </c>
      <c r="H1681" s="27">
        <v>6435</v>
      </c>
    </row>
    <row r="1682" spans="1:8" ht="18" x14ac:dyDescent="0.25">
      <c r="A1682" s="24" t="s">
        <v>1663</v>
      </c>
      <c r="B1682" s="25">
        <v>2016</v>
      </c>
      <c r="C1682" s="25" t="s">
        <v>2462</v>
      </c>
      <c r="D1682" s="25">
        <v>113</v>
      </c>
      <c r="E1682" s="25">
        <v>7.5</v>
      </c>
      <c r="F1682" s="25" t="str" cm="1">
        <f t="array" ref="F16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2" s="26">
        <v>0.88</v>
      </c>
      <c r="H1682" s="27">
        <v>16951</v>
      </c>
    </row>
    <row r="1683" spans="1:8" ht="18" x14ac:dyDescent="0.25">
      <c r="A1683" s="24" t="s">
        <v>1667</v>
      </c>
      <c r="B1683" s="25">
        <v>2016</v>
      </c>
      <c r="C1683" s="25" t="s">
        <v>2462</v>
      </c>
      <c r="D1683" s="25">
        <v>90</v>
      </c>
      <c r="E1683" s="25">
        <v>5.9</v>
      </c>
      <c r="F1683" s="25" t="str" cm="1">
        <f t="array" ref="F16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3" s="26">
        <v>0.15</v>
      </c>
      <c r="H1683" s="27">
        <v>40385</v>
      </c>
    </row>
    <row r="1684" spans="1:8" ht="18" x14ac:dyDescent="0.25">
      <c r="A1684" s="24" t="s">
        <v>2384</v>
      </c>
      <c r="B1684" s="25">
        <v>2016</v>
      </c>
      <c r="C1684" s="25" t="s">
        <v>2462</v>
      </c>
      <c r="D1684" s="25">
        <v>146</v>
      </c>
      <c r="E1684" s="25">
        <v>6.4</v>
      </c>
      <c r="F1684" s="25" t="str" cm="1">
        <f t="array" ref="F16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4" s="26">
        <v>8.11</v>
      </c>
      <c r="H1684" s="27">
        <v>106960</v>
      </c>
    </row>
    <row r="1685" spans="1:8" ht="18" x14ac:dyDescent="0.25">
      <c r="A1685" s="24" t="s">
        <v>2385</v>
      </c>
      <c r="B1685" s="25">
        <v>2016</v>
      </c>
      <c r="C1685" s="25" t="s">
        <v>2463</v>
      </c>
      <c r="D1685" s="25">
        <v>106</v>
      </c>
      <c r="E1685" s="25">
        <v>6.7</v>
      </c>
      <c r="F1685" s="25" t="str" cm="1">
        <f t="array" ref="F16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5" s="26">
        <v>0.08</v>
      </c>
      <c r="H1685" s="27">
        <v>2582</v>
      </c>
    </row>
    <row r="1686" spans="1:8" ht="18" x14ac:dyDescent="0.25">
      <c r="A1686" s="24" t="s">
        <v>1680</v>
      </c>
      <c r="B1686" s="25">
        <v>2016</v>
      </c>
      <c r="C1686" s="25" t="s">
        <v>2462</v>
      </c>
      <c r="D1686" s="25">
        <v>108</v>
      </c>
      <c r="E1686" s="25">
        <v>6.5</v>
      </c>
      <c r="F1686" s="25" t="str" cm="1">
        <f t="array" ref="F16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6" s="26">
        <v>2.46</v>
      </c>
      <c r="H1686" s="27">
        <v>2708</v>
      </c>
    </row>
    <row r="1687" spans="1:8" ht="18" x14ac:dyDescent="0.25">
      <c r="A1687" s="24" t="s">
        <v>1684</v>
      </c>
      <c r="B1687" s="25">
        <v>2016</v>
      </c>
      <c r="C1687" s="25" t="s">
        <v>2462</v>
      </c>
      <c r="D1687" s="25">
        <v>133</v>
      </c>
      <c r="E1687" s="25">
        <v>6.1</v>
      </c>
      <c r="F1687" s="25" t="str" cm="1">
        <f t="array" ref="F16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7" s="26">
        <v>2.46</v>
      </c>
      <c r="H1687" s="27">
        <v>177780</v>
      </c>
    </row>
    <row r="1688" spans="1:8" ht="18" x14ac:dyDescent="0.25">
      <c r="A1688" s="24" t="s">
        <v>2386</v>
      </c>
      <c r="B1688" s="25">
        <v>2016</v>
      </c>
      <c r="C1688" s="25" t="s">
        <v>2462</v>
      </c>
      <c r="D1688" s="25">
        <v>141</v>
      </c>
      <c r="E1688" s="25">
        <v>6.6</v>
      </c>
      <c r="F1688" s="25" t="str" cm="1">
        <f t="array" ref="F16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8" s="26">
        <v>8.58</v>
      </c>
      <c r="H1688" s="27">
        <v>97281</v>
      </c>
    </row>
    <row r="1689" spans="1:8" ht="18" x14ac:dyDescent="0.25">
      <c r="A1689" s="24" t="s">
        <v>1686</v>
      </c>
      <c r="B1689" s="25">
        <v>2016</v>
      </c>
      <c r="C1689" s="25" t="s">
        <v>2462</v>
      </c>
      <c r="D1689" s="25">
        <v>100</v>
      </c>
      <c r="E1689" s="25">
        <v>5.6</v>
      </c>
      <c r="F1689" s="25" t="str" cm="1">
        <f t="array" ref="F16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89" s="26">
        <v>2.46</v>
      </c>
      <c r="H1689" s="27">
        <v>881</v>
      </c>
    </row>
    <row r="1690" spans="1:8" ht="18" x14ac:dyDescent="0.25">
      <c r="A1690" s="24" t="s">
        <v>1688</v>
      </c>
      <c r="B1690" s="25">
        <v>2016</v>
      </c>
      <c r="C1690" s="25" t="s">
        <v>2462</v>
      </c>
      <c r="D1690" s="25">
        <v>89</v>
      </c>
      <c r="E1690" s="25">
        <v>6.3</v>
      </c>
      <c r="F1690" s="25" t="str" cm="1">
        <f t="array" ref="F16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0" s="26">
        <v>2.46</v>
      </c>
      <c r="H1690" s="27">
        <v>13606</v>
      </c>
    </row>
    <row r="1691" spans="1:8" ht="18" x14ac:dyDescent="0.25">
      <c r="A1691" s="24" t="s">
        <v>1689</v>
      </c>
      <c r="B1691" s="25">
        <v>2016</v>
      </c>
      <c r="C1691" s="25" t="s">
        <v>2462</v>
      </c>
      <c r="D1691" s="25">
        <v>108</v>
      </c>
      <c r="E1691" s="25">
        <v>6.3</v>
      </c>
      <c r="F1691" s="25" t="str" cm="1">
        <f t="array" ref="F16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1" s="26">
        <v>2.46</v>
      </c>
      <c r="H1691" s="27">
        <v>4776</v>
      </c>
    </row>
    <row r="1692" spans="1:8" ht="18" x14ac:dyDescent="0.25">
      <c r="A1692" s="24" t="s">
        <v>1695</v>
      </c>
      <c r="B1692" s="25">
        <v>2016</v>
      </c>
      <c r="C1692" s="25" t="s">
        <v>2462</v>
      </c>
      <c r="D1692" s="25">
        <v>98</v>
      </c>
      <c r="E1692" s="25">
        <v>5.6</v>
      </c>
      <c r="F1692" s="25" t="str" cm="1">
        <f t="array" ref="F16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2" s="26">
        <v>2.46</v>
      </c>
      <c r="H1692" s="27">
        <v>7780</v>
      </c>
    </row>
    <row r="1693" spans="1:8" ht="18" x14ac:dyDescent="0.25">
      <c r="A1693" s="24" t="s">
        <v>881</v>
      </c>
      <c r="B1693" s="25">
        <v>2016</v>
      </c>
      <c r="C1693" s="25" t="s">
        <v>2462</v>
      </c>
      <c r="D1693" s="25">
        <v>98</v>
      </c>
      <c r="E1693" s="25">
        <v>5.8</v>
      </c>
      <c r="F1693" s="25" t="str" cm="1">
        <f t="array" ref="F16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3" s="26">
        <v>2.46</v>
      </c>
      <c r="H1693" s="27">
        <v>4456</v>
      </c>
    </row>
    <row r="1694" spans="1:8" ht="18" x14ac:dyDescent="0.25">
      <c r="A1694" s="24" t="s">
        <v>1699</v>
      </c>
      <c r="B1694" s="25">
        <v>2016</v>
      </c>
      <c r="C1694" s="25" t="s">
        <v>2462</v>
      </c>
      <c r="D1694" s="25">
        <v>120</v>
      </c>
      <c r="E1694" s="25">
        <v>5.8</v>
      </c>
      <c r="F1694" s="25" t="str" cm="1">
        <f t="array" ref="F16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4" s="26">
        <v>1.66</v>
      </c>
      <c r="H1694" s="27">
        <v>7908</v>
      </c>
    </row>
    <row r="1695" spans="1:8" ht="18" x14ac:dyDescent="0.25">
      <c r="A1695" s="24" t="s">
        <v>1700</v>
      </c>
      <c r="B1695" s="25">
        <v>2016</v>
      </c>
      <c r="C1695" s="25" t="s">
        <v>2464</v>
      </c>
      <c r="D1695" s="25">
        <v>93</v>
      </c>
      <c r="E1695" s="25">
        <v>5.6</v>
      </c>
      <c r="F1695" s="25" t="str" cm="1">
        <f t="array" ref="F16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5" s="26">
        <v>0.01</v>
      </c>
      <c r="H1695" s="27">
        <v>8540</v>
      </c>
    </row>
    <row r="1696" spans="1:8" ht="18" x14ac:dyDescent="0.25">
      <c r="A1696" s="24" t="s">
        <v>2387</v>
      </c>
      <c r="B1696" s="25">
        <v>2016</v>
      </c>
      <c r="C1696" s="25" t="s">
        <v>2462</v>
      </c>
      <c r="D1696" s="25">
        <v>98</v>
      </c>
      <c r="E1696" s="25">
        <v>6.3</v>
      </c>
      <c r="F1696" s="25" t="str" cm="1">
        <f t="array" ref="F16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6" s="26">
        <v>2.46</v>
      </c>
      <c r="H1696" s="27">
        <v>8944</v>
      </c>
    </row>
    <row r="1697" spans="1:8" ht="18" x14ac:dyDescent="0.25">
      <c r="A1697" s="24" t="s">
        <v>2388</v>
      </c>
      <c r="B1697" s="25">
        <v>2016</v>
      </c>
      <c r="C1697" s="25" t="s">
        <v>2464</v>
      </c>
      <c r="D1697" s="25">
        <v>106</v>
      </c>
      <c r="E1697" s="25">
        <v>6</v>
      </c>
      <c r="F1697" s="25" t="str" cm="1">
        <f t="array" ref="F16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7" s="26">
        <v>2.46</v>
      </c>
      <c r="H1697" s="27">
        <v>4661</v>
      </c>
    </row>
    <row r="1698" spans="1:8" ht="18" x14ac:dyDescent="0.25">
      <c r="A1698" s="24" t="s">
        <v>1704</v>
      </c>
      <c r="B1698" s="25">
        <v>2016</v>
      </c>
      <c r="C1698" s="25" t="s">
        <v>2462</v>
      </c>
      <c r="D1698" s="25">
        <v>117</v>
      </c>
      <c r="E1698" s="25">
        <v>7.3</v>
      </c>
      <c r="F1698" s="25" t="str" cm="1">
        <f t="array" ref="F16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8" s="26">
        <v>138.29</v>
      </c>
      <c r="H1698" s="27">
        <v>534442</v>
      </c>
    </row>
    <row r="1699" spans="1:8" ht="18" x14ac:dyDescent="0.25">
      <c r="A1699" s="24" t="s">
        <v>1711</v>
      </c>
      <c r="B1699" s="25">
        <v>2016</v>
      </c>
      <c r="C1699" s="25" t="s">
        <v>2462</v>
      </c>
      <c r="D1699" s="25">
        <v>91</v>
      </c>
      <c r="E1699" s="25">
        <v>4.8</v>
      </c>
      <c r="F1699" s="25" t="str" cm="1">
        <f t="array" ref="F16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699" s="26">
        <v>6.88</v>
      </c>
      <c r="H1699" s="27">
        <v>14554</v>
      </c>
    </row>
    <row r="1700" spans="1:8" ht="18" x14ac:dyDescent="0.25">
      <c r="A1700" s="24" t="s">
        <v>1714</v>
      </c>
      <c r="B1700" s="25">
        <v>2016</v>
      </c>
      <c r="C1700" s="25" t="s">
        <v>2462</v>
      </c>
      <c r="D1700" s="25">
        <v>99</v>
      </c>
      <c r="E1700" s="25">
        <v>5.4</v>
      </c>
      <c r="F1700" s="25" t="str" cm="1">
        <f t="array" ref="F17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0" s="26">
        <v>63.29</v>
      </c>
      <c r="H1700" s="27">
        <v>48159</v>
      </c>
    </row>
    <row r="1701" spans="1:8" ht="18" x14ac:dyDescent="0.25">
      <c r="A1701" s="24" t="s">
        <v>1716</v>
      </c>
      <c r="B1701" s="25">
        <v>2016</v>
      </c>
      <c r="C1701" s="25" t="s">
        <v>2462</v>
      </c>
      <c r="D1701" s="25">
        <v>94</v>
      </c>
      <c r="E1701" s="25">
        <v>5.7</v>
      </c>
      <c r="F1701" s="25" t="str" cm="1">
        <f t="array" ref="F17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1" s="26">
        <v>0.01</v>
      </c>
      <c r="H1701" s="27">
        <v>18512</v>
      </c>
    </row>
    <row r="1702" spans="1:8" ht="18" x14ac:dyDescent="0.25">
      <c r="A1702" s="24" t="s">
        <v>1719</v>
      </c>
      <c r="B1702" s="25">
        <v>2016</v>
      </c>
      <c r="C1702" s="25" t="s">
        <v>2462</v>
      </c>
      <c r="D1702" s="25">
        <v>95</v>
      </c>
      <c r="E1702" s="25">
        <v>7</v>
      </c>
      <c r="F1702" s="25" t="str" cm="1">
        <f t="array" ref="F17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2" s="26">
        <v>2.46</v>
      </c>
      <c r="H1702" s="27">
        <v>16441</v>
      </c>
    </row>
    <row r="1703" spans="1:8" ht="18" x14ac:dyDescent="0.25">
      <c r="A1703" s="24" t="s">
        <v>1722</v>
      </c>
      <c r="B1703" s="25">
        <v>2016</v>
      </c>
      <c r="C1703" s="25" t="s">
        <v>2462</v>
      </c>
      <c r="D1703" s="25">
        <v>99</v>
      </c>
      <c r="E1703" s="25">
        <v>5.7</v>
      </c>
      <c r="F1703" s="25" t="str" cm="1">
        <f t="array" ref="F17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3" s="26">
        <v>2.2799999999999998</v>
      </c>
      <c r="H1703" s="27">
        <v>17133</v>
      </c>
    </row>
    <row r="1704" spans="1:8" ht="18" x14ac:dyDescent="0.25">
      <c r="A1704" s="24" t="s">
        <v>1723</v>
      </c>
      <c r="B1704" s="25">
        <v>2016</v>
      </c>
      <c r="C1704" s="25" t="s">
        <v>2462</v>
      </c>
      <c r="D1704" s="25">
        <v>129</v>
      </c>
      <c r="E1704" s="25">
        <v>7.4</v>
      </c>
      <c r="F1704" s="25" t="str" cm="1">
        <f t="array" ref="F17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4" s="26">
        <v>2.46</v>
      </c>
      <c r="H1704" s="27">
        <v>6023</v>
      </c>
    </row>
    <row r="1705" spans="1:8" ht="18" x14ac:dyDescent="0.25">
      <c r="A1705" s="24" t="s">
        <v>1728</v>
      </c>
      <c r="B1705" s="25">
        <v>2016</v>
      </c>
      <c r="C1705" s="25" t="s">
        <v>2462</v>
      </c>
      <c r="D1705" s="25">
        <v>108</v>
      </c>
      <c r="E1705" s="25">
        <v>7.2</v>
      </c>
      <c r="F1705" s="25" t="str" cm="1">
        <f t="array" ref="F17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5" s="26">
        <v>0.44</v>
      </c>
      <c r="H1705" s="27">
        <v>6359</v>
      </c>
    </row>
    <row r="1706" spans="1:8" ht="18" x14ac:dyDescent="0.25">
      <c r="A1706" s="24" t="s">
        <v>1729</v>
      </c>
      <c r="B1706" s="25">
        <v>2016</v>
      </c>
      <c r="C1706" s="25" t="s">
        <v>2464</v>
      </c>
      <c r="D1706" s="25">
        <v>125</v>
      </c>
      <c r="E1706" s="25">
        <v>6.5</v>
      </c>
      <c r="F1706" s="25" t="str" cm="1">
        <f t="array" ref="F17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6" s="26">
        <v>1.86</v>
      </c>
      <c r="H1706" s="27">
        <v>6179</v>
      </c>
    </row>
    <row r="1707" spans="1:8" ht="18" x14ac:dyDescent="0.25">
      <c r="A1707" s="24" t="s">
        <v>1731</v>
      </c>
      <c r="B1707" s="25">
        <v>2016</v>
      </c>
      <c r="C1707" s="25" t="s">
        <v>2464</v>
      </c>
      <c r="D1707" s="25">
        <v>91</v>
      </c>
      <c r="E1707" s="25">
        <v>5.2</v>
      </c>
      <c r="F1707" s="25" t="str" cm="1">
        <f t="array" ref="F17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7" s="26">
        <v>2.46</v>
      </c>
      <c r="H1707" s="27">
        <v>15675</v>
      </c>
    </row>
    <row r="1708" spans="1:8" ht="18" x14ac:dyDescent="0.25">
      <c r="A1708" s="24" t="s">
        <v>1732</v>
      </c>
      <c r="B1708" s="25">
        <v>2016</v>
      </c>
      <c r="C1708" s="25" t="s">
        <v>2463</v>
      </c>
      <c r="D1708" s="25">
        <v>89</v>
      </c>
      <c r="E1708" s="25">
        <v>6.2</v>
      </c>
      <c r="F1708" s="25" t="str" cm="1">
        <f t="array" ref="F17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8" s="26">
        <v>0.13</v>
      </c>
      <c r="H1708" s="27">
        <v>1196</v>
      </c>
    </row>
    <row r="1709" spans="1:8" ht="18" x14ac:dyDescent="0.25">
      <c r="A1709" s="24" t="s">
        <v>2389</v>
      </c>
      <c r="B1709" s="25">
        <v>2016</v>
      </c>
      <c r="C1709" s="25" t="s">
        <v>2462</v>
      </c>
      <c r="D1709" s="25">
        <v>120</v>
      </c>
      <c r="E1709" s="25">
        <v>6.6</v>
      </c>
      <c r="F1709" s="25" t="str" cm="1">
        <f t="array" ref="F17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09" s="26">
        <v>0.04</v>
      </c>
      <c r="H1709" s="27">
        <v>6577</v>
      </c>
    </row>
    <row r="1710" spans="1:8" ht="18" x14ac:dyDescent="0.25">
      <c r="A1710" s="24" t="s">
        <v>1735</v>
      </c>
      <c r="B1710" s="25">
        <v>2016</v>
      </c>
      <c r="C1710" s="25" t="s">
        <v>2462</v>
      </c>
      <c r="D1710" s="25">
        <v>128</v>
      </c>
      <c r="E1710" s="25">
        <v>7.3</v>
      </c>
      <c r="F1710" s="25" t="str" cm="1">
        <f t="array" ref="F17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0" s="26">
        <v>0.18</v>
      </c>
      <c r="H1710" s="27">
        <v>14502</v>
      </c>
    </row>
    <row r="1711" spans="1:8" ht="18" x14ac:dyDescent="0.25">
      <c r="A1711" s="24" t="s">
        <v>1736</v>
      </c>
      <c r="B1711" s="25">
        <v>2016</v>
      </c>
      <c r="C1711" s="25" t="s">
        <v>2462</v>
      </c>
      <c r="D1711" s="25">
        <v>106</v>
      </c>
      <c r="E1711" s="25">
        <v>6.3</v>
      </c>
      <c r="F1711" s="25" t="str" cm="1">
        <f t="array" ref="F17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1" s="26">
        <v>0.26</v>
      </c>
      <c r="H1711" s="27">
        <v>17726</v>
      </c>
    </row>
    <row r="1712" spans="1:8" ht="18" x14ac:dyDescent="0.25">
      <c r="A1712" s="24" t="s">
        <v>2390</v>
      </c>
      <c r="B1712" s="25">
        <v>2016</v>
      </c>
      <c r="C1712" s="25" t="s">
        <v>2462</v>
      </c>
      <c r="D1712" s="25">
        <v>96</v>
      </c>
      <c r="E1712" s="25">
        <v>6</v>
      </c>
      <c r="F1712" s="25" t="str" cm="1">
        <f t="array" ref="F17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2" s="26">
        <v>2.46</v>
      </c>
      <c r="H1712" s="27">
        <v>2121</v>
      </c>
    </row>
    <row r="1713" spans="1:8" ht="18" x14ac:dyDescent="0.25">
      <c r="A1713" s="24" t="s">
        <v>2391</v>
      </c>
      <c r="B1713" s="25">
        <v>2016</v>
      </c>
      <c r="C1713" s="25" t="s">
        <v>2462</v>
      </c>
      <c r="D1713" s="25">
        <v>108</v>
      </c>
      <c r="E1713" s="25">
        <v>7.5</v>
      </c>
      <c r="F1713" s="25" t="str" cm="1">
        <f t="array" ref="F17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3" s="26">
        <v>2.46</v>
      </c>
      <c r="H1713" s="27">
        <v>1541</v>
      </c>
    </row>
    <row r="1714" spans="1:8" ht="18" x14ac:dyDescent="0.25">
      <c r="A1714" s="24" t="s">
        <v>1752</v>
      </c>
      <c r="B1714" s="25">
        <v>2016</v>
      </c>
      <c r="C1714" s="25" t="s">
        <v>2462</v>
      </c>
      <c r="D1714" s="25">
        <v>98</v>
      </c>
      <c r="E1714" s="25">
        <v>6.5</v>
      </c>
      <c r="F1714" s="25" t="str" cm="1">
        <f t="array" ref="F17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4" s="26">
        <v>0.32</v>
      </c>
      <c r="H1714" s="27">
        <v>6833</v>
      </c>
    </row>
    <row r="1715" spans="1:8" ht="18" x14ac:dyDescent="0.25">
      <c r="A1715" s="24" t="s">
        <v>1759</v>
      </c>
      <c r="B1715" s="25">
        <v>2016</v>
      </c>
      <c r="C1715" s="25" t="s">
        <v>2462</v>
      </c>
      <c r="D1715" s="25">
        <v>99</v>
      </c>
      <c r="E1715" s="25">
        <v>5.5</v>
      </c>
      <c r="F1715" s="25" t="str" cm="1">
        <f t="array" ref="F17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5" s="26">
        <v>2.46</v>
      </c>
      <c r="H1715" s="27">
        <v>9059</v>
      </c>
    </row>
    <row r="1716" spans="1:8" ht="18" x14ac:dyDescent="0.25">
      <c r="A1716" s="24" t="s">
        <v>1760</v>
      </c>
      <c r="B1716" s="25">
        <v>2016</v>
      </c>
      <c r="C1716" s="25" t="s">
        <v>2462</v>
      </c>
      <c r="D1716" s="25">
        <v>104</v>
      </c>
      <c r="E1716" s="25">
        <v>5.8</v>
      </c>
      <c r="F1716" s="25" t="str" cm="1">
        <f t="array" ref="F17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6" s="26">
        <v>2.46</v>
      </c>
      <c r="H1716" s="27">
        <v>863</v>
      </c>
    </row>
    <row r="1717" spans="1:8" ht="18" x14ac:dyDescent="0.25">
      <c r="A1717" s="24" t="s">
        <v>2392</v>
      </c>
      <c r="B1717" s="25">
        <v>2016</v>
      </c>
      <c r="C1717" s="25" t="s">
        <v>2462</v>
      </c>
      <c r="D1717" s="25">
        <v>118</v>
      </c>
      <c r="E1717" s="25">
        <v>6.1</v>
      </c>
      <c r="F1717" s="25" t="str" cm="1">
        <f t="array" ref="F17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7" s="26">
        <v>3.81</v>
      </c>
      <c r="H1717" s="27">
        <v>6440</v>
      </c>
    </row>
    <row r="1718" spans="1:8" ht="18" x14ac:dyDescent="0.25">
      <c r="A1718" s="24" t="s">
        <v>2393</v>
      </c>
      <c r="B1718" s="25">
        <v>2016</v>
      </c>
      <c r="C1718" s="25" t="s">
        <v>2464</v>
      </c>
      <c r="D1718" s="25">
        <v>83</v>
      </c>
      <c r="E1718" s="25">
        <v>7.2</v>
      </c>
      <c r="F1718" s="25" t="str" cm="1">
        <f t="array" ref="F17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8" s="26">
        <v>2.46</v>
      </c>
      <c r="H1718" s="27">
        <v>1796</v>
      </c>
    </row>
    <row r="1719" spans="1:8" ht="18" x14ac:dyDescent="0.25">
      <c r="A1719" s="24" t="s">
        <v>1771</v>
      </c>
      <c r="B1719" s="25">
        <v>2016</v>
      </c>
      <c r="C1719" s="25" t="s">
        <v>2462</v>
      </c>
      <c r="D1719" s="25">
        <v>110</v>
      </c>
      <c r="E1719" s="25">
        <v>7.3</v>
      </c>
      <c r="F1719" s="25" t="str" cm="1">
        <f t="array" ref="F17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19" s="26">
        <v>2.46</v>
      </c>
      <c r="H1719" s="27">
        <v>8137</v>
      </c>
    </row>
    <row r="1720" spans="1:8" ht="18" x14ac:dyDescent="0.25">
      <c r="A1720" s="24" t="s">
        <v>1774</v>
      </c>
      <c r="B1720" s="25">
        <v>2016</v>
      </c>
      <c r="C1720" s="25" t="s">
        <v>2462</v>
      </c>
      <c r="D1720" s="25">
        <v>128</v>
      </c>
      <c r="E1720" s="25">
        <v>7.5</v>
      </c>
      <c r="F1720" s="25" t="str" cm="1">
        <f t="array" ref="F17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0" s="26">
        <v>0.03</v>
      </c>
      <c r="H1720" s="27">
        <v>6476</v>
      </c>
    </row>
    <row r="1721" spans="1:8" ht="18" x14ac:dyDescent="0.25">
      <c r="A1721" s="24" t="s">
        <v>1776</v>
      </c>
      <c r="B1721" s="25">
        <v>2016</v>
      </c>
      <c r="C1721" s="25" t="s">
        <v>2462</v>
      </c>
      <c r="D1721" s="25">
        <v>108</v>
      </c>
      <c r="E1721" s="25">
        <v>6.5</v>
      </c>
      <c r="F1721" s="25" t="str" cm="1">
        <f t="array" ref="F17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1" s="26">
        <v>2.46</v>
      </c>
      <c r="H1721" s="27">
        <v>13180</v>
      </c>
    </row>
    <row r="1722" spans="1:8" ht="18" x14ac:dyDescent="0.25">
      <c r="A1722" s="24" t="s">
        <v>1778</v>
      </c>
      <c r="B1722" s="25">
        <v>2016</v>
      </c>
      <c r="C1722" s="25" t="s">
        <v>2462</v>
      </c>
      <c r="D1722" s="25">
        <v>92</v>
      </c>
      <c r="E1722" s="25">
        <v>5.8</v>
      </c>
      <c r="F1722" s="25" t="str" cm="1">
        <f t="array" ref="F17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2" s="26">
        <v>5.62</v>
      </c>
      <c r="H1722" s="27">
        <v>9542</v>
      </c>
    </row>
    <row r="1723" spans="1:8" ht="18" x14ac:dyDescent="0.25">
      <c r="A1723" s="24" t="s">
        <v>1779</v>
      </c>
      <c r="B1723" s="25">
        <v>2016</v>
      </c>
      <c r="C1723" s="25" t="s">
        <v>2462</v>
      </c>
      <c r="D1723" s="25">
        <v>98</v>
      </c>
      <c r="E1723" s="25">
        <v>5.9</v>
      </c>
      <c r="F1723" s="25" t="str" cm="1">
        <f t="array" ref="F17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3" s="26">
        <v>0.01</v>
      </c>
      <c r="H1723" s="27">
        <v>2469</v>
      </c>
    </row>
    <row r="1724" spans="1:8" ht="18" x14ac:dyDescent="0.25">
      <c r="A1724" s="24" t="s">
        <v>2394</v>
      </c>
      <c r="B1724" s="25">
        <v>2016</v>
      </c>
      <c r="C1724" s="25" t="s">
        <v>2462</v>
      </c>
      <c r="D1724" s="25">
        <v>88</v>
      </c>
      <c r="E1724" s="25">
        <v>7.1</v>
      </c>
      <c r="F1724" s="25" t="str" cm="1">
        <f t="array" ref="F17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4" s="26">
        <v>0.1</v>
      </c>
      <c r="H1724" s="27">
        <v>2916</v>
      </c>
    </row>
    <row r="1725" spans="1:8" ht="18" x14ac:dyDescent="0.25">
      <c r="A1725" s="24" t="s">
        <v>1784</v>
      </c>
      <c r="B1725" s="25">
        <v>2016</v>
      </c>
      <c r="C1725" s="25" t="s">
        <v>2462</v>
      </c>
      <c r="D1725" s="25">
        <v>100</v>
      </c>
      <c r="E1725" s="25">
        <v>6.9</v>
      </c>
      <c r="F1725" s="25" t="str" cm="1">
        <f t="array" ref="F17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5" s="26">
        <v>2.46</v>
      </c>
      <c r="H1725" s="27">
        <v>1374</v>
      </c>
    </row>
    <row r="1726" spans="1:8" ht="18" x14ac:dyDescent="0.25">
      <c r="A1726" s="24" t="s">
        <v>1785</v>
      </c>
      <c r="B1726" s="25">
        <v>2016</v>
      </c>
      <c r="C1726" s="25" t="s">
        <v>2462</v>
      </c>
      <c r="D1726" s="25">
        <v>115</v>
      </c>
      <c r="E1726" s="25">
        <v>7.6</v>
      </c>
      <c r="F1726" s="25" t="str" cm="1">
        <f t="array" ref="F17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6" s="26">
        <v>6.17</v>
      </c>
      <c r="H1726" s="27">
        <v>20278</v>
      </c>
    </row>
    <row r="1727" spans="1:8" ht="18" x14ac:dyDescent="0.25">
      <c r="A1727" s="24" t="s">
        <v>1787</v>
      </c>
      <c r="B1727" s="25">
        <v>2016</v>
      </c>
      <c r="C1727" s="25" t="s">
        <v>2462</v>
      </c>
      <c r="D1727" s="25">
        <v>110</v>
      </c>
      <c r="E1727" s="25">
        <v>6.5</v>
      </c>
      <c r="F1727" s="25" t="str" cm="1">
        <f t="array" ref="F17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7" s="26">
        <v>2.46</v>
      </c>
      <c r="H1727" s="27">
        <v>2711</v>
      </c>
    </row>
    <row r="1728" spans="1:8" ht="18" x14ac:dyDescent="0.25">
      <c r="A1728" s="24" t="s">
        <v>1791</v>
      </c>
      <c r="B1728" s="25">
        <v>2016</v>
      </c>
      <c r="C1728" s="25" t="s">
        <v>2462</v>
      </c>
      <c r="D1728" s="25">
        <v>112</v>
      </c>
      <c r="E1728" s="25">
        <v>5.9</v>
      </c>
      <c r="F1728" s="25" t="str" cm="1">
        <f t="array" ref="F17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8" s="26">
        <v>2.46</v>
      </c>
      <c r="H1728" s="27">
        <v>5500</v>
      </c>
    </row>
    <row r="1729" spans="1:8" ht="18" x14ac:dyDescent="0.25">
      <c r="A1729" s="24" t="s">
        <v>1792</v>
      </c>
      <c r="B1729" s="25">
        <v>2016</v>
      </c>
      <c r="C1729" s="25" t="s">
        <v>2462</v>
      </c>
      <c r="D1729" s="25">
        <v>94</v>
      </c>
      <c r="E1729" s="25">
        <v>6.2</v>
      </c>
      <c r="F1729" s="25" t="str" cm="1">
        <f t="array" ref="F17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29" s="26">
        <v>2.46</v>
      </c>
      <c r="H1729" s="27">
        <v>11322</v>
      </c>
    </row>
    <row r="1730" spans="1:8" ht="18" x14ac:dyDescent="0.25">
      <c r="A1730" s="24" t="s">
        <v>2395</v>
      </c>
      <c r="B1730" s="25">
        <v>2016</v>
      </c>
      <c r="C1730" s="25" t="s">
        <v>2462</v>
      </c>
      <c r="D1730" s="25">
        <v>110</v>
      </c>
      <c r="E1730" s="25">
        <v>6.5</v>
      </c>
      <c r="F1730" s="25" t="str" cm="1">
        <f t="array" ref="F17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0" s="26">
        <v>1.4</v>
      </c>
      <c r="H1730" s="27">
        <v>1497</v>
      </c>
    </row>
    <row r="1731" spans="1:8" ht="18" x14ac:dyDescent="0.25">
      <c r="A1731" s="24" t="s">
        <v>2396</v>
      </c>
      <c r="B1731" s="25">
        <v>2016</v>
      </c>
      <c r="C1731" s="25" t="s">
        <v>2462</v>
      </c>
      <c r="D1731" s="25">
        <v>66</v>
      </c>
      <c r="E1731" s="25">
        <v>7.8</v>
      </c>
      <c r="F1731" s="25" t="str" cm="1">
        <f t="array" ref="F17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1" s="26">
        <v>0.28999999999999998</v>
      </c>
      <c r="H1731" s="27">
        <v>28188</v>
      </c>
    </row>
    <row r="1732" spans="1:8" ht="18" x14ac:dyDescent="0.25">
      <c r="A1732" s="24" t="s">
        <v>2397</v>
      </c>
      <c r="B1732" s="25">
        <v>2016</v>
      </c>
      <c r="C1732" s="25" t="s">
        <v>2462</v>
      </c>
      <c r="D1732" s="25">
        <v>93</v>
      </c>
      <c r="E1732" s="25">
        <v>6.1</v>
      </c>
      <c r="F1732" s="25" t="str" cm="1">
        <f t="array" ref="F17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2" s="26">
        <v>2.46</v>
      </c>
      <c r="H1732" s="27">
        <v>446</v>
      </c>
    </row>
    <row r="1733" spans="1:8" ht="18" x14ac:dyDescent="0.25">
      <c r="A1733" s="24" t="s">
        <v>1824</v>
      </c>
      <c r="B1733" s="25">
        <v>2016</v>
      </c>
      <c r="C1733" s="25" t="s">
        <v>2462</v>
      </c>
      <c r="D1733" s="25">
        <v>118</v>
      </c>
      <c r="E1733" s="25">
        <v>6.9</v>
      </c>
      <c r="F1733" s="25" t="str" cm="1">
        <f t="array" ref="F17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3" s="26">
        <v>0</v>
      </c>
      <c r="H1733" s="27">
        <v>5980</v>
      </c>
    </row>
    <row r="1734" spans="1:8" ht="18" x14ac:dyDescent="0.25">
      <c r="A1734" s="24" t="s">
        <v>2398</v>
      </c>
      <c r="B1734" s="25">
        <v>2016</v>
      </c>
      <c r="C1734" s="25" t="s">
        <v>2462</v>
      </c>
      <c r="D1734" s="25">
        <v>100</v>
      </c>
      <c r="E1734" s="25">
        <v>6.8</v>
      </c>
      <c r="F1734" s="25" t="str" cm="1">
        <f t="array" ref="F17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4" s="26">
        <v>2.46</v>
      </c>
      <c r="H1734" s="27">
        <v>5474</v>
      </c>
    </row>
    <row r="1735" spans="1:8" ht="18" x14ac:dyDescent="0.25">
      <c r="A1735" s="24" t="s">
        <v>1849</v>
      </c>
      <c r="B1735" s="25">
        <v>2016</v>
      </c>
      <c r="C1735" s="25" t="s">
        <v>2462</v>
      </c>
      <c r="D1735" s="25">
        <v>80</v>
      </c>
      <c r="E1735" s="25">
        <v>5.9</v>
      </c>
      <c r="F1735" s="25" t="str" cm="1">
        <f t="array" ref="F17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5" s="26">
        <v>2.46</v>
      </c>
      <c r="H1735" s="27">
        <v>1797</v>
      </c>
    </row>
    <row r="1736" spans="1:8" ht="18" x14ac:dyDescent="0.25">
      <c r="A1736" s="24" t="s">
        <v>1853</v>
      </c>
      <c r="B1736" s="25">
        <v>2016</v>
      </c>
      <c r="C1736" s="25" t="s">
        <v>2462</v>
      </c>
      <c r="D1736" s="25">
        <v>102</v>
      </c>
      <c r="E1736" s="25">
        <v>7.4</v>
      </c>
      <c r="F1736" s="25" t="str" cm="1">
        <f t="array" ref="F17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6" s="26">
        <v>0.1</v>
      </c>
      <c r="H1736" s="27">
        <v>3118</v>
      </c>
    </row>
    <row r="1737" spans="1:8" ht="18" x14ac:dyDescent="0.25">
      <c r="A1737" s="24" t="s">
        <v>1865</v>
      </c>
      <c r="B1737" s="25">
        <v>2016</v>
      </c>
      <c r="C1737" s="25" t="s">
        <v>2462</v>
      </c>
      <c r="D1737" s="25">
        <v>98</v>
      </c>
      <c r="E1737" s="25">
        <v>6.1</v>
      </c>
      <c r="F1737" s="25" t="str" cm="1">
        <f t="array" ref="F17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7" s="26">
        <v>0.03</v>
      </c>
      <c r="H1737" s="27">
        <v>6413</v>
      </c>
    </row>
    <row r="1738" spans="1:8" ht="18" x14ac:dyDescent="0.25">
      <c r="A1738" s="24" t="s">
        <v>1867</v>
      </c>
      <c r="B1738" s="25">
        <v>2016</v>
      </c>
      <c r="C1738" s="25" t="s">
        <v>2462</v>
      </c>
      <c r="D1738" s="25">
        <v>93</v>
      </c>
      <c r="E1738" s="25">
        <v>5.6</v>
      </c>
      <c r="F1738" s="25" t="str" cm="1">
        <f t="array" ref="F17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8" s="26">
        <v>2.46</v>
      </c>
      <c r="H1738" s="27">
        <v>703</v>
      </c>
    </row>
    <row r="1739" spans="1:8" ht="18" x14ac:dyDescent="0.25">
      <c r="A1739" s="24" t="s">
        <v>1876</v>
      </c>
      <c r="B1739" s="25">
        <v>2016</v>
      </c>
      <c r="C1739" s="25" t="s">
        <v>2462</v>
      </c>
      <c r="D1739" s="25">
        <v>89</v>
      </c>
      <c r="E1739" s="25">
        <v>6.5</v>
      </c>
      <c r="F1739" s="25" t="str" cm="1">
        <f t="array" ref="F17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39" s="26">
        <v>0.02</v>
      </c>
      <c r="H1739" s="27">
        <v>43267</v>
      </c>
    </row>
    <row r="1740" spans="1:8" ht="18" x14ac:dyDescent="0.25">
      <c r="A1740" s="24" t="s">
        <v>1885</v>
      </c>
      <c r="B1740" s="25">
        <v>2016</v>
      </c>
      <c r="C1740" s="25" t="s">
        <v>2462</v>
      </c>
      <c r="D1740" s="25">
        <v>93</v>
      </c>
      <c r="E1740" s="25">
        <v>7.5</v>
      </c>
      <c r="F1740" s="25" t="str" cm="1">
        <f t="array" ref="F17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0" s="26">
        <v>0.1</v>
      </c>
      <c r="H1740" s="27">
        <v>4806</v>
      </c>
    </row>
    <row r="1741" spans="1:8" ht="18" x14ac:dyDescent="0.25">
      <c r="A1741" s="24" t="s">
        <v>1887</v>
      </c>
      <c r="B1741" s="25">
        <v>2016</v>
      </c>
      <c r="C1741" s="25" t="s">
        <v>2462</v>
      </c>
      <c r="D1741" s="25">
        <v>89</v>
      </c>
      <c r="E1741" s="25">
        <v>6.7</v>
      </c>
      <c r="F1741" s="25" t="str" cm="1">
        <f t="array" ref="F17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1" s="26">
        <v>24.7</v>
      </c>
      <c r="H1741" s="27">
        <v>23865</v>
      </c>
    </row>
    <row r="1742" spans="1:8" ht="18" x14ac:dyDescent="0.25">
      <c r="A1742" s="24" t="s">
        <v>2399</v>
      </c>
      <c r="B1742" s="25">
        <v>2016</v>
      </c>
      <c r="C1742" s="25" t="s">
        <v>2462</v>
      </c>
      <c r="D1742" s="25">
        <v>98</v>
      </c>
      <c r="E1742" s="25">
        <v>6.5</v>
      </c>
      <c r="F1742" s="25" t="str" cm="1">
        <f t="array" ref="F17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2" s="26">
        <v>2.4700000000000002</v>
      </c>
      <c r="H1742" s="27">
        <v>7502</v>
      </c>
    </row>
    <row r="1743" spans="1:8" ht="18" x14ac:dyDescent="0.25">
      <c r="A1743" s="24" t="s">
        <v>1902</v>
      </c>
      <c r="B1743" s="25">
        <v>2016</v>
      </c>
      <c r="C1743" s="25" t="s">
        <v>2462</v>
      </c>
      <c r="D1743" s="25">
        <v>85</v>
      </c>
      <c r="E1743" s="25">
        <v>7.8</v>
      </c>
      <c r="F1743" s="25" t="str" cm="1">
        <f t="array" ref="F17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3" s="26">
        <v>0.04</v>
      </c>
      <c r="H1743" s="27">
        <v>3142</v>
      </c>
    </row>
    <row r="1744" spans="1:8" ht="18" x14ac:dyDescent="0.25">
      <c r="A1744" s="24" t="s">
        <v>2400</v>
      </c>
      <c r="B1744" s="25">
        <v>2016</v>
      </c>
      <c r="C1744" s="25" t="s">
        <v>2462</v>
      </c>
      <c r="D1744" s="25">
        <v>97</v>
      </c>
      <c r="E1744" s="25">
        <v>6.1</v>
      </c>
      <c r="F1744" s="25" t="str" cm="1">
        <f t="array" ref="F17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4" s="26">
        <v>2.46</v>
      </c>
      <c r="H1744" s="27">
        <v>4143</v>
      </c>
    </row>
    <row r="1745" spans="1:8" ht="18" x14ac:dyDescent="0.25">
      <c r="A1745" s="24" t="s">
        <v>1932</v>
      </c>
      <c r="B1745" s="25">
        <v>2016</v>
      </c>
      <c r="C1745" s="25" t="s">
        <v>2462</v>
      </c>
      <c r="D1745" s="25">
        <v>201</v>
      </c>
      <c r="E1745" s="25">
        <v>7.7</v>
      </c>
      <c r="F1745" s="25" t="str" cm="1">
        <f t="array" ref="F17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5" s="26">
        <v>0.04</v>
      </c>
      <c r="H1745" s="27">
        <v>963</v>
      </c>
    </row>
    <row r="1746" spans="1:8" ht="18" x14ac:dyDescent="0.25">
      <c r="A1746" s="24" t="s">
        <v>1938</v>
      </c>
      <c r="B1746" s="25">
        <v>2016</v>
      </c>
      <c r="C1746" s="25" t="s">
        <v>2462</v>
      </c>
      <c r="D1746" s="25">
        <v>109</v>
      </c>
      <c r="E1746" s="25">
        <v>6.2</v>
      </c>
      <c r="F1746" s="25" t="str" cm="1">
        <f t="array" ref="F17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6" s="26">
        <v>3.02</v>
      </c>
      <c r="H1746" s="27">
        <v>68018</v>
      </c>
    </row>
    <row r="1747" spans="1:8" ht="18" x14ac:dyDescent="0.25">
      <c r="A1747" s="24" t="s">
        <v>1943</v>
      </c>
      <c r="B1747" s="25">
        <v>2016</v>
      </c>
      <c r="C1747" s="25" t="s">
        <v>2462</v>
      </c>
      <c r="D1747" s="25">
        <v>89</v>
      </c>
      <c r="E1747" s="25">
        <v>6.8</v>
      </c>
      <c r="F1747" s="25" t="str" cm="1">
        <f t="array" ref="F17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7" s="26">
        <v>1.1299999999999999</v>
      </c>
      <c r="H1747" s="27">
        <v>26033</v>
      </c>
    </row>
    <row r="1748" spans="1:8" ht="18" x14ac:dyDescent="0.25">
      <c r="A1748" s="24" t="s">
        <v>1475</v>
      </c>
      <c r="B1748" s="25">
        <v>2017</v>
      </c>
      <c r="C1748" s="25" t="s">
        <v>2463</v>
      </c>
      <c r="D1748" s="25">
        <v>84</v>
      </c>
      <c r="E1748" s="25">
        <v>4.2</v>
      </c>
      <c r="F1748" s="25" t="str" cm="1">
        <f t="array" ref="F17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8" s="26">
        <v>2.46</v>
      </c>
      <c r="H1748" s="27">
        <v>1710</v>
      </c>
    </row>
    <row r="1749" spans="1:8" ht="18" x14ac:dyDescent="0.25">
      <c r="A1749" s="24" t="s">
        <v>1552</v>
      </c>
      <c r="B1749" s="25">
        <v>2017</v>
      </c>
      <c r="C1749" s="25" t="s">
        <v>2462</v>
      </c>
      <c r="D1749" s="25">
        <v>100</v>
      </c>
      <c r="E1749" s="25">
        <v>5.9</v>
      </c>
      <c r="F1749" s="25" t="str" cm="1">
        <f t="array" ref="F17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49" s="26">
        <v>2.46</v>
      </c>
      <c r="H1749" s="27">
        <v>507</v>
      </c>
    </row>
    <row r="1750" spans="1:8" ht="18" x14ac:dyDescent="0.25">
      <c r="A1750" s="24" t="s">
        <v>2167</v>
      </c>
      <c r="B1750" s="25">
        <v>2017</v>
      </c>
      <c r="C1750" s="25" t="s">
        <v>2462</v>
      </c>
      <c r="D1750" s="25">
        <v>129</v>
      </c>
      <c r="E1750" s="25">
        <v>7.1</v>
      </c>
      <c r="F1750" s="25" t="str" cm="1">
        <f t="array" ref="F17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0" s="26">
        <v>504.01</v>
      </c>
      <c r="H1750" s="27">
        <v>327439</v>
      </c>
    </row>
    <row r="1751" spans="1:8" ht="18" x14ac:dyDescent="0.25">
      <c r="A1751" s="24" t="s">
        <v>2401</v>
      </c>
      <c r="B1751" s="25">
        <v>2017</v>
      </c>
      <c r="C1751" s="25" t="s">
        <v>2463</v>
      </c>
      <c r="D1751" s="25">
        <v>90</v>
      </c>
      <c r="E1751" s="25">
        <v>5.9</v>
      </c>
      <c r="F1751" s="25" t="str" cm="1">
        <f t="array" ref="F17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1" s="26">
        <v>2.46</v>
      </c>
      <c r="H1751" s="27">
        <v>24040</v>
      </c>
    </row>
    <row r="1752" spans="1:8" ht="18" x14ac:dyDescent="0.25">
      <c r="A1752" s="24" t="s">
        <v>2402</v>
      </c>
      <c r="B1752" s="25">
        <v>2017</v>
      </c>
      <c r="C1752" s="25" t="s">
        <v>2462</v>
      </c>
      <c r="D1752" s="25">
        <v>80</v>
      </c>
      <c r="E1752" s="25">
        <v>4.5999999999999996</v>
      </c>
      <c r="F1752" s="25" t="str" cm="1">
        <f t="array" ref="F17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2" s="26">
        <v>0.03</v>
      </c>
      <c r="H1752" s="27">
        <v>12275</v>
      </c>
    </row>
    <row r="1753" spans="1:8" ht="18" x14ac:dyDescent="0.25">
      <c r="A1753" s="24" t="s">
        <v>2403</v>
      </c>
      <c r="B1753" s="25">
        <v>2017</v>
      </c>
      <c r="C1753" s="25" t="s">
        <v>2463</v>
      </c>
      <c r="D1753" s="25">
        <v>93</v>
      </c>
      <c r="E1753" s="25">
        <v>6.9</v>
      </c>
      <c r="F1753" s="25" t="str" cm="1">
        <f t="array" ref="F17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3" s="26">
        <v>2.46</v>
      </c>
      <c r="H1753" s="27">
        <v>62697</v>
      </c>
    </row>
    <row r="1754" spans="1:8" ht="18" x14ac:dyDescent="0.25">
      <c r="A1754" s="24" t="s">
        <v>1596</v>
      </c>
      <c r="B1754" s="25">
        <v>2017</v>
      </c>
      <c r="C1754" s="25" t="s">
        <v>2463</v>
      </c>
      <c r="D1754" s="25">
        <v>94</v>
      </c>
      <c r="E1754" s="25">
        <v>5.7</v>
      </c>
      <c r="F1754" s="25" t="str" cm="1">
        <f t="array" ref="F17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4" s="26">
        <v>2.46</v>
      </c>
      <c r="H1754" s="27">
        <v>26379</v>
      </c>
    </row>
    <row r="1755" spans="1:8" ht="18" x14ac:dyDescent="0.25">
      <c r="A1755" s="24" t="s">
        <v>1606</v>
      </c>
      <c r="B1755" s="25">
        <v>2017</v>
      </c>
      <c r="C1755" s="25" t="s">
        <v>2462</v>
      </c>
      <c r="D1755" s="25">
        <v>137</v>
      </c>
      <c r="E1755" s="25">
        <v>8.1</v>
      </c>
      <c r="F1755" s="25" t="str" cm="1">
        <f t="array" ref="F17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5" s="26">
        <v>226.28</v>
      </c>
      <c r="H1755" s="27">
        <v>809547</v>
      </c>
    </row>
    <row r="1756" spans="1:8" ht="18" x14ac:dyDescent="0.25">
      <c r="A1756" s="24" t="s">
        <v>2404</v>
      </c>
      <c r="B1756" s="25">
        <v>2017</v>
      </c>
      <c r="C1756" s="25" t="s">
        <v>2462</v>
      </c>
      <c r="D1756" s="25">
        <v>100</v>
      </c>
      <c r="E1756" s="25">
        <v>7.2</v>
      </c>
      <c r="F1756" s="25" t="str" cm="1">
        <f t="array" ref="F17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6" s="26">
        <v>64.510000000000005</v>
      </c>
      <c r="H1756" s="27">
        <v>77180</v>
      </c>
    </row>
    <row r="1757" spans="1:8" ht="18" x14ac:dyDescent="0.25">
      <c r="A1757" s="24" t="s">
        <v>2405</v>
      </c>
      <c r="B1757" s="25">
        <v>2017</v>
      </c>
      <c r="C1757" s="25" t="s">
        <v>2462</v>
      </c>
      <c r="D1757" s="25">
        <v>91</v>
      </c>
      <c r="E1757" s="25">
        <v>6.1</v>
      </c>
      <c r="F1757" s="25" t="str" cm="1">
        <f t="array" ref="F17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7" s="26">
        <v>2.46</v>
      </c>
      <c r="H1757" s="27">
        <v>7193</v>
      </c>
    </row>
    <row r="1758" spans="1:8" ht="18" x14ac:dyDescent="0.25">
      <c r="A1758" s="24" t="s">
        <v>1619</v>
      </c>
      <c r="B1758" s="25">
        <v>2017</v>
      </c>
      <c r="C1758" s="25" t="s">
        <v>2462</v>
      </c>
      <c r="D1758" s="25">
        <v>86</v>
      </c>
      <c r="E1758" s="25">
        <v>5.8</v>
      </c>
      <c r="F1758" s="25" t="str" cm="1">
        <f t="array" ref="F17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8" s="26">
        <v>2.46</v>
      </c>
      <c r="H1758" s="27">
        <v>7777</v>
      </c>
    </row>
    <row r="1759" spans="1:8" ht="18" x14ac:dyDescent="0.25">
      <c r="A1759" s="24" t="s">
        <v>2406</v>
      </c>
      <c r="B1759" s="25">
        <v>2017</v>
      </c>
      <c r="C1759" s="25" t="s">
        <v>2462</v>
      </c>
      <c r="D1759" s="25">
        <v>97</v>
      </c>
      <c r="E1759" s="25">
        <v>5.0999999999999996</v>
      </c>
      <c r="F1759" s="25" t="str" cm="1">
        <f t="array" ref="F17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59" s="26">
        <v>2.46</v>
      </c>
      <c r="H1759" s="27">
        <v>1018</v>
      </c>
    </row>
    <row r="1760" spans="1:8" ht="18" x14ac:dyDescent="0.25">
      <c r="A1760" s="24" t="s">
        <v>1626</v>
      </c>
      <c r="B1760" s="25">
        <v>2017</v>
      </c>
      <c r="C1760" s="25" t="s">
        <v>2462</v>
      </c>
      <c r="D1760" s="25">
        <v>102</v>
      </c>
      <c r="E1760" s="25">
        <v>6.2</v>
      </c>
      <c r="F1760" s="25" t="str" cm="1">
        <f t="array" ref="F17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0" s="26">
        <v>2.46</v>
      </c>
      <c r="H1760" s="27">
        <v>36702</v>
      </c>
    </row>
    <row r="1761" spans="1:8" ht="18" x14ac:dyDescent="0.25">
      <c r="A1761" s="24" t="s">
        <v>1632</v>
      </c>
      <c r="B1761" s="25">
        <v>2017</v>
      </c>
      <c r="C1761" s="25" t="s">
        <v>2462</v>
      </c>
      <c r="D1761" s="25">
        <v>120</v>
      </c>
      <c r="E1761" s="25">
        <v>6.4</v>
      </c>
      <c r="F1761" s="25" t="str" cm="1">
        <f t="array" ref="F17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1" s="26">
        <v>7.89</v>
      </c>
      <c r="H1761" s="27">
        <v>55508</v>
      </c>
    </row>
    <row r="1762" spans="1:8" ht="18" x14ac:dyDescent="0.25">
      <c r="A1762" s="24" t="s">
        <v>1635</v>
      </c>
      <c r="B1762" s="25">
        <v>2017</v>
      </c>
      <c r="C1762" s="25" t="s">
        <v>2462</v>
      </c>
      <c r="D1762" s="25">
        <v>91</v>
      </c>
      <c r="E1762" s="25">
        <v>6.5</v>
      </c>
      <c r="F1762" s="25" t="str" cm="1">
        <f t="array" ref="F17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2" s="26">
        <v>2.46</v>
      </c>
      <c r="H1762" s="27">
        <v>327</v>
      </c>
    </row>
    <row r="1763" spans="1:8" ht="18" x14ac:dyDescent="0.25">
      <c r="A1763" s="24" t="s">
        <v>1972</v>
      </c>
      <c r="B1763" s="25">
        <v>2017</v>
      </c>
      <c r="C1763" s="25" t="s">
        <v>2463</v>
      </c>
      <c r="D1763" s="25">
        <v>107</v>
      </c>
      <c r="E1763" s="25">
        <v>6.3</v>
      </c>
      <c r="F1763" s="25" t="str" cm="1">
        <f t="array" ref="F17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3" s="26">
        <v>40.56</v>
      </c>
      <c r="H1763" s="27">
        <v>224420</v>
      </c>
    </row>
    <row r="1764" spans="1:8" ht="18" x14ac:dyDescent="0.25">
      <c r="A1764" s="24" t="s">
        <v>1638</v>
      </c>
      <c r="B1764" s="25">
        <v>2017</v>
      </c>
      <c r="C1764" s="25" t="s">
        <v>2462</v>
      </c>
      <c r="D1764" s="25">
        <v>92</v>
      </c>
      <c r="E1764" s="25">
        <v>5</v>
      </c>
      <c r="F1764" s="25" t="str" cm="1">
        <f t="array" ref="F17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4" s="26">
        <v>2.46</v>
      </c>
      <c r="H1764" s="27">
        <v>7764</v>
      </c>
    </row>
    <row r="1765" spans="1:8" ht="18" x14ac:dyDescent="0.25">
      <c r="A1765" s="24" t="s">
        <v>1642</v>
      </c>
      <c r="B1765" s="25">
        <v>2017</v>
      </c>
      <c r="C1765" s="25" t="s">
        <v>2462</v>
      </c>
      <c r="D1765" s="25">
        <v>94</v>
      </c>
      <c r="E1765" s="25">
        <v>4.8</v>
      </c>
      <c r="F1765" s="25" t="str" cm="1">
        <f t="array" ref="F17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5" s="26">
        <v>2.46</v>
      </c>
      <c r="H1765" s="27">
        <v>5521</v>
      </c>
    </row>
    <row r="1766" spans="1:8" ht="18" x14ac:dyDescent="0.25">
      <c r="A1766" s="24" t="s">
        <v>1645</v>
      </c>
      <c r="B1766" s="25">
        <v>2017</v>
      </c>
      <c r="C1766" s="25" t="s">
        <v>2462</v>
      </c>
      <c r="D1766" s="25">
        <v>90</v>
      </c>
      <c r="E1766" s="25">
        <v>7.3</v>
      </c>
      <c r="F1766" s="25" t="str" cm="1">
        <f t="array" ref="F17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6" s="26">
        <v>2.46</v>
      </c>
      <c r="H1766" s="27">
        <v>6812</v>
      </c>
    </row>
    <row r="1767" spans="1:8" ht="18" x14ac:dyDescent="0.25">
      <c r="A1767" s="24" t="s">
        <v>1109</v>
      </c>
      <c r="B1767" s="25">
        <v>2017</v>
      </c>
      <c r="C1767" s="25" t="s">
        <v>2462</v>
      </c>
      <c r="D1767" s="25">
        <v>104</v>
      </c>
      <c r="E1767" s="25">
        <v>6.6</v>
      </c>
      <c r="F1767" s="25" t="str" cm="1">
        <f t="array" ref="F17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7" s="26">
        <v>30.23</v>
      </c>
      <c r="H1767" s="27">
        <v>246308</v>
      </c>
    </row>
    <row r="1768" spans="1:8" ht="18" x14ac:dyDescent="0.25">
      <c r="A1768" s="24" t="s">
        <v>2407</v>
      </c>
      <c r="B1768" s="25">
        <v>2017</v>
      </c>
      <c r="C1768" s="25" t="s">
        <v>2462</v>
      </c>
      <c r="D1768" s="25">
        <v>94</v>
      </c>
      <c r="E1768" s="25">
        <v>5.3</v>
      </c>
      <c r="F1768" s="25" t="str" cm="1">
        <f t="array" ref="F17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8" s="26">
        <v>2.46</v>
      </c>
      <c r="H1768" s="27">
        <v>20585</v>
      </c>
    </row>
    <row r="1769" spans="1:8" ht="18" x14ac:dyDescent="0.25">
      <c r="A1769" s="24" t="s">
        <v>1652</v>
      </c>
      <c r="B1769" s="25">
        <v>2017</v>
      </c>
      <c r="C1769" s="25" t="s">
        <v>2462</v>
      </c>
      <c r="D1769" s="25">
        <v>124</v>
      </c>
      <c r="E1769" s="25">
        <v>5.9</v>
      </c>
      <c r="F1769" s="25" t="str" cm="1">
        <f t="array" ref="F17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69" s="26">
        <v>85.36</v>
      </c>
      <c r="H1769" s="27">
        <v>112570</v>
      </c>
    </row>
    <row r="1770" spans="1:8" ht="18" x14ac:dyDescent="0.25">
      <c r="A1770" s="24" t="s">
        <v>2408</v>
      </c>
      <c r="B1770" s="25">
        <v>2017</v>
      </c>
      <c r="C1770" s="25" t="s">
        <v>2462</v>
      </c>
      <c r="D1770" s="25">
        <v>91</v>
      </c>
      <c r="E1770" s="25">
        <v>5.5</v>
      </c>
      <c r="F1770" s="25" t="str" cm="1">
        <f t="array" ref="F17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0" s="26">
        <v>2.46</v>
      </c>
      <c r="H1770" s="27">
        <v>10217</v>
      </c>
    </row>
    <row r="1771" spans="1:8" ht="18" x14ac:dyDescent="0.25">
      <c r="A1771" s="24" t="s">
        <v>1654</v>
      </c>
      <c r="B1771" s="25">
        <v>2017</v>
      </c>
      <c r="C1771" s="25" t="s">
        <v>2462</v>
      </c>
      <c r="D1771" s="25">
        <v>104</v>
      </c>
      <c r="E1771" s="25">
        <v>7.8</v>
      </c>
      <c r="F1771" s="25" t="str" cm="1">
        <f t="array" ref="F17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1" s="26">
        <v>176.04</v>
      </c>
      <c r="H1771" s="27">
        <v>669678</v>
      </c>
    </row>
    <row r="1772" spans="1:8" ht="18" x14ac:dyDescent="0.25">
      <c r="A1772" s="24" t="s">
        <v>1655</v>
      </c>
      <c r="B1772" s="25">
        <v>2017</v>
      </c>
      <c r="C1772" s="25" t="s">
        <v>2462</v>
      </c>
      <c r="D1772" s="25">
        <v>130</v>
      </c>
      <c r="E1772" s="25">
        <v>5.2</v>
      </c>
      <c r="F1772" s="25" t="str" cm="1">
        <f t="array" ref="F17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2" s="26">
        <v>2.46</v>
      </c>
      <c r="H1772" s="27">
        <v>18458</v>
      </c>
    </row>
    <row r="1773" spans="1:8" ht="18" x14ac:dyDescent="0.25">
      <c r="A1773" s="24" t="s">
        <v>1656</v>
      </c>
      <c r="B1773" s="25">
        <v>2017</v>
      </c>
      <c r="C1773" s="25" t="s">
        <v>2462</v>
      </c>
      <c r="D1773" s="25">
        <v>113</v>
      </c>
      <c r="E1773" s="25">
        <v>6.3</v>
      </c>
      <c r="F1773" s="25" t="str" cm="1">
        <f t="array" ref="F17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3" s="26">
        <v>2.46</v>
      </c>
      <c r="H1773" s="27">
        <v>26293</v>
      </c>
    </row>
    <row r="1774" spans="1:8" ht="18" x14ac:dyDescent="0.25">
      <c r="A1774" s="24" t="s">
        <v>1657</v>
      </c>
      <c r="B1774" s="25">
        <v>2017</v>
      </c>
      <c r="C1774" s="25" t="s">
        <v>2462</v>
      </c>
      <c r="D1774" s="25">
        <v>91</v>
      </c>
      <c r="E1774" s="25">
        <v>4.7</v>
      </c>
      <c r="F1774" s="25" t="str" cm="1">
        <f t="array" ref="F17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4" s="26">
        <v>2.46</v>
      </c>
      <c r="H1774" s="27">
        <v>8436</v>
      </c>
    </row>
    <row r="1775" spans="1:8" ht="18" x14ac:dyDescent="0.25">
      <c r="A1775" s="24" t="s">
        <v>2409</v>
      </c>
      <c r="B1775" s="25">
        <v>2017</v>
      </c>
      <c r="C1775" s="25" t="s">
        <v>2462</v>
      </c>
      <c r="D1775" s="25">
        <v>129</v>
      </c>
      <c r="E1775" s="25">
        <v>5.6</v>
      </c>
      <c r="F1775" s="25" t="str" cm="1">
        <f t="array" ref="F17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5" s="26">
        <v>0.44</v>
      </c>
      <c r="H1775" s="27">
        <v>22093</v>
      </c>
    </row>
    <row r="1776" spans="1:8" ht="18" x14ac:dyDescent="0.25">
      <c r="A1776" s="24" t="s">
        <v>1659</v>
      </c>
      <c r="B1776" s="25">
        <v>2017</v>
      </c>
      <c r="C1776" s="25" t="s">
        <v>2462</v>
      </c>
      <c r="D1776" s="25">
        <v>91</v>
      </c>
      <c r="E1776" s="25">
        <v>5.4</v>
      </c>
      <c r="F1776" s="25" t="str" cm="1">
        <f t="array" ref="F17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6" s="26">
        <v>2.46</v>
      </c>
      <c r="H1776" s="27">
        <v>6693</v>
      </c>
    </row>
    <row r="1777" spans="1:8" ht="18" x14ac:dyDescent="0.25">
      <c r="A1777" s="24" t="s">
        <v>2410</v>
      </c>
      <c r="B1777" s="25">
        <v>2017</v>
      </c>
      <c r="C1777" s="25" t="s">
        <v>2462</v>
      </c>
      <c r="D1777" s="25">
        <v>127</v>
      </c>
      <c r="E1777" s="25">
        <v>7</v>
      </c>
      <c r="F1777" s="25" t="str" cm="1">
        <f t="array" ref="F17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7" s="26">
        <v>17.45</v>
      </c>
      <c r="H1777" s="27">
        <v>45650</v>
      </c>
    </row>
    <row r="1778" spans="1:8" ht="18" x14ac:dyDescent="0.25">
      <c r="A1778" s="24" t="s">
        <v>1666</v>
      </c>
      <c r="B1778" s="25">
        <v>2017</v>
      </c>
      <c r="C1778" s="25" t="s">
        <v>2463</v>
      </c>
      <c r="D1778" s="25">
        <v>95</v>
      </c>
      <c r="E1778" s="25">
        <v>5.6</v>
      </c>
      <c r="F1778" s="25" t="str" cm="1">
        <f t="array" ref="F17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8" s="26">
        <v>20.78</v>
      </c>
      <c r="H1778" s="27">
        <v>33819</v>
      </c>
    </row>
    <row r="1779" spans="1:8" ht="18" x14ac:dyDescent="0.25">
      <c r="A1779" s="24" t="s">
        <v>2411</v>
      </c>
      <c r="B1779" s="25">
        <v>2017</v>
      </c>
      <c r="C1779" s="25" t="s">
        <v>2462</v>
      </c>
      <c r="D1779" s="25">
        <v>94</v>
      </c>
      <c r="E1779" s="25">
        <v>5.2</v>
      </c>
      <c r="F1779" s="25" t="str" cm="1">
        <f t="array" ref="F17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79" s="26">
        <v>2.46</v>
      </c>
      <c r="H1779" s="27">
        <v>11996</v>
      </c>
    </row>
    <row r="1780" spans="1:8" ht="18" x14ac:dyDescent="0.25">
      <c r="A1780" s="24" t="s">
        <v>1670</v>
      </c>
      <c r="B1780" s="25">
        <v>2017</v>
      </c>
      <c r="C1780" s="25" t="s">
        <v>2464</v>
      </c>
      <c r="D1780" s="25">
        <v>98</v>
      </c>
      <c r="E1780" s="25">
        <v>6.4</v>
      </c>
      <c r="F1780" s="25" t="str" cm="1">
        <f t="array" ref="F17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0" s="26">
        <v>12.24</v>
      </c>
      <c r="H1780" s="27">
        <v>55654</v>
      </c>
    </row>
    <row r="1781" spans="1:8" ht="18" x14ac:dyDescent="0.25">
      <c r="A1781" s="24" t="s">
        <v>1671</v>
      </c>
      <c r="B1781" s="25">
        <v>2017</v>
      </c>
      <c r="C1781" s="25" t="s">
        <v>2464</v>
      </c>
      <c r="D1781" s="25">
        <v>93</v>
      </c>
      <c r="E1781" s="25">
        <v>6.1</v>
      </c>
      <c r="F1781" s="25" t="str" cm="1">
        <f t="array" ref="F17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1" s="26">
        <v>2.46</v>
      </c>
      <c r="H1781" s="27">
        <v>14708</v>
      </c>
    </row>
    <row r="1782" spans="1:8" ht="18" x14ac:dyDescent="0.25">
      <c r="A1782" s="24" t="s">
        <v>1672</v>
      </c>
      <c r="B1782" s="25">
        <v>2017</v>
      </c>
      <c r="C1782" s="25" t="s">
        <v>2462</v>
      </c>
      <c r="D1782" s="25">
        <v>101</v>
      </c>
      <c r="E1782" s="25">
        <v>7.6</v>
      </c>
      <c r="F1782" s="25" t="str" cm="1">
        <f t="array" ref="F17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2" s="26">
        <v>24.8</v>
      </c>
      <c r="H1782" s="27">
        <v>126826</v>
      </c>
    </row>
    <row r="1783" spans="1:8" ht="18" x14ac:dyDescent="0.25">
      <c r="A1783" s="24" t="s">
        <v>1674</v>
      </c>
      <c r="B1783" s="25">
        <v>2017</v>
      </c>
      <c r="C1783" s="25" t="s">
        <v>2463</v>
      </c>
      <c r="D1783" s="25">
        <v>122</v>
      </c>
      <c r="E1783" s="25">
        <v>6.4</v>
      </c>
      <c r="F1783" s="25" t="str" cm="1">
        <f t="array" ref="F17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3" s="26">
        <v>74.260000000000005</v>
      </c>
      <c r="H1783" s="27">
        <v>296089</v>
      </c>
    </row>
    <row r="1784" spans="1:8" ht="18" x14ac:dyDescent="0.25">
      <c r="A1784" s="24" t="s">
        <v>1677</v>
      </c>
      <c r="B1784" s="25">
        <v>2017</v>
      </c>
      <c r="C1784" s="25" t="s">
        <v>2462</v>
      </c>
      <c r="D1784" s="25">
        <v>95</v>
      </c>
      <c r="E1784" s="25">
        <v>7.5</v>
      </c>
      <c r="F1784" s="25" t="str" cm="1">
        <f t="array" ref="F17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4" s="26">
        <v>2.46</v>
      </c>
      <c r="H1784" s="27">
        <v>3141</v>
      </c>
    </row>
    <row r="1785" spans="1:8" ht="18" x14ac:dyDescent="0.25">
      <c r="A1785" s="24" t="s">
        <v>1682</v>
      </c>
      <c r="B1785" s="25">
        <v>2017</v>
      </c>
      <c r="C1785" s="25" t="s">
        <v>2463</v>
      </c>
      <c r="D1785" s="25">
        <v>141</v>
      </c>
      <c r="E1785" s="25">
        <v>7.4</v>
      </c>
      <c r="F1785" s="25" t="str" cm="1">
        <f t="array" ref="F17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5" s="26">
        <v>412.56</v>
      </c>
      <c r="H1785" s="27">
        <v>687756</v>
      </c>
    </row>
    <row r="1786" spans="1:8" ht="18" x14ac:dyDescent="0.25">
      <c r="A1786" s="24" t="s">
        <v>1683</v>
      </c>
      <c r="B1786" s="25">
        <v>2017</v>
      </c>
      <c r="C1786" s="25" t="s">
        <v>2462</v>
      </c>
      <c r="D1786" s="25">
        <v>91</v>
      </c>
      <c r="E1786" s="25">
        <v>6.8</v>
      </c>
      <c r="F1786" s="25" t="str" cm="1">
        <f t="array" ref="F17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6" s="26">
        <v>2.46</v>
      </c>
      <c r="H1786" s="27">
        <v>1641</v>
      </c>
    </row>
    <row r="1787" spans="1:8" ht="18" x14ac:dyDescent="0.25">
      <c r="A1787" s="24" t="s">
        <v>857</v>
      </c>
      <c r="B1787" s="25">
        <v>2017</v>
      </c>
      <c r="C1787" s="25" t="s">
        <v>2462</v>
      </c>
      <c r="D1787" s="25">
        <v>110</v>
      </c>
      <c r="E1787" s="25">
        <v>5.3</v>
      </c>
      <c r="F1787" s="25" t="str" cm="1">
        <f t="array" ref="F17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7" s="26">
        <v>20.5</v>
      </c>
      <c r="H1787" s="27">
        <v>98074</v>
      </c>
    </row>
    <row r="1788" spans="1:8" ht="18" x14ac:dyDescent="0.25">
      <c r="A1788" s="24" t="s">
        <v>2412</v>
      </c>
      <c r="B1788" s="25">
        <v>2017</v>
      </c>
      <c r="C1788" s="25" t="s">
        <v>2462</v>
      </c>
      <c r="D1788" s="25">
        <v>100</v>
      </c>
      <c r="E1788" s="25">
        <v>6</v>
      </c>
      <c r="F1788" s="25" t="str" cm="1">
        <f t="array" ref="F17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8" s="26">
        <v>18.600000000000001</v>
      </c>
      <c r="H1788" s="27">
        <v>50140</v>
      </c>
    </row>
    <row r="1789" spans="1:8" ht="18" x14ac:dyDescent="0.25">
      <c r="A1789" s="24" t="s">
        <v>1690</v>
      </c>
      <c r="B1789" s="25">
        <v>2017</v>
      </c>
      <c r="C1789" s="25" t="s">
        <v>2462</v>
      </c>
      <c r="D1789" s="25">
        <v>132</v>
      </c>
      <c r="E1789" s="25">
        <v>6.3</v>
      </c>
      <c r="F1789" s="25" t="str" cm="1">
        <f t="array" ref="F17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89" s="26">
        <v>57.39</v>
      </c>
      <c r="H1789" s="27">
        <v>38389</v>
      </c>
    </row>
    <row r="1790" spans="1:8" ht="18" x14ac:dyDescent="0.25">
      <c r="A1790" s="24" t="s">
        <v>1691</v>
      </c>
      <c r="B1790" s="25">
        <v>2017</v>
      </c>
      <c r="C1790" s="25" t="s">
        <v>2462</v>
      </c>
      <c r="D1790" s="25">
        <v>108</v>
      </c>
      <c r="E1790" s="25">
        <v>6.6</v>
      </c>
      <c r="F1790" s="25" t="str" cm="1">
        <f t="array" ref="F17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0" s="26">
        <v>1.78</v>
      </c>
      <c r="H1790" s="27">
        <v>8728</v>
      </c>
    </row>
    <row r="1791" spans="1:8" ht="18" x14ac:dyDescent="0.25">
      <c r="A1791" s="24" t="s">
        <v>1692</v>
      </c>
      <c r="B1791" s="25">
        <v>2017</v>
      </c>
      <c r="C1791" s="25" t="s">
        <v>2462</v>
      </c>
      <c r="D1791" s="25">
        <v>95</v>
      </c>
      <c r="E1791" s="25">
        <v>5.8</v>
      </c>
      <c r="F1791" s="25" t="str" cm="1">
        <f t="array" ref="F17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1" s="26">
        <v>2.46</v>
      </c>
      <c r="H1791" s="27">
        <v>8738</v>
      </c>
    </row>
    <row r="1792" spans="1:8" ht="18" x14ac:dyDescent="0.25">
      <c r="A1792" s="24" t="s">
        <v>2413</v>
      </c>
      <c r="B1792" s="25">
        <v>2017</v>
      </c>
      <c r="C1792" s="25" t="s">
        <v>2462</v>
      </c>
      <c r="D1792" s="25">
        <v>108</v>
      </c>
      <c r="E1792" s="25">
        <v>6.4</v>
      </c>
      <c r="F1792" s="25" t="str" cm="1">
        <f t="array" ref="F17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2" s="26">
        <v>1.24</v>
      </c>
      <c r="H1792" s="27">
        <v>7132</v>
      </c>
    </row>
    <row r="1793" spans="1:8" ht="18" x14ac:dyDescent="0.25">
      <c r="A1793" s="24" t="s">
        <v>1696</v>
      </c>
      <c r="B1793" s="25">
        <v>2017</v>
      </c>
      <c r="C1793" s="25" t="s">
        <v>2462</v>
      </c>
      <c r="D1793" s="25">
        <v>111</v>
      </c>
      <c r="E1793" s="25">
        <v>5.4</v>
      </c>
      <c r="F1793" s="25" t="str" cm="1">
        <f t="array" ref="F17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3" s="26">
        <v>80.099999999999994</v>
      </c>
      <c r="H1793" s="27">
        <v>201627</v>
      </c>
    </row>
    <row r="1794" spans="1:8" ht="18" x14ac:dyDescent="0.25">
      <c r="A1794" s="24" t="s">
        <v>1698</v>
      </c>
      <c r="B1794" s="25">
        <v>2017</v>
      </c>
      <c r="C1794" s="25" t="s">
        <v>2462</v>
      </c>
      <c r="D1794" s="25">
        <v>122</v>
      </c>
      <c r="E1794" s="25">
        <v>7.4</v>
      </c>
      <c r="F1794" s="25" t="str" cm="1">
        <f t="array" ref="F17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4" s="26">
        <v>92.03</v>
      </c>
      <c r="H1794" s="27">
        <v>495833</v>
      </c>
    </row>
    <row r="1795" spans="1:8" ht="18" x14ac:dyDescent="0.25">
      <c r="A1795" s="24" t="s">
        <v>1702</v>
      </c>
      <c r="B1795" s="25">
        <v>2017</v>
      </c>
      <c r="C1795" s="25" t="s">
        <v>2462</v>
      </c>
      <c r="D1795" s="25">
        <v>87</v>
      </c>
      <c r="E1795" s="25">
        <v>5.8</v>
      </c>
      <c r="F1795" s="25" t="str" cm="1">
        <f t="array" ref="F17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5" s="26">
        <v>3.61</v>
      </c>
      <c r="H1795" s="27">
        <v>30471</v>
      </c>
    </row>
    <row r="1796" spans="1:8" ht="18" x14ac:dyDescent="0.25">
      <c r="A1796" s="24" t="s">
        <v>1705</v>
      </c>
      <c r="B1796" s="25">
        <v>2017</v>
      </c>
      <c r="C1796" s="25" t="s">
        <v>2462</v>
      </c>
      <c r="D1796" s="25">
        <v>136</v>
      </c>
      <c r="E1796" s="25">
        <v>6.6</v>
      </c>
      <c r="F1796" s="25" t="str" cm="1">
        <f t="array" ref="F17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6" s="26">
        <v>226.01</v>
      </c>
      <c r="H1796" s="27">
        <v>248406</v>
      </c>
    </row>
    <row r="1797" spans="1:8" ht="18" x14ac:dyDescent="0.25">
      <c r="A1797" s="24" t="s">
        <v>1706</v>
      </c>
      <c r="B1797" s="25">
        <v>2017</v>
      </c>
      <c r="C1797" s="25" t="s">
        <v>2462</v>
      </c>
      <c r="D1797" s="25">
        <v>94</v>
      </c>
      <c r="E1797" s="25">
        <v>5.8</v>
      </c>
      <c r="F1797" s="25" t="str" cm="1">
        <f t="array" ref="F17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7" s="26">
        <v>0.65</v>
      </c>
      <c r="H1797" s="27">
        <v>10948</v>
      </c>
    </row>
    <row r="1798" spans="1:8" ht="18" x14ac:dyDescent="0.25">
      <c r="A1798" s="24" t="s">
        <v>1707</v>
      </c>
      <c r="B1798" s="25">
        <v>2017</v>
      </c>
      <c r="C1798" s="25" t="s">
        <v>2462</v>
      </c>
      <c r="D1798" s="25">
        <v>122</v>
      </c>
      <c r="E1798" s="25">
        <v>6</v>
      </c>
      <c r="F1798" s="25" t="str" cm="1">
        <f t="array" ref="F17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8" s="26">
        <v>2.46</v>
      </c>
      <c r="H1798" s="27">
        <v>49350</v>
      </c>
    </row>
    <row r="1799" spans="1:8" ht="18" x14ac:dyDescent="0.25">
      <c r="A1799" s="24" t="s">
        <v>1708</v>
      </c>
      <c r="B1799" s="25">
        <v>2017</v>
      </c>
      <c r="C1799" s="25" t="s">
        <v>2462</v>
      </c>
      <c r="D1799" s="25">
        <v>118</v>
      </c>
      <c r="E1799" s="25">
        <v>6.7</v>
      </c>
      <c r="F1799" s="25" t="str" cm="1">
        <f t="array" ref="F17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799" s="26">
        <v>168.05</v>
      </c>
      <c r="H1799" s="27">
        <v>337553</v>
      </c>
    </row>
    <row r="1800" spans="1:8" ht="18" x14ac:dyDescent="0.25">
      <c r="A1800" s="24" t="s">
        <v>2414</v>
      </c>
      <c r="B1800" s="25">
        <v>2017</v>
      </c>
      <c r="C1800" s="25" t="s">
        <v>2462</v>
      </c>
      <c r="D1800" s="25">
        <v>107</v>
      </c>
      <c r="E1800" s="25">
        <v>5.2</v>
      </c>
      <c r="F1800" s="25" t="str" cm="1">
        <f t="array" ref="F18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0" s="26">
        <v>44.9</v>
      </c>
      <c r="H1800" s="27">
        <v>96026</v>
      </c>
    </row>
    <row r="1801" spans="1:8" ht="18" x14ac:dyDescent="0.25">
      <c r="A1801" s="24" t="s">
        <v>2415</v>
      </c>
      <c r="B1801" s="25">
        <v>2017</v>
      </c>
      <c r="C1801" s="25" t="s">
        <v>2462</v>
      </c>
      <c r="D1801" s="25">
        <v>126</v>
      </c>
      <c r="E1801" s="25">
        <v>6.7</v>
      </c>
      <c r="F1801" s="25" t="str" cm="1">
        <f t="array" ref="F18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1" s="26">
        <v>39.18</v>
      </c>
      <c r="H1801" s="27">
        <v>227912</v>
      </c>
    </row>
    <row r="1802" spans="1:8" ht="18" x14ac:dyDescent="0.25">
      <c r="A1802" s="24" t="s">
        <v>1713</v>
      </c>
      <c r="B1802" s="25">
        <v>2017</v>
      </c>
      <c r="C1802" s="25" t="s">
        <v>2462</v>
      </c>
      <c r="D1802" s="25">
        <v>95</v>
      </c>
      <c r="E1802" s="25">
        <v>5.9</v>
      </c>
      <c r="F1802" s="25" t="str" cm="1">
        <f t="array" ref="F18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2" s="26">
        <v>30.72</v>
      </c>
      <c r="H1802" s="27">
        <v>38587</v>
      </c>
    </row>
    <row r="1803" spans="1:8" ht="18" x14ac:dyDescent="0.25">
      <c r="A1803" s="24" t="s">
        <v>1715</v>
      </c>
      <c r="B1803" s="25">
        <v>2017</v>
      </c>
      <c r="C1803" s="25" t="s">
        <v>2463</v>
      </c>
      <c r="D1803" s="25">
        <v>97</v>
      </c>
      <c r="E1803" s="25">
        <v>6.3</v>
      </c>
      <c r="F1803" s="25" t="str" cm="1">
        <f t="array" ref="F18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3" s="26">
        <v>175</v>
      </c>
      <c r="H1803" s="27">
        <v>137366</v>
      </c>
    </row>
    <row r="1804" spans="1:8" ht="18" x14ac:dyDescent="0.25">
      <c r="A1804" s="24" t="s">
        <v>1718</v>
      </c>
      <c r="B1804" s="25">
        <v>2017</v>
      </c>
      <c r="C1804" s="25" t="s">
        <v>2462</v>
      </c>
      <c r="D1804" s="25">
        <v>120</v>
      </c>
      <c r="E1804" s="25">
        <v>4.5</v>
      </c>
      <c r="F1804" s="25" t="str" cm="1">
        <f t="array" ref="F18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4" s="26">
        <v>1.32</v>
      </c>
      <c r="H1804" s="27">
        <v>9274</v>
      </c>
    </row>
    <row r="1805" spans="1:8" ht="18" x14ac:dyDescent="0.25">
      <c r="A1805" s="24" t="s">
        <v>1720</v>
      </c>
      <c r="B1805" s="25">
        <v>2017</v>
      </c>
      <c r="C1805" s="25" t="s">
        <v>2464</v>
      </c>
      <c r="D1805" s="25">
        <v>97</v>
      </c>
      <c r="E1805" s="25">
        <v>5</v>
      </c>
      <c r="F1805" s="25" t="str" cm="1">
        <f t="array" ref="F18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5" s="26">
        <v>2.46</v>
      </c>
      <c r="H1805" s="27">
        <v>12265</v>
      </c>
    </row>
    <row r="1806" spans="1:8" ht="18" x14ac:dyDescent="0.25">
      <c r="A1806" s="24" t="s">
        <v>1724</v>
      </c>
      <c r="B1806" s="25">
        <v>2017</v>
      </c>
      <c r="C1806" s="25" t="s">
        <v>2463</v>
      </c>
      <c r="D1806" s="25">
        <v>106</v>
      </c>
      <c r="E1806" s="25">
        <v>6.4</v>
      </c>
      <c r="F1806" s="25" t="str" cm="1">
        <f t="array" ref="F18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6" s="26">
        <v>2.46</v>
      </c>
      <c r="H1806" s="27">
        <v>26504</v>
      </c>
    </row>
    <row r="1807" spans="1:8" ht="18" x14ac:dyDescent="0.25">
      <c r="A1807" s="24" t="s">
        <v>2416</v>
      </c>
      <c r="B1807" s="25">
        <v>2017</v>
      </c>
      <c r="C1807" s="25" t="s">
        <v>2463</v>
      </c>
      <c r="D1807" s="25">
        <v>106</v>
      </c>
      <c r="E1807" s="25">
        <v>6.7</v>
      </c>
      <c r="F1807" s="25" t="str" cm="1">
        <f t="array" ref="F18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7" s="26">
        <v>1.1100000000000001</v>
      </c>
      <c r="H1807" s="27">
        <v>8459</v>
      </c>
    </row>
    <row r="1808" spans="1:8" ht="18" x14ac:dyDescent="0.25">
      <c r="A1808" s="24" t="s">
        <v>2417</v>
      </c>
      <c r="B1808" s="25">
        <v>2017</v>
      </c>
      <c r="C1808" s="25" t="s">
        <v>2462</v>
      </c>
      <c r="D1808" s="25">
        <v>84</v>
      </c>
      <c r="E1808" s="25">
        <v>7.9</v>
      </c>
      <c r="F1808" s="25" t="str" cm="1">
        <f t="array" ref="F18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8" s="26">
        <v>2.46</v>
      </c>
      <c r="H1808" s="27">
        <v>1001</v>
      </c>
    </row>
    <row r="1809" spans="1:8" ht="18" x14ac:dyDescent="0.25">
      <c r="A1809" s="24" t="s">
        <v>1730</v>
      </c>
      <c r="B1809" s="25">
        <v>2017</v>
      </c>
      <c r="C1809" s="25" t="s">
        <v>2462</v>
      </c>
      <c r="D1809" s="25">
        <v>80</v>
      </c>
      <c r="E1809" s="25">
        <v>6.8</v>
      </c>
      <c r="F1809" s="25" t="str" cm="1">
        <f t="array" ref="F18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09" s="26">
        <v>0.05</v>
      </c>
      <c r="H1809" s="27">
        <v>1095</v>
      </c>
    </row>
    <row r="1810" spans="1:8" ht="18" x14ac:dyDescent="0.25">
      <c r="A1810" s="24" t="s">
        <v>2418</v>
      </c>
      <c r="B1810" s="25">
        <v>2017</v>
      </c>
      <c r="C1810" s="25" t="s">
        <v>2463</v>
      </c>
      <c r="D1810" s="25">
        <v>92</v>
      </c>
      <c r="E1810" s="25">
        <v>6</v>
      </c>
      <c r="F1810" s="25" t="str" cm="1">
        <f t="array" ref="F18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0" s="26">
        <v>2.46</v>
      </c>
      <c r="H1810" s="27">
        <v>2057</v>
      </c>
    </row>
    <row r="1811" spans="1:8" ht="18" x14ac:dyDescent="0.25">
      <c r="A1811" s="24" t="s">
        <v>1738</v>
      </c>
      <c r="B1811" s="25">
        <v>2017</v>
      </c>
      <c r="C1811" s="25" t="s">
        <v>2462</v>
      </c>
      <c r="D1811" s="25">
        <v>117</v>
      </c>
      <c r="E1811" s="25">
        <v>7.2</v>
      </c>
      <c r="F1811" s="25" t="str" cm="1">
        <f t="array" ref="F18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1" s="26">
        <v>2.4</v>
      </c>
      <c r="H1811" s="27">
        <v>130721</v>
      </c>
    </row>
    <row r="1812" spans="1:8" ht="18" x14ac:dyDescent="0.25">
      <c r="A1812" s="24" t="s">
        <v>2419</v>
      </c>
      <c r="B1812" s="25">
        <v>2017</v>
      </c>
      <c r="C1812" s="25" t="s">
        <v>2462</v>
      </c>
      <c r="D1812" s="25">
        <v>84</v>
      </c>
      <c r="E1812" s="25">
        <v>5.7</v>
      </c>
      <c r="F1812" s="25" t="str" cm="1">
        <f t="array" ref="F18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2" s="26">
        <v>0.05</v>
      </c>
      <c r="H1812" s="27">
        <v>1770</v>
      </c>
    </row>
    <row r="1813" spans="1:8" ht="18" x14ac:dyDescent="0.25">
      <c r="A1813" s="24" t="s">
        <v>2420</v>
      </c>
      <c r="B1813" s="25">
        <v>2017</v>
      </c>
      <c r="C1813" s="25" t="s">
        <v>2462</v>
      </c>
      <c r="D1813" s="25">
        <v>82</v>
      </c>
      <c r="E1813" s="25">
        <v>6</v>
      </c>
      <c r="F1813" s="25" t="str" cm="1">
        <f t="array" ref="F18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3" s="26">
        <v>7.12</v>
      </c>
      <c r="H1813" s="27">
        <v>10683</v>
      </c>
    </row>
    <row r="1814" spans="1:8" ht="18" x14ac:dyDescent="0.25">
      <c r="A1814" s="24" t="s">
        <v>1746</v>
      </c>
      <c r="B1814" s="25">
        <v>2017</v>
      </c>
      <c r="C1814" s="25" t="s">
        <v>2462</v>
      </c>
      <c r="D1814" s="25">
        <v>121</v>
      </c>
      <c r="E1814" s="25">
        <v>7.3</v>
      </c>
      <c r="F1814" s="25" t="str" cm="1">
        <f t="array" ref="F18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4" s="26">
        <v>2.46</v>
      </c>
      <c r="H1814" s="27">
        <v>93776</v>
      </c>
    </row>
    <row r="1815" spans="1:8" ht="18" x14ac:dyDescent="0.25">
      <c r="A1815" s="24" t="s">
        <v>1747</v>
      </c>
      <c r="B1815" s="25">
        <v>2017</v>
      </c>
      <c r="C1815" s="25" t="s">
        <v>2462</v>
      </c>
      <c r="D1815" s="25">
        <v>106</v>
      </c>
      <c r="E1815" s="25">
        <v>6</v>
      </c>
      <c r="F1815" s="25" t="str" cm="1">
        <f t="array" ref="F18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5" s="26">
        <v>2.68</v>
      </c>
      <c r="H1815" s="27">
        <v>20542</v>
      </c>
    </row>
    <row r="1816" spans="1:8" ht="18" x14ac:dyDescent="0.25">
      <c r="A1816" s="24" t="s">
        <v>2421</v>
      </c>
      <c r="B1816" s="25">
        <v>2017</v>
      </c>
      <c r="C1816" s="25" t="s">
        <v>2462</v>
      </c>
      <c r="D1816" s="25">
        <v>139</v>
      </c>
      <c r="E1816" s="25">
        <v>5.9</v>
      </c>
      <c r="F1816" s="25" t="str" cm="1">
        <f t="array" ref="F18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6" s="26">
        <v>44.92</v>
      </c>
      <c r="H1816" s="27">
        <v>24401</v>
      </c>
    </row>
    <row r="1817" spans="1:8" ht="18" x14ac:dyDescent="0.25">
      <c r="A1817" s="24" t="s">
        <v>2422</v>
      </c>
      <c r="B1817" s="25">
        <v>2017</v>
      </c>
      <c r="C1817" s="25" t="s">
        <v>2462</v>
      </c>
      <c r="D1817" s="25">
        <v>117</v>
      </c>
      <c r="E1817" s="25">
        <v>6.8</v>
      </c>
      <c r="F1817" s="25" t="str" cm="1">
        <f t="array" ref="F18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7" s="26">
        <v>0.38</v>
      </c>
      <c r="H1817" s="27">
        <v>6317</v>
      </c>
    </row>
    <row r="1818" spans="1:8" ht="18" x14ac:dyDescent="0.25">
      <c r="A1818" s="24" t="s">
        <v>1751</v>
      </c>
      <c r="B1818" s="25">
        <v>2017</v>
      </c>
      <c r="C1818" s="25" t="s">
        <v>2462</v>
      </c>
      <c r="D1818" s="25">
        <v>94</v>
      </c>
      <c r="E1818" s="25">
        <v>6.2</v>
      </c>
      <c r="F1818" s="25" t="str" cm="1">
        <f t="array" ref="F18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8" s="26">
        <v>2.46</v>
      </c>
      <c r="H1818" s="27">
        <v>24006</v>
      </c>
    </row>
    <row r="1819" spans="1:8" ht="18" x14ac:dyDescent="0.25">
      <c r="A1819" s="24" t="s">
        <v>1754</v>
      </c>
      <c r="B1819" s="25">
        <v>2017</v>
      </c>
      <c r="C1819" s="25" t="s">
        <v>2462</v>
      </c>
      <c r="D1819" s="25">
        <v>100</v>
      </c>
      <c r="E1819" s="25">
        <v>7</v>
      </c>
      <c r="F1819" s="25" t="str" cm="1">
        <f t="array" ref="F18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19" s="26">
        <v>2.46</v>
      </c>
      <c r="H1819" s="27">
        <v>13535</v>
      </c>
    </row>
    <row r="1820" spans="1:8" ht="18" x14ac:dyDescent="0.25">
      <c r="A1820" s="24" t="s">
        <v>1755</v>
      </c>
      <c r="B1820" s="25">
        <v>2017</v>
      </c>
      <c r="C1820" s="25" t="s">
        <v>2462</v>
      </c>
      <c r="D1820" s="25">
        <v>92</v>
      </c>
      <c r="E1820" s="25">
        <v>4.8</v>
      </c>
      <c r="F1820" s="25" t="str" cm="1">
        <f t="array" ref="F18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0" s="26">
        <v>2.46</v>
      </c>
      <c r="H1820" s="27">
        <v>15024</v>
      </c>
    </row>
    <row r="1821" spans="1:8" ht="18" x14ac:dyDescent="0.25">
      <c r="A1821" s="24" t="s">
        <v>1756</v>
      </c>
      <c r="B1821" s="25">
        <v>2017</v>
      </c>
      <c r="C1821" s="25" t="s">
        <v>2462</v>
      </c>
      <c r="D1821" s="25">
        <v>90</v>
      </c>
      <c r="E1821" s="25">
        <v>5.8</v>
      </c>
      <c r="F1821" s="25" t="str" cm="1">
        <f t="array" ref="F18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1" s="26">
        <v>1.65</v>
      </c>
      <c r="H1821" s="27">
        <v>24869</v>
      </c>
    </row>
    <row r="1822" spans="1:8" ht="18" x14ac:dyDescent="0.25">
      <c r="A1822" s="24" t="s">
        <v>1757</v>
      </c>
      <c r="B1822" s="25">
        <v>2017</v>
      </c>
      <c r="C1822" s="25" t="s">
        <v>2462</v>
      </c>
      <c r="D1822" s="25">
        <v>101</v>
      </c>
      <c r="E1822" s="25">
        <v>4.5999999999999996</v>
      </c>
      <c r="F1822" s="25" t="str" cm="1">
        <f t="array" ref="F18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2" s="26">
        <v>2.46</v>
      </c>
      <c r="H1822" s="27">
        <v>89194</v>
      </c>
    </row>
    <row r="1823" spans="1:8" ht="18" x14ac:dyDescent="0.25">
      <c r="A1823" s="24" t="s">
        <v>1758</v>
      </c>
      <c r="B1823" s="25">
        <v>2017</v>
      </c>
      <c r="C1823" s="25" t="s">
        <v>2462</v>
      </c>
      <c r="D1823" s="25">
        <v>100</v>
      </c>
      <c r="E1823" s="25">
        <v>5.0999999999999996</v>
      </c>
      <c r="F1823" s="25" t="str" cm="1">
        <f t="array" ref="F18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3" s="26">
        <v>11.27</v>
      </c>
      <c r="H1823" s="27">
        <v>16565</v>
      </c>
    </row>
    <row r="1824" spans="1:8" ht="18" x14ac:dyDescent="0.25">
      <c r="A1824" s="24" t="s">
        <v>2423</v>
      </c>
      <c r="B1824" s="25">
        <v>2017</v>
      </c>
      <c r="C1824" s="25" t="s">
        <v>2462</v>
      </c>
      <c r="D1824" s="25">
        <v>136</v>
      </c>
      <c r="E1824" s="25">
        <v>7.6</v>
      </c>
      <c r="F1824" s="25" t="str" cm="1">
        <f t="array" ref="F18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4" s="26">
        <v>389.81</v>
      </c>
      <c r="H1824" s="27">
        <v>740875</v>
      </c>
    </row>
    <row r="1825" spans="1:8" ht="18" x14ac:dyDescent="0.25">
      <c r="A1825" s="24" t="s">
        <v>1763</v>
      </c>
      <c r="B1825" s="25">
        <v>2017</v>
      </c>
      <c r="C1825" s="25" t="s">
        <v>2462</v>
      </c>
      <c r="D1825" s="25">
        <v>105</v>
      </c>
      <c r="E1825" s="25">
        <v>5.9</v>
      </c>
      <c r="F1825" s="25" t="str" cm="1">
        <f t="array" ref="F18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5" s="26">
        <v>2.46</v>
      </c>
      <c r="H1825" s="27">
        <v>1450</v>
      </c>
    </row>
    <row r="1826" spans="1:8" ht="18" x14ac:dyDescent="0.25">
      <c r="A1826" s="24" t="s">
        <v>1764</v>
      </c>
      <c r="B1826" s="25">
        <v>2017</v>
      </c>
      <c r="C1826" s="25" t="s">
        <v>2462</v>
      </c>
      <c r="D1826" s="25">
        <v>116</v>
      </c>
      <c r="E1826" s="25">
        <v>5.5</v>
      </c>
      <c r="F1826" s="25" t="str" cm="1">
        <f t="array" ref="F18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6" s="26">
        <v>58.06</v>
      </c>
      <c r="H1826" s="27">
        <v>197900</v>
      </c>
    </row>
    <row r="1827" spans="1:8" ht="18" x14ac:dyDescent="0.25">
      <c r="A1827" s="24" t="s">
        <v>1765</v>
      </c>
      <c r="B1827" s="25">
        <v>2017</v>
      </c>
      <c r="C1827" s="25" t="s">
        <v>2462</v>
      </c>
      <c r="D1827" s="25">
        <v>120</v>
      </c>
      <c r="E1827" s="25">
        <v>7.3</v>
      </c>
      <c r="F1827" s="25" t="str" cm="1">
        <f t="array" ref="F18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7" s="26">
        <v>2.46</v>
      </c>
      <c r="H1827" s="27">
        <v>129484</v>
      </c>
    </row>
    <row r="1828" spans="1:8" ht="18" x14ac:dyDescent="0.25">
      <c r="A1828" s="24" t="s">
        <v>1767</v>
      </c>
      <c r="B1828" s="25">
        <v>2017</v>
      </c>
      <c r="C1828" s="25" t="s">
        <v>2463</v>
      </c>
      <c r="D1828" s="25">
        <v>105</v>
      </c>
      <c r="E1828" s="25">
        <v>6</v>
      </c>
      <c r="F1828" s="25" t="str" cm="1">
        <f t="array" ref="F18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8" s="26">
        <v>1.28</v>
      </c>
      <c r="H1828" s="27">
        <v>15620</v>
      </c>
    </row>
    <row r="1829" spans="1:8" ht="18" x14ac:dyDescent="0.25">
      <c r="A1829" s="24" t="s">
        <v>2424</v>
      </c>
      <c r="B1829" s="25">
        <v>2017</v>
      </c>
      <c r="C1829" s="25" t="s">
        <v>2462</v>
      </c>
      <c r="D1829" s="25">
        <v>118</v>
      </c>
      <c r="E1829" s="25">
        <v>6.9</v>
      </c>
      <c r="F1829" s="25" t="str" cm="1">
        <f t="array" ref="F18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29" s="26">
        <v>75.47</v>
      </c>
      <c r="H1829" s="27">
        <v>242481</v>
      </c>
    </row>
    <row r="1830" spans="1:8" ht="18" x14ac:dyDescent="0.25">
      <c r="A1830" s="24" t="s">
        <v>1770</v>
      </c>
      <c r="B1830" s="25">
        <v>2017</v>
      </c>
      <c r="C1830" s="25" t="s">
        <v>2462</v>
      </c>
      <c r="D1830" s="25">
        <v>95</v>
      </c>
      <c r="E1830" s="25">
        <v>5.6</v>
      </c>
      <c r="F1830" s="25" t="str" cm="1">
        <f t="array" ref="F18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0" s="26">
        <v>50.7</v>
      </c>
      <c r="H1830" s="27">
        <v>143982</v>
      </c>
    </row>
    <row r="1831" spans="1:8" ht="18" x14ac:dyDescent="0.25">
      <c r="A1831" s="24" t="s">
        <v>1772</v>
      </c>
      <c r="B1831" s="25">
        <v>2017</v>
      </c>
      <c r="C1831" s="25" t="s">
        <v>2462</v>
      </c>
      <c r="D1831" s="25">
        <v>115</v>
      </c>
      <c r="E1831" s="25">
        <v>6.7</v>
      </c>
      <c r="F1831" s="25" t="str" cm="1">
        <f t="array" ref="F18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1" s="26">
        <v>51.69</v>
      </c>
      <c r="H1831" s="27">
        <v>203206</v>
      </c>
    </row>
    <row r="1832" spans="1:8" ht="18" x14ac:dyDescent="0.25">
      <c r="A1832" s="24" t="s">
        <v>2425</v>
      </c>
      <c r="B1832" s="25">
        <v>2017</v>
      </c>
      <c r="C1832" s="25" t="s">
        <v>2462</v>
      </c>
      <c r="D1832" s="25">
        <v>105</v>
      </c>
      <c r="E1832" s="25">
        <v>7.2</v>
      </c>
      <c r="F1832" s="25" t="str" cm="1">
        <f t="array" ref="F18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2" s="26">
        <v>2.46</v>
      </c>
      <c r="H1832" s="27">
        <v>3142</v>
      </c>
    </row>
    <row r="1833" spans="1:8" ht="18" x14ac:dyDescent="0.25">
      <c r="A1833" s="24" t="s">
        <v>2426</v>
      </c>
      <c r="B1833" s="25">
        <v>2017</v>
      </c>
      <c r="C1833" s="25" t="s">
        <v>2462</v>
      </c>
      <c r="D1833" s="25">
        <v>123</v>
      </c>
      <c r="E1833" s="25">
        <v>6.8</v>
      </c>
      <c r="F1833" s="25" t="str" cm="1">
        <f t="array" ref="F18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3" s="26">
        <v>2.46</v>
      </c>
      <c r="H1833" s="27">
        <v>131249</v>
      </c>
    </row>
    <row r="1834" spans="1:8" ht="18" x14ac:dyDescent="0.25">
      <c r="A1834" s="24" t="s">
        <v>1777</v>
      </c>
      <c r="B1834" s="25">
        <v>2017</v>
      </c>
      <c r="C1834" s="25" t="s">
        <v>2462</v>
      </c>
      <c r="D1834" s="25">
        <v>116</v>
      </c>
      <c r="E1834" s="25">
        <v>7.1</v>
      </c>
      <c r="F1834" s="25" t="str" cm="1">
        <f t="array" ref="F18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4" s="26">
        <v>13.41</v>
      </c>
      <c r="H1834" s="27">
        <v>25668</v>
      </c>
    </row>
    <row r="1835" spans="1:8" ht="18" x14ac:dyDescent="0.25">
      <c r="A1835" s="24" t="s">
        <v>1781</v>
      </c>
      <c r="B1835" s="25">
        <v>2017</v>
      </c>
      <c r="C1835" s="25" t="s">
        <v>2462</v>
      </c>
      <c r="D1835" s="25">
        <v>107</v>
      </c>
      <c r="E1835" s="25">
        <v>7.7</v>
      </c>
      <c r="F1835" s="25" t="str" cm="1">
        <f t="array" ref="F18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5" s="26">
        <v>33.799999999999997</v>
      </c>
      <c r="H1835" s="27">
        <v>271626</v>
      </c>
    </row>
    <row r="1836" spans="1:8" ht="18" x14ac:dyDescent="0.25">
      <c r="A1836" s="24" t="s">
        <v>1782</v>
      </c>
      <c r="B1836" s="25">
        <v>2017</v>
      </c>
      <c r="C1836" s="25" t="s">
        <v>2462</v>
      </c>
      <c r="D1836" s="25">
        <v>96</v>
      </c>
      <c r="E1836" s="25">
        <v>6.5</v>
      </c>
      <c r="F1836" s="25" t="str" cm="1">
        <f t="array" ref="F18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6" s="26">
        <v>4.08</v>
      </c>
      <c r="H1836" s="27">
        <v>10286</v>
      </c>
    </row>
    <row r="1837" spans="1:8" ht="18" x14ac:dyDescent="0.25">
      <c r="A1837" s="24" t="s">
        <v>1788</v>
      </c>
      <c r="B1837" s="25">
        <v>2017</v>
      </c>
      <c r="C1837" s="25" t="s">
        <v>2462</v>
      </c>
      <c r="D1837" s="25">
        <v>97</v>
      </c>
      <c r="E1837" s="25">
        <v>6.4</v>
      </c>
      <c r="F1837" s="25" t="str" cm="1">
        <f t="array" ref="F18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7" s="26">
        <v>0.94</v>
      </c>
      <c r="H1837" s="27">
        <v>4840</v>
      </c>
    </row>
    <row r="1838" spans="1:8" ht="18" x14ac:dyDescent="0.25">
      <c r="A1838" s="24" t="s">
        <v>2427</v>
      </c>
      <c r="B1838" s="25">
        <v>2017</v>
      </c>
      <c r="C1838" s="25" t="s">
        <v>2462</v>
      </c>
      <c r="D1838" s="25">
        <v>89</v>
      </c>
      <c r="E1838" s="25">
        <v>6.3</v>
      </c>
      <c r="F1838" s="25" t="str" cm="1">
        <f t="array" ref="F18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8" s="26">
        <v>0.62</v>
      </c>
      <c r="H1838" s="27">
        <v>16618</v>
      </c>
    </row>
    <row r="1839" spans="1:8" ht="18" x14ac:dyDescent="0.25">
      <c r="A1839" s="24" t="s">
        <v>1793</v>
      </c>
      <c r="B1839" s="25">
        <v>2017</v>
      </c>
      <c r="C1839" s="25" t="s">
        <v>2462</v>
      </c>
      <c r="D1839" s="25">
        <v>110</v>
      </c>
      <c r="E1839" s="25">
        <v>4.2</v>
      </c>
      <c r="F1839" s="25" t="str" cm="1">
        <f t="array" ref="F18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39" s="26">
        <v>2.46</v>
      </c>
      <c r="H1839" s="27">
        <v>1012</v>
      </c>
    </row>
    <row r="1840" spans="1:8" ht="18" x14ac:dyDescent="0.25">
      <c r="A1840" s="24" t="s">
        <v>1794</v>
      </c>
      <c r="B1840" s="25">
        <v>2017</v>
      </c>
      <c r="C1840" s="25" t="s">
        <v>2462</v>
      </c>
      <c r="D1840" s="25">
        <v>92</v>
      </c>
      <c r="E1840" s="25">
        <v>6.8</v>
      </c>
      <c r="F1840" s="25" t="str" cm="1">
        <f t="array" ref="F18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0" s="26">
        <v>1.6</v>
      </c>
      <c r="H1840" s="27">
        <v>77551</v>
      </c>
    </row>
    <row r="1841" spans="1:8" ht="18" x14ac:dyDescent="0.25">
      <c r="A1841" s="24" t="s">
        <v>1795</v>
      </c>
      <c r="B1841" s="25">
        <v>2017</v>
      </c>
      <c r="C1841" s="25" t="s">
        <v>2462</v>
      </c>
      <c r="D1841" s="25">
        <v>93</v>
      </c>
      <c r="E1841" s="25">
        <v>6.3</v>
      </c>
      <c r="F1841" s="25" t="str" cm="1">
        <f t="array" ref="F18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1" s="26">
        <v>10.58</v>
      </c>
      <c r="H1841" s="27">
        <v>60619</v>
      </c>
    </row>
    <row r="1842" spans="1:8" ht="18" x14ac:dyDescent="0.25">
      <c r="A1842" s="24" t="s">
        <v>1796</v>
      </c>
      <c r="B1842" s="25">
        <v>2017</v>
      </c>
      <c r="C1842" s="25" t="s">
        <v>2462</v>
      </c>
      <c r="D1842" s="25">
        <v>109</v>
      </c>
      <c r="E1842" s="25">
        <v>5.4</v>
      </c>
      <c r="F1842" s="25" t="str" cm="1">
        <f t="array" ref="F18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2" s="26">
        <v>2.46</v>
      </c>
      <c r="H1842" s="27">
        <v>1665</v>
      </c>
    </row>
    <row r="1843" spans="1:8" ht="18" x14ac:dyDescent="0.25">
      <c r="A1843" s="24" t="s">
        <v>1797</v>
      </c>
      <c r="B1843" s="25">
        <v>2017</v>
      </c>
      <c r="C1843" s="25" t="s">
        <v>2462</v>
      </c>
      <c r="D1843" s="25">
        <v>113</v>
      </c>
      <c r="E1843" s="25">
        <v>7.6</v>
      </c>
      <c r="F1843" s="25" t="str" cm="1">
        <f t="array" ref="F18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3" s="26">
        <v>107.83</v>
      </c>
      <c r="H1843" s="27">
        <v>587601</v>
      </c>
    </row>
    <row r="1844" spans="1:8" ht="18" x14ac:dyDescent="0.25">
      <c r="A1844" s="24" t="s">
        <v>2428</v>
      </c>
      <c r="B1844" s="25">
        <v>2017</v>
      </c>
      <c r="C1844" s="25" t="s">
        <v>2462</v>
      </c>
      <c r="D1844" s="25">
        <v>136</v>
      </c>
      <c r="E1844" s="25">
        <v>6.4</v>
      </c>
      <c r="F1844" s="25" t="str" cm="1">
        <f t="array" ref="F18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4" s="26">
        <v>41.19</v>
      </c>
      <c r="H1844" s="27">
        <v>193110</v>
      </c>
    </row>
    <row r="1845" spans="1:8" ht="18" x14ac:dyDescent="0.25">
      <c r="A1845" s="24" t="s">
        <v>1799</v>
      </c>
      <c r="B1845" s="25">
        <v>2017</v>
      </c>
      <c r="C1845" s="25" t="s">
        <v>2462</v>
      </c>
      <c r="D1845" s="25">
        <v>98</v>
      </c>
      <c r="E1845" s="25">
        <v>6.6</v>
      </c>
      <c r="F1845" s="25" t="str" cm="1">
        <f t="array" ref="F18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5" s="26">
        <v>3.02</v>
      </c>
      <c r="H1845" s="27">
        <v>47085</v>
      </c>
    </row>
    <row r="1846" spans="1:8" ht="18" x14ac:dyDescent="0.25">
      <c r="A1846" s="24" t="s">
        <v>2429</v>
      </c>
      <c r="B1846" s="25">
        <v>2017</v>
      </c>
      <c r="C1846" s="25" t="s">
        <v>2462</v>
      </c>
      <c r="D1846" s="25">
        <v>104</v>
      </c>
      <c r="E1846" s="25">
        <v>7.6</v>
      </c>
      <c r="F1846" s="25" t="str" cm="1">
        <f t="array" ref="F18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6" s="26">
        <v>0.34</v>
      </c>
      <c r="H1846" s="27">
        <v>34403</v>
      </c>
    </row>
    <row r="1847" spans="1:8" ht="18" x14ac:dyDescent="0.25">
      <c r="A1847" s="24" t="s">
        <v>1801</v>
      </c>
      <c r="B1847" s="25">
        <v>2017</v>
      </c>
      <c r="C1847" s="25" t="s">
        <v>2462</v>
      </c>
      <c r="D1847" s="25">
        <v>92</v>
      </c>
      <c r="E1847" s="25">
        <v>4.0999999999999996</v>
      </c>
      <c r="F1847" s="25" t="str" cm="1">
        <f t="array" ref="F18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7" s="26">
        <v>2.46</v>
      </c>
      <c r="H1847" s="27">
        <v>3289</v>
      </c>
    </row>
    <row r="1848" spans="1:8" ht="18" x14ac:dyDescent="0.25">
      <c r="A1848" s="24" t="s">
        <v>1802</v>
      </c>
      <c r="B1848" s="25">
        <v>2017</v>
      </c>
      <c r="C1848" s="25" t="s">
        <v>2462</v>
      </c>
      <c r="D1848" s="25">
        <v>127</v>
      </c>
      <c r="E1848" s="25">
        <v>7.1</v>
      </c>
      <c r="F1848" s="25" t="str" cm="1">
        <f t="array" ref="F18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8" s="26">
        <v>17.27</v>
      </c>
      <c r="H1848" s="27">
        <v>37530</v>
      </c>
    </row>
    <row r="1849" spans="1:8" ht="18" x14ac:dyDescent="0.25">
      <c r="A1849" s="24" t="s">
        <v>2430</v>
      </c>
      <c r="B1849" s="25">
        <v>2017</v>
      </c>
      <c r="C1849" s="25" t="s">
        <v>2462</v>
      </c>
      <c r="D1849" s="25">
        <v>87</v>
      </c>
      <c r="E1849" s="25">
        <v>5.7</v>
      </c>
      <c r="F1849" s="25" t="str" cm="1">
        <f t="array" ref="F18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49" s="26">
        <v>2.46</v>
      </c>
      <c r="H1849" s="27">
        <v>13347</v>
      </c>
    </row>
    <row r="1850" spans="1:8" ht="18" x14ac:dyDescent="0.25">
      <c r="A1850" s="24" t="s">
        <v>1805</v>
      </c>
      <c r="B1850" s="25">
        <v>2017</v>
      </c>
      <c r="C1850" s="25" t="s">
        <v>2462</v>
      </c>
      <c r="D1850" s="25">
        <v>115</v>
      </c>
      <c r="E1850" s="25">
        <v>7.1</v>
      </c>
      <c r="F1850" s="25" t="str" cm="1">
        <f t="array" ref="F18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0" s="26">
        <v>51.34</v>
      </c>
      <c r="H1850" s="27">
        <v>201802</v>
      </c>
    </row>
    <row r="1851" spans="1:8" ht="18" x14ac:dyDescent="0.25">
      <c r="A1851" s="24" t="s">
        <v>2431</v>
      </c>
      <c r="B1851" s="25">
        <v>2017</v>
      </c>
      <c r="C1851" s="25" t="s">
        <v>2462</v>
      </c>
      <c r="D1851" s="25">
        <v>107</v>
      </c>
      <c r="E1851" s="25">
        <v>6.2</v>
      </c>
      <c r="F1851" s="25" t="str" cm="1">
        <f t="array" ref="F18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1" s="26">
        <v>0.17</v>
      </c>
      <c r="H1851" s="27">
        <v>13346</v>
      </c>
    </row>
    <row r="1852" spans="1:8" ht="18" x14ac:dyDescent="0.25">
      <c r="A1852" s="24" t="s">
        <v>1807</v>
      </c>
      <c r="B1852" s="25">
        <v>2017</v>
      </c>
      <c r="C1852" s="25" t="s">
        <v>2462</v>
      </c>
      <c r="D1852" s="25">
        <v>95</v>
      </c>
      <c r="E1852" s="25">
        <v>5.8</v>
      </c>
      <c r="F1852" s="25" t="str" cm="1">
        <f t="array" ref="F18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2" s="26">
        <v>0.1</v>
      </c>
      <c r="H1852" s="27">
        <v>6613</v>
      </c>
    </row>
    <row r="1853" spans="1:8" ht="18" x14ac:dyDescent="0.25">
      <c r="A1853" s="24" t="s">
        <v>1808</v>
      </c>
      <c r="B1853" s="25">
        <v>2017</v>
      </c>
      <c r="C1853" s="25" t="s">
        <v>2462</v>
      </c>
      <c r="D1853" s="25">
        <v>105</v>
      </c>
      <c r="E1853" s="25">
        <v>6.2</v>
      </c>
      <c r="F1853" s="25" t="str" cm="1">
        <f t="array" ref="F18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3" s="26">
        <v>2.4300000000000002</v>
      </c>
      <c r="H1853" s="27">
        <v>22509</v>
      </c>
    </row>
    <row r="1854" spans="1:8" ht="18" x14ac:dyDescent="0.25">
      <c r="A1854" s="24" t="s">
        <v>2432</v>
      </c>
      <c r="B1854" s="25">
        <v>2017</v>
      </c>
      <c r="C1854" s="25" t="s">
        <v>2462</v>
      </c>
      <c r="D1854" s="25">
        <v>107</v>
      </c>
      <c r="E1854" s="25">
        <v>6.8</v>
      </c>
      <c r="F1854" s="25" t="str" cm="1">
        <f t="array" ref="F18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4" s="26">
        <v>2.46</v>
      </c>
      <c r="H1854" s="27">
        <v>53584</v>
      </c>
    </row>
    <row r="1855" spans="1:8" ht="18" x14ac:dyDescent="0.25">
      <c r="A1855" s="24" t="s">
        <v>1810</v>
      </c>
      <c r="B1855" s="25">
        <v>2017</v>
      </c>
      <c r="C1855" s="25" t="s">
        <v>2462</v>
      </c>
      <c r="D1855" s="25">
        <v>118</v>
      </c>
      <c r="E1855" s="25">
        <v>6.6</v>
      </c>
      <c r="F1855" s="25" t="str" cm="1">
        <f t="array" ref="F18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5" s="26">
        <v>0.13</v>
      </c>
      <c r="H1855" s="27">
        <v>7111</v>
      </c>
    </row>
    <row r="1856" spans="1:8" ht="18" x14ac:dyDescent="0.25">
      <c r="A1856" s="24" t="s">
        <v>1811</v>
      </c>
      <c r="B1856" s="25">
        <v>2017</v>
      </c>
      <c r="C1856" s="25" t="s">
        <v>2462</v>
      </c>
      <c r="D1856" s="25">
        <v>105</v>
      </c>
      <c r="E1856" s="25">
        <v>6.8</v>
      </c>
      <c r="F1856" s="25" t="str" cm="1">
        <f t="array" ref="F18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6" s="26">
        <v>2.46</v>
      </c>
      <c r="H1856" s="27">
        <v>5100</v>
      </c>
    </row>
    <row r="1857" spans="1:8" ht="18" x14ac:dyDescent="0.25">
      <c r="A1857" s="24" t="s">
        <v>2433</v>
      </c>
      <c r="B1857" s="25">
        <v>2017</v>
      </c>
      <c r="C1857" s="25" t="s">
        <v>2462</v>
      </c>
      <c r="D1857" s="25">
        <v>95</v>
      </c>
      <c r="E1857" s="25">
        <v>7</v>
      </c>
      <c r="F1857" s="25" t="str" cm="1">
        <f t="array" ref="F18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7" s="26">
        <v>2.46</v>
      </c>
      <c r="H1857" s="27">
        <v>7044</v>
      </c>
    </row>
    <row r="1858" spans="1:8" ht="18" x14ac:dyDescent="0.25">
      <c r="A1858" s="24" t="s">
        <v>2434</v>
      </c>
      <c r="B1858" s="25">
        <v>2017</v>
      </c>
      <c r="C1858" s="25" t="s">
        <v>2462</v>
      </c>
      <c r="D1858" s="25">
        <v>140</v>
      </c>
      <c r="E1858" s="25">
        <v>7.4</v>
      </c>
      <c r="F1858" s="25" t="str" cm="1">
        <f t="array" ref="F185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8" s="26">
        <v>146.88</v>
      </c>
      <c r="H1858" s="27">
        <v>273503</v>
      </c>
    </row>
    <row r="1859" spans="1:8" ht="18" x14ac:dyDescent="0.25">
      <c r="A1859" s="24" t="s">
        <v>1814</v>
      </c>
      <c r="B1859" s="25">
        <v>2017</v>
      </c>
      <c r="C1859" s="25" t="s">
        <v>2462</v>
      </c>
      <c r="D1859" s="25">
        <v>98</v>
      </c>
      <c r="E1859" s="25">
        <v>7.5</v>
      </c>
      <c r="F1859" s="25" t="str" cm="1">
        <f t="array" ref="F185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59" s="26">
        <v>0.04</v>
      </c>
      <c r="H1859" s="27">
        <v>3164</v>
      </c>
    </row>
    <row r="1860" spans="1:8" ht="18" x14ac:dyDescent="0.25">
      <c r="A1860" s="24" t="s">
        <v>1816</v>
      </c>
      <c r="B1860" s="25">
        <v>2017</v>
      </c>
      <c r="C1860" s="25" t="s">
        <v>2462</v>
      </c>
      <c r="D1860" s="25">
        <v>134</v>
      </c>
      <c r="E1860" s="25">
        <v>7.4</v>
      </c>
      <c r="F1860" s="25" t="str" cm="1">
        <f t="array" ref="F186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0" s="26">
        <v>2.46</v>
      </c>
      <c r="H1860" s="27">
        <v>52994</v>
      </c>
    </row>
    <row r="1861" spans="1:8" ht="18" x14ac:dyDescent="0.25">
      <c r="A1861" s="24" t="s">
        <v>2435</v>
      </c>
      <c r="B1861" s="25">
        <v>2017</v>
      </c>
      <c r="C1861" s="25" t="s">
        <v>2462</v>
      </c>
      <c r="D1861" s="25">
        <v>143</v>
      </c>
      <c r="E1861" s="25">
        <v>7.4</v>
      </c>
      <c r="F1861" s="25" t="str" cm="1">
        <f t="array" ref="F186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1" s="26">
        <v>0.13</v>
      </c>
      <c r="H1861" s="27">
        <v>16453</v>
      </c>
    </row>
    <row r="1862" spans="1:8" ht="18" x14ac:dyDescent="0.25">
      <c r="A1862" s="24" t="s">
        <v>1819</v>
      </c>
      <c r="B1862" s="25">
        <v>2017</v>
      </c>
      <c r="C1862" s="25" t="s">
        <v>2462</v>
      </c>
      <c r="D1862" s="25">
        <v>111</v>
      </c>
      <c r="E1862" s="25">
        <v>6.8</v>
      </c>
      <c r="F1862" s="25" t="str" cm="1">
        <f t="array" ref="F186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2" s="26">
        <v>22.25</v>
      </c>
      <c r="H1862" s="27">
        <v>37633</v>
      </c>
    </row>
    <row r="1863" spans="1:8" ht="18" x14ac:dyDescent="0.25">
      <c r="A1863" s="24" t="s">
        <v>2436</v>
      </c>
      <c r="B1863" s="25">
        <v>2017</v>
      </c>
      <c r="C1863" s="25" t="s">
        <v>2462</v>
      </c>
      <c r="D1863" s="25">
        <v>93</v>
      </c>
      <c r="E1863" s="25">
        <v>5.8</v>
      </c>
      <c r="F1863" s="25" t="str" cm="1">
        <f t="array" ref="F186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3" s="26">
        <v>2.46</v>
      </c>
      <c r="H1863" s="27">
        <v>15622</v>
      </c>
    </row>
    <row r="1864" spans="1:8" ht="18" x14ac:dyDescent="0.25">
      <c r="A1864" s="24" t="s">
        <v>1822</v>
      </c>
      <c r="B1864" s="25">
        <v>2017</v>
      </c>
      <c r="C1864" s="25" t="s">
        <v>2462</v>
      </c>
      <c r="D1864" s="25">
        <v>104</v>
      </c>
      <c r="E1864" s="25">
        <v>5.2</v>
      </c>
      <c r="F1864" s="25" t="str" cm="1">
        <f t="array" ref="F186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4" s="26">
        <v>2.46</v>
      </c>
      <c r="H1864" s="27">
        <v>448</v>
      </c>
    </row>
    <row r="1865" spans="1:8" ht="18" x14ac:dyDescent="0.25">
      <c r="A1865" s="24" t="s">
        <v>1827</v>
      </c>
      <c r="B1865" s="25">
        <v>2017</v>
      </c>
      <c r="C1865" s="25" t="s">
        <v>2462</v>
      </c>
      <c r="D1865" s="25">
        <v>92</v>
      </c>
      <c r="E1865" s="25">
        <v>5.4</v>
      </c>
      <c r="F1865" s="25" t="str" cm="1">
        <f t="array" ref="F186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5" s="26">
        <v>0</v>
      </c>
      <c r="H1865" s="27">
        <v>1729</v>
      </c>
    </row>
    <row r="1866" spans="1:8" ht="18" x14ac:dyDescent="0.25">
      <c r="A1866" s="24" t="s">
        <v>1828</v>
      </c>
      <c r="B1866" s="25">
        <v>2017</v>
      </c>
      <c r="C1866" s="25" t="s">
        <v>2462</v>
      </c>
      <c r="D1866" s="25">
        <v>141</v>
      </c>
      <c r="E1866" s="25">
        <v>6.7</v>
      </c>
      <c r="F1866" s="25" t="str" cm="1">
        <f t="array" ref="F186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6" s="26">
        <v>100.23</v>
      </c>
      <c r="H1866" s="27">
        <v>353008</v>
      </c>
    </row>
    <row r="1867" spans="1:8" ht="18" x14ac:dyDescent="0.25">
      <c r="A1867" s="24" t="s">
        <v>1829</v>
      </c>
      <c r="B1867" s="25">
        <v>2017</v>
      </c>
      <c r="C1867" s="25" t="s">
        <v>2462</v>
      </c>
      <c r="D1867" s="25">
        <v>106</v>
      </c>
      <c r="E1867" s="25">
        <v>7.8</v>
      </c>
      <c r="F1867" s="25" t="str" cm="1">
        <f t="array" ref="F186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7" s="26">
        <v>188.37</v>
      </c>
      <c r="H1867" s="27">
        <v>717288</v>
      </c>
    </row>
    <row r="1868" spans="1:8" ht="18" x14ac:dyDescent="0.25">
      <c r="A1868" s="24" t="s">
        <v>1830</v>
      </c>
      <c r="B1868" s="25">
        <v>2017</v>
      </c>
      <c r="C1868" s="25" t="s">
        <v>2462</v>
      </c>
      <c r="D1868" s="25">
        <v>98</v>
      </c>
      <c r="E1868" s="25">
        <v>6.4</v>
      </c>
      <c r="F1868" s="25" t="str" cm="1">
        <f t="array" ref="F186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8" s="26">
        <v>0.47</v>
      </c>
      <c r="H1868" s="27">
        <v>16052</v>
      </c>
    </row>
    <row r="1869" spans="1:8" ht="18" x14ac:dyDescent="0.25">
      <c r="A1869" s="24" t="s">
        <v>1831</v>
      </c>
      <c r="B1869" s="25">
        <v>2017</v>
      </c>
      <c r="C1869" s="25" t="s">
        <v>2462</v>
      </c>
      <c r="D1869" s="25">
        <v>109</v>
      </c>
      <c r="E1869" s="25">
        <v>5.3</v>
      </c>
      <c r="F1869" s="25" t="str" cm="1">
        <f t="array" ref="F186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69" s="26">
        <v>33.700000000000003</v>
      </c>
      <c r="H1869" s="27">
        <v>115394</v>
      </c>
    </row>
    <row r="1870" spans="1:8" ht="18" x14ac:dyDescent="0.25">
      <c r="A1870" s="24" t="s">
        <v>1832</v>
      </c>
      <c r="B1870" s="25">
        <v>2017</v>
      </c>
      <c r="C1870" s="25" t="s">
        <v>2462</v>
      </c>
      <c r="D1870" s="25">
        <v>119</v>
      </c>
      <c r="E1870" s="25">
        <v>5</v>
      </c>
      <c r="F1870" s="25" t="str" cm="1">
        <f t="array" ref="F187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0" s="26">
        <v>0.04</v>
      </c>
      <c r="H1870" s="27">
        <v>1405</v>
      </c>
    </row>
    <row r="1871" spans="1:8" ht="18" x14ac:dyDescent="0.25">
      <c r="A1871" s="24" t="s">
        <v>1833</v>
      </c>
      <c r="B1871" s="25">
        <v>2017</v>
      </c>
      <c r="C1871" s="25" t="s">
        <v>2462</v>
      </c>
      <c r="D1871" s="25">
        <v>112</v>
      </c>
      <c r="E1871" s="25">
        <v>6.4</v>
      </c>
      <c r="F1871" s="25" t="str" cm="1">
        <f t="array" ref="F187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1" s="26">
        <v>30.35</v>
      </c>
      <c r="H1871" s="27">
        <v>79508</v>
      </c>
    </row>
    <row r="1872" spans="1:8" ht="18" x14ac:dyDescent="0.25">
      <c r="A1872" s="24" t="s">
        <v>2437</v>
      </c>
      <c r="B1872" s="25">
        <v>2017</v>
      </c>
      <c r="C1872" s="25" t="s">
        <v>2462</v>
      </c>
      <c r="D1872" s="25">
        <v>121</v>
      </c>
      <c r="E1872" s="25">
        <v>7</v>
      </c>
      <c r="F1872" s="25" t="str" cm="1">
        <f t="array" ref="F187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2" s="26">
        <v>2.29</v>
      </c>
      <c r="H1872" s="27">
        <v>171881</v>
      </c>
    </row>
    <row r="1873" spans="1:8" ht="18" x14ac:dyDescent="0.25">
      <c r="A1873" s="24" t="s">
        <v>2438</v>
      </c>
      <c r="B1873" s="25">
        <v>2017</v>
      </c>
      <c r="C1873" s="25" t="s">
        <v>2462</v>
      </c>
      <c r="D1873" s="25">
        <v>104</v>
      </c>
      <c r="E1873" s="25">
        <v>5.8</v>
      </c>
      <c r="F1873" s="25" t="str" cm="1">
        <f t="array" ref="F187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3" s="26">
        <v>0</v>
      </c>
      <c r="H1873" s="27">
        <v>2816</v>
      </c>
    </row>
    <row r="1874" spans="1:8" ht="18" x14ac:dyDescent="0.25">
      <c r="A1874" s="24" t="s">
        <v>2439</v>
      </c>
      <c r="B1874" s="25">
        <v>2017</v>
      </c>
      <c r="C1874" s="25" t="s">
        <v>2462</v>
      </c>
      <c r="D1874" s="25">
        <v>132</v>
      </c>
      <c r="E1874" s="25">
        <v>7.1</v>
      </c>
      <c r="F1874" s="25" t="str" cm="1">
        <f t="array" ref="F187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4" s="26">
        <v>2.46</v>
      </c>
      <c r="H1874" s="27">
        <v>72588</v>
      </c>
    </row>
    <row r="1875" spans="1:8" ht="18" x14ac:dyDescent="0.25">
      <c r="A1875" s="24" t="s">
        <v>2440</v>
      </c>
      <c r="B1875" s="25">
        <v>2017</v>
      </c>
      <c r="C1875" s="25" t="s">
        <v>2462</v>
      </c>
      <c r="D1875" s="25">
        <v>152</v>
      </c>
      <c r="E1875" s="25">
        <v>6.9</v>
      </c>
      <c r="F1875" s="25" t="str" cm="1">
        <f t="array" ref="F187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5" s="26">
        <v>620.17999999999995</v>
      </c>
      <c r="H1875" s="27">
        <v>659896</v>
      </c>
    </row>
    <row r="1876" spans="1:8" ht="18" x14ac:dyDescent="0.25">
      <c r="A1876" s="24" t="s">
        <v>2441</v>
      </c>
      <c r="B1876" s="25">
        <v>2017</v>
      </c>
      <c r="C1876" s="25" t="s">
        <v>2462</v>
      </c>
      <c r="D1876" s="25">
        <v>121</v>
      </c>
      <c r="E1876" s="25">
        <v>6.7</v>
      </c>
      <c r="F1876" s="25" t="str" cm="1">
        <f t="array" ref="F187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6" s="26">
        <v>12.64</v>
      </c>
      <c r="H1876" s="27">
        <v>58746</v>
      </c>
    </row>
    <row r="1877" spans="1:8" ht="18" x14ac:dyDescent="0.25">
      <c r="A1877" s="24" t="s">
        <v>1840</v>
      </c>
      <c r="B1877" s="25">
        <v>2017</v>
      </c>
      <c r="C1877" s="25" t="s">
        <v>2462</v>
      </c>
      <c r="D1877" s="25">
        <v>98</v>
      </c>
      <c r="E1877" s="25">
        <v>6.3</v>
      </c>
      <c r="F1877" s="25" t="str" cm="1">
        <f t="array" ref="F187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7" s="26">
        <v>2.46</v>
      </c>
      <c r="H1877" s="27">
        <v>37833</v>
      </c>
    </row>
    <row r="1878" spans="1:8" ht="18" x14ac:dyDescent="0.25">
      <c r="A1878" s="24" t="s">
        <v>1841</v>
      </c>
      <c r="B1878" s="25">
        <v>2017</v>
      </c>
      <c r="C1878" s="25" t="s">
        <v>2462</v>
      </c>
      <c r="D1878" s="25">
        <v>82</v>
      </c>
      <c r="E1878" s="25">
        <v>6.4</v>
      </c>
      <c r="F1878" s="25" t="str" cm="1">
        <f t="array" ref="F187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8" s="26">
        <v>2.46</v>
      </c>
      <c r="H1878" s="27">
        <v>21924</v>
      </c>
    </row>
    <row r="1879" spans="1:8" ht="18" x14ac:dyDescent="0.25">
      <c r="A1879" s="24" t="s">
        <v>2442</v>
      </c>
      <c r="B1879" s="25">
        <v>2017</v>
      </c>
      <c r="C1879" s="25" t="s">
        <v>2462</v>
      </c>
      <c r="D1879" s="25">
        <v>103</v>
      </c>
      <c r="E1879" s="25">
        <v>6.4</v>
      </c>
      <c r="F1879" s="25" t="str" cm="1">
        <f t="array" ref="F187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79" s="26">
        <v>0.77</v>
      </c>
      <c r="H1879" s="27">
        <v>14415</v>
      </c>
    </row>
    <row r="1880" spans="1:8" ht="18" x14ac:dyDescent="0.25">
      <c r="A1880" s="24" t="s">
        <v>1843</v>
      </c>
      <c r="B1880" s="25">
        <v>2017</v>
      </c>
      <c r="C1880" s="25" t="s">
        <v>2462</v>
      </c>
      <c r="D1880" s="25">
        <v>116</v>
      </c>
      <c r="E1880" s="25">
        <v>7</v>
      </c>
      <c r="F1880" s="25" t="str" cm="1">
        <f t="array" ref="F188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0" s="26">
        <v>0.15</v>
      </c>
      <c r="H1880" s="27">
        <v>35741</v>
      </c>
    </row>
    <row r="1881" spans="1:8" ht="18" x14ac:dyDescent="0.25">
      <c r="A1881" s="24" t="s">
        <v>822</v>
      </c>
      <c r="B1881" s="25">
        <v>2017</v>
      </c>
      <c r="C1881" s="25" t="s">
        <v>2462</v>
      </c>
      <c r="D1881" s="25">
        <v>118</v>
      </c>
      <c r="E1881" s="25">
        <v>7.1</v>
      </c>
      <c r="F1881" s="25" t="str" cm="1">
        <f t="array" ref="F188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1" s="26">
        <v>0.49</v>
      </c>
      <c r="H1881" s="27">
        <v>24232</v>
      </c>
    </row>
    <row r="1882" spans="1:8" ht="18" x14ac:dyDescent="0.25">
      <c r="A1882" s="24" t="s">
        <v>1844</v>
      </c>
      <c r="B1882" s="25">
        <v>2017</v>
      </c>
      <c r="C1882" s="25" t="s">
        <v>2462</v>
      </c>
      <c r="D1882" s="25">
        <v>120</v>
      </c>
      <c r="E1882" s="25">
        <v>6.1</v>
      </c>
      <c r="F1882" s="25" t="str" cm="1">
        <f t="array" ref="F188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2" s="26">
        <v>229.02</v>
      </c>
      <c r="H1882" s="27">
        <v>471553</v>
      </c>
    </row>
    <row r="1883" spans="1:8" ht="18" x14ac:dyDescent="0.25">
      <c r="A1883" s="24" t="s">
        <v>1845</v>
      </c>
      <c r="B1883" s="25">
        <v>2017</v>
      </c>
      <c r="C1883" s="25" t="s">
        <v>2462</v>
      </c>
      <c r="D1883" s="25">
        <v>121</v>
      </c>
      <c r="E1883" s="25">
        <v>6.6</v>
      </c>
      <c r="F1883" s="25" t="str" cm="1">
        <f t="array" ref="F188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3" s="26">
        <v>17.8</v>
      </c>
      <c r="H1883" s="27">
        <v>243355</v>
      </c>
    </row>
    <row r="1884" spans="1:8" ht="18" x14ac:dyDescent="0.25">
      <c r="A1884" s="24" t="s">
        <v>1846</v>
      </c>
      <c r="B1884" s="25">
        <v>2017</v>
      </c>
      <c r="C1884" s="25" t="s">
        <v>2462</v>
      </c>
      <c r="D1884" s="25">
        <v>96</v>
      </c>
      <c r="E1884" s="25">
        <v>6.7</v>
      </c>
      <c r="F1884" s="25" t="str" cm="1">
        <f t="array" ref="F188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4" s="26">
        <v>2.46</v>
      </c>
      <c r="H1884" s="27">
        <v>4316</v>
      </c>
    </row>
    <row r="1885" spans="1:8" ht="18" x14ac:dyDescent="0.25">
      <c r="A1885" s="24" t="s">
        <v>1847</v>
      </c>
      <c r="B1885" s="25">
        <v>2017</v>
      </c>
      <c r="C1885" s="25" t="s">
        <v>2462</v>
      </c>
      <c r="D1885" s="25">
        <v>164</v>
      </c>
      <c r="E1885" s="25">
        <v>8</v>
      </c>
      <c r="F1885" s="25" t="str" cm="1">
        <f t="array" ref="F188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5" s="26">
        <v>92.05</v>
      </c>
      <c r="H1885" s="27">
        <v>631601</v>
      </c>
    </row>
    <row r="1886" spans="1:8" ht="18" x14ac:dyDescent="0.25">
      <c r="A1886" s="24" t="s">
        <v>2443</v>
      </c>
      <c r="B1886" s="25">
        <v>2017</v>
      </c>
      <c r="C1886" s="25" t="s">
        <v>2462</v>
      </c>
      <c r="D1886" s="25">
        <v>132</v>
      </c>
      <c r="E1886" s="25">
        <v>7.8</v>
      </c>
      <c r="F1886" s="25" t="str" cm="1">
        <f t="array" ref="F188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6" s="26">
        <v>18.100000000000001</v>
      </c>
      <c r="H1886" s="27">
        <v>300485</v>
      </c>
    </row>
    <row r="1887" spans="1:8" ht="18" x14ac:dyDescent="0.25">
      <c r="A1887" s="24" t="s">
        <v>1850</v>
      </c>
      <c r="B1887" s="25">
        <v>2017</v>
      </c>
      <c r="C1887" s="25" t="s">
        <v>2462</v>
      </c>
      <c r="D1887" s="25">
        <v>140</v>
      </c>
      <c r="E1887" s="25">
        <v>5.6</v>
      </c>
      <c r="F1887" s="25" t="str" cm="1">
        <f t="array" ref="F188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7" s="26">
        <v>0.22</v>
      </c>
      <c r="H1887" s="27">
        <v>3282</v>
      </c>
    </row>
    <row r="1888" spans="1:8" ht="18" x14ac:dyDescent="0.25">
      <c r="A1888" s="24" t="s">
        <v>1851</v>
      </c>
      <c r="B1888" s="25">
        <v>2017</v>
      </c>
      <c r="C1888" s="25" t="s">
        <v>2462</v>
      </c>
      <c r="D1888" s="25">
        <v>111</v>
      </c>
      <c r="E1888" s="25">
        <v>6.1</v>
      </c>
      <c r="F1888" s="25" t="str" cm="1">
        <f t="array" ref="F188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8" s="26">
        <v>2.46</v>
      </c>
      <c r="H1888" s="27">
        <v>17494</v>
      </c>
    </row>
    <row r="1889" spans="1:8" ht="18" x14ac:dyDescent="0.25">
      <c r="A1889" s="24" t="s">
        <v>1852</v>
      </c>
      <c r="B1889" s="25">
        <v>2017</v>
      </c>
      <c r="C1889" s="25" t="s">
        <v>2462</v>
      </c>
      <c r="D1889" s="25">
        <v>99</v>
      </c>
      <c r="E1889" s="25">
        <v>6.3</v>
      </c>
      <c r="F1889" s="25" t="str" cm="1">
        <f t="array" ref="F188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89" s="26">
        <v>0.18</v>
      </c>
      <c r="H1889" s="27">
        <v>6787</v>
      </c>
    </row>
    <row r="1890" spans="1:8" ht="18" x14ac:dyDescent="0.25">
      <c r="A1890" s="24" t="s">
        <v>1855</v>
      </c>
      <c r="B1890" s="25">
        <v>2017</v>
      </c>
      <c r="C1890" s="25" t="s">
        <v>2462</v>
      </c>
      <c r="D1890" s="25">
        <v>135</v>
      </c>
      <c r="E1890" s="25">
        <v>7.3</v>
      </c>
      <c r="F1890" s="25" t="str" cm="1">
        <f t="array" ref="F189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0" s="26">
        <v>327.48</v>
      </c>
      <c r="H1890" s="27">
        <v>589755</v>
      </c>
    </row>
    <row r="1891" spans="1:8" ht="18" x14ac:dyDescent="0.25">
      <c r="A1891" s="24" t="s">
        <v>1857</v>
      </c>
      <c r="B1891" s="25">
        <v>2017</v>
      </c>
      <c r="C1891" s="25" t="s">
        <v>2462</v>
      </c>
      <c r="D1891" s="25">
        <v>89</v>
      </c>
      <c r="E1891" s="25">
        <v>6.2</v>
      </c>
      <c r="F1891" s="25" t="str" cm="1">
        <f t="array" ref="F189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1" s="26">
        <v>264.62</v>
      </c>
      <c r="H1891" s="27">
        <v>147878</v>
      </c>
    </row>
    <row r="1892" spans="1:8" ht="18" x14ac:dyDescent="0.25">
      <c r="A1892" s="24" t="s">
        <v>1858</v>
      </c>
      <c r="B1892" s="25">
        <v>2017</v>
      </c>
      <c r="C1892" s="25" t="s">
        <v>2462</v>
      </c>
      <c r="D1892" s="25">
        <v>119</v>
      </c>
      <c r="E1892" s="25">
        <v>7.5</v>
      </c>
      <c r="F1892" s="25" t="str" cm="1">
        <f t="array" ref="F189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2" s="26">
        <v>30.01</v>
      </c>
      <c r="H1892" s="27">
        <v>235784</v>
      </c>
    </row>
    <row r="1893" spans="1:8" ht="18" x14ac:dyDescent="0.25">
      <c r="A1893" s="24" t="s">
        <v>1859</v>
      </c>
      <c r="B1893" s="25">
        <v>2017</v>
      </c>
      <c r="C1893" s="25" t="s">
        <v>2462</v>
      </c>
      <c r="D1893" s="25">
        <v>118</v>
      </c>
      <c r="E1893" s="25">
        <v>7.3</v>
      </c>
      <c r="F1893" s="25" t="str" cm="1">
        <f t="array" ref="F189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3" s="26">
        <v>10.050000000000001</v>
      </c>
      <c r="H1893" s="27">
        <v>26078</v>
      </c>
    </row>
    <row r="1894" spans="1:8" ht="18" x14ac:dyDescent="0.25">
      <c r="A1894" s="24" t="s">
        <v>1860</v>
      </c>
      <c r="B1894" s="25">
        <v>2017</v>
      </c>
      <c r="C1894" s="25" t="s">
        <v>2462</v>
      </c>
      <c r="D1894" s="25">
        <v>117</v>
      </c>
      <c r="E1894" s="25">
        <v>6.3</v>
      </c>
      <c r="F1894" s="25" t="str" cm="1">
        <f t="array" ref="F189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4" s="26">
        <v>2.46</v>
      </c>
      <c r="H1894" s="27">
        <v>198607</v>
      </c>
    </row>
    <row r="1895" spans="1:8" ht="18" x14ac:dyDescent="0.25">
      <c r="A1895" s="24" t="s">
        <v>1861</v>
      </c>
      <c r="B1895" s="25">
        <v>2017</v>
      </c>
      <c r="C1895" s="25" t="s">
        <v>2462</v>
      </c>
      <c r="D1895" s="25">
        <v>115</v>
      </c>
      <c r="E1895" s="25">
        <v>6.3</v>
      </c>
      <c r="F1895" s="25" t="str" cm="1">
        <f t="array" ref="F189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5" s="26">
        <v>2.46</v>
      </c>
      <c r="H1895" s="27">
        <v>26587</v>
      </c>
    </row>
    <row r="1896" spans="1:8" ht="18" x14ac:dyDescent="0.25">
      <c r="A1896" s="24" t="s">
        <v>1862</v>
      </c>
      <c r="B1896" s="25">
        <v>2017</v>
      </c>
      <c r="C1896" s="25" t="s">
        <v>2462</v>
      </c>
      <c r="D1896" s="25">
        <v>106</v>
      </c>
      <c r="E1896" s="25">
        <v>5.3</v>
      </c>
      <c r="F1896" s="25" t="str" cm="1">
        <f t="array" ref="F189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6" s="26">
        <v>2.46</v>
      </c>
      <c r="H1896" s="27">
        <v>23053</v>
      </c>
    </row>
    <row r="1897" spans="1:8" ht="18" x14ac:dyDescent="0.25">
      <c r="A1897" s="24" t="s">
        <v>1863</v>
      </c>
      <c r="B1897" s="25">
        <v>2017</v>
      </c>
      <c r="C1897" s="25" t="s">
        <v>2462</v>
      </c>
      <c r="D1897" s="25">
        <v>115</v>
      </c>
      <c r="E1897" s="25">
        <v>8.1</v>
      </c>
      <c r="F1897" s="25" t="str" cm="1">
        <f t="array" ref="F189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7" s="26">
        <v>54.51</v>
      </c>
      <c r="H1897" s="27">
        <v>540260</v>
      </c>
    </row>
    <row r="1898" spans="1:8" ht="18" x14ac:dyDescent="0.25">
      <c r="A1898" s="24" t="s">
        <v>1864</v>
      </c>
      <c r="B1898" s="25">
        <v>2017</v>
      </c>
      <c r="C1898" s="25" t="s">
        <v>2462</v>
      </c>
      <c r="D1898" s="25">
        <v>94</v>
      </c>
      <c r="E1898" s="25">
        <v>7.4</v>
      </c>
      <c r="F1898" s="25" t="str" cm="1">
        <f t="array" ref="F189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8" s="26">
        <v>48.96</v>
      </c>
      <c r="H1898" s="27">
        <v>316455</v>
      </c>
    </row>
    <row r="1899" spans="1:8" ht="18" x14ac:dyDescent="0.25">
      <c r="A1899" s="24" t="s">
        <v>1866</v>
      </c>
      <c r="B1899" s="25">
        <v>2017</v>
      </c>
      <c r="C1899" s="25" t="s">
        <v>2462</v>
      </c>
      <c r="D1899" s="25">
        <v>105</v>
      </c>
      <c r="E1899" s="25">
        <v>8.4</v>
      </c>
      <c r="F1899" s="25" t="str" cm="1">
        <f t="array" ref="F189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899" s="26">
        <v>209.73</v>
      </c>
      <c r="H1899" s="27">
        <v>563893</v>
      </c>
    </row>
    <row r="1900" spans="1:8" ht="18" x14ac:dyDescent="0.25">
      <c r="A1900" s="24" t="s">
        <v>2444</v>
      </c>
      <c r="B1900" s="25">
        <v>2017</v>
      </c>
      <c r="C1900" s="25" t="s">
        <v>2462</v>
      </c>
      <c r="D1900" s="25">
        <v>107</v>
      </c>
      <c r="E1900" s="25">
        <v>6.9</v>
      </c>
      <c r="F1900" s="25" t="str" cm="1">
        <f t="array" ref="F190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0" s="26">
        <v>14.11</v>
      </c>
      <c r="H1900" s="27">
        <v>33887</v>
      </c>
    </row>
    <row r="1901" spans="1:8" ht="18" x14ac:dyDescent="0.25">
      <c r="A1901" s="24" t="s">
        <v>1870</v>
      </c>
      <c r="B1901" s="25">
        <v>2017</v>
      </c>
      <c r="C1901" s="25" t="s">
        <v>2462</v>
      </c>
      <c r="D1901" s="25">
        <v>98</v>
      </c>
      <c r="E1901" s="25">
        <v>5.2</v>
      </c>
      <c r="F1901" s="25" t="str" cm="1">
        <f t="array" ref="F190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1" s="26">
        <v>2.46</v>
      </c>
      <c r="H1901" s="27">
        <v>18532</v>
      </c>
    </row>
    <row r="1902" spans="1:8" ht="18" x14ac:dyDescent="0.25">
      <c r="A1902" s="24" t="s">
        <v>1871</v>
      </c>
      <c r="B1902" s="25">
        <v>2017</v>
      </c>
      <c r="C1902" s="25" t="s">
        <v>2462</v>
      </c>
      <c r="D1902" s="25">
        <v>125</v>
      </c>
      <c r="E1902" s="25">
        <v>6.9</v>
      </c>
      <c r="F1902" s="25" t="str" cm="1">
        <f t="array" ref="F190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2" s="26">
        <v>0.97</v>
      </c>
      <c r="H1902" s="27">
        <v>27308</v>
      </c>
    </row>
    <row r="1903" spans="1:8" ht="18" x14ac:dyDescent="0.25">
      <c r="A1903" s="24" t="s">
        <v>1872</v>
      </c>
      <c r="B1903" s="25">
        <v>2017</v>
      </c>
      <c r="C1903" s="25" t="s">
        <v>2462</v>
      </c>
      <c r="D1903" s="25">
        <v>111</v>
      </c>
      <c r="E1903" s="25">
        <v>7.6</v>
      </c>
      <c r="F1903" s="25" t="str" cm="1">
        <f t="array" ref="F190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3" s="26">
        <v>5.9</v>
      </c>
      <c r="H1903" s="27">
        <v>123734</v>
      </c>
    </row>
    <row r="1904" spans="1:8" ht="18" x14ac:dyDescent="0.25">
      <c r="A1904" s="24" t="s">
        <v>1873</v>
      </c>
      <c r="B1904" s="25">
        <v>2017</v>
      </c>
      <c r="C1904" s="25" t="s">
        <v>2462</v>
      </c>
      <c r="D1904" s="25">
        <v>119</v>
      </c>
      <c r="E1904" s="25">
        <v>6.9</v>
      </c>
      <c r="F1904" s="25" t="str" cm="1">
        <f t="array" ref="F190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4" s="26">
        <v>4.21</v>
      </c>
      <c r="H1904" s="27">
        <v>48520</v>
      </c>
    </row>
    <row r="1905" spans="1:8" ht="18" x14ac:dyDescent="0.25">
      <c r="A1905" s="24" t="s">
        <v>2445</v>
      </c>
      <c r="B1905" s="25">
        <v>2017</v>
      </c>
      <c r="C1905" s="25" t="s">
        <v>2462</v>
      </c>
      <c r="D1905" s="25">
        <v>106</v>
      </c>
      <c r="E1905" s="25">
        <v>6.7</v>
      </c>
      <c r="F1905" s="25" t="str" cm="1">
        <f t="array" ref="F190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5" s="26">
        <v>0.38</v>
      </c>
      <c r="H1905" s="27">
        <v>10551</v>
      </c>
    </row>
    <row r="1906" spans="1:8" ht="18" x14ac:dyDescent="0.25">
      <c r="A1906" s="24" t="s">
        <v>1875</v>
      </c>
      <c r="B1906" s="25">
        <v>2017</v>
      </c>
      <c r="C1906" s="25" t="s">
        <v>2462</v>
      </c>
      <c r="D1906" s="25">
        <v>116</v>
      </c>
      <c r="E1906" s="25">
        <v>6.2</v>
      </c>
      <c r="F1906" s="25" t="str" cm="1">
        <f t="array" ref="F190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6" s="26">
        <v>1.03</v>
      </c>
      <c r="H1906" s="27">
        <v>10875</v>
      </c>
    </row>
    <row r="1907" spans="1:8" ht="18" x14ac:dyDescent="0.25">
      <c r="A1907" s="24" t="s">
        <v>1877</v>
      </c>
      <c r="B1907" s="25">
        <v>2017</v>
      </c>
      <c r="C1907" s="25" t="s">
        <v>2462</v>
      </c>
      <c r="D1907" s="25">
        <v>119</v>
      </c>
      <c r="E1907" s="25">
        <v>5.0999999999999996</v>
      </c>
      <c r="F1907" s="25" t="str" cm="1">
        <f t="array" ref="F190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7" s="26">
        <v>6.67</v>
      </c>
      <c r="H1907" s="27">
        <v>70065</v>
      </c>
    </row>
    <row r="1908" spans="1:8" ht="18" x14ac:dyDescent="0.25">
      <c r="A1908" s="24" t="s">
        <v>2446</v>
      </c>
      <c r="B1908" s="25">
        <v>2017</v>
      </c>
      <c r="C1908" s="25" t="s">
        <v>2462</v>
      </c>
      <c r="D1908" s="25">
        <v>108</v>
      </c>
      <c r="E1908" s="25">
        <v>7</v>
      </c>
      <c r="F1908" s="25" t="str" cm="1">
        <f t="array" ref="F190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8" s="26">
        <v>1.59</v>
      </c>
      <c r="H1908" s="27">
        <v>28055</v>
      </c>
    </row>
    <row r="1909" spans="1:8" ht="18" x14ac:dyDescent="0.25">
      <c r="A1909" s="24" t="s">
        <v>1879</v>
      </c>
      <c r="B1909" s="25">
        <v>2017</v>
      </c>
      <c r="C1909" s="25" t="s">
        <v>2462</v>
      </c>
      <c r="D1909" s="25">
        <v>111</v>
      </c>
      <c r="E1909" s="25">
        <v>6.2</v>
      </c>
      <c r="F1909" s="25" t="str" cm="1">
        <f t="array" ref="F190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09" s="26">
        <v>36.25</v>
      </c>
      <c r="H1909" s="27">
        <v>87311</v>
      </c>
    </row>
    <row r="1910" spans="1:8" ht="18" x14ac:dyDescent="0.25">
      <c r="A1910" s="24" t="s">
        <v>1880</v>
      </c>
      <c r="B1910" s="25">
        <v>2017</v>
      </c>
      <c r="C1910" s="25" t="s">
        <v>2462</v>
      </c>
      <c r="D1910" s="25">
        <v>107</v>
      </c>
      <c r="E1910" s="25">
        <v>7.1</v>
      </c>
      <c r="F1910" s="25" t="str" cm="1">
        <f t="array" ref="F191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0" s="26">
        <v>1.74</v>
      </c>
      <c r="H1910" s="27">
        <v>29252</v>
      </c>
    </row>
    <row r="1911" spans="1:8" ht="18" x14ac:dyDescent="0.25">
      <c r="A1911" s="24" t="s">
        <v>2447</v>
      </c>
      <c r="B1911" s="25">
        <v>2017</v>
      </c>
      <c r="C1911" s="25" t="s">
        <v>2462</v>
      </c>
      <c r="D1911" s="25">
        <v>123</v>
      </c>
      <c r="E1911" s="25">
        <v>7.3</v>
      </c>
      <c r="F1911" s="25" t="str" cm="1">
        <f t="array" ref="F191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1" s="26">
        <v>63.86</v>
      </c>
      <c r="H1911" s="27">
        <v>439549</v>
      </c>
    </row>
    <row r="1912" spans="1:8" ht="18" x14ac:dyDescent="0.25">
      <c r="A1912" s="24" t="s">
        <v>1883</v>
      </c>
      <c r="B1912" s="25">
        <v>2017</v>
      </c>
      <c r="C1912" s="25" t="s">
        <v>2462</v>
      </c>
      <c r="D1912" s="25">
        <v>97</v>
      </c>
      <c r="E1912" s="25">
        <v>7.3</v>
      </c>
      <c r="F1912" s="25" t="str" cm="1">
        <f t="array" ref="F191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2" s="26">
        <v>0.53</v>
      </c>
      <c r="H1912" s="27">
        <v>17546</v>
      </c>
    </row>
    <row r="1913" spans="1:8" ht="18" x14ac:dyDescent="0.25">
      <c r="A1913" s="24" t="s">
        <v>1884</v>
      </c>
      <c r="B1913" s="25">
        <v>2017</v>
      </c>
      <c r="C1913" s="25" t="s">
        <v>2462</v>
      </c>
      <c r="D1913" s="25">
        <v>93</v>
      </c>
      <c r="E1913" s="25">
        <v>5.4</v>
      </c>
      <c r="F1913" s="25" t="str" cm="1">
        <f t="array" ref="F191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3" s="26">
        <v>2.46</v>
      </c>
      <c r="H1913" s="27">
        <v>11111</v>
      </c>
    </row>
    <row r="1914" spans="1:8" ht="18" x14ac:dyDescent="0.25">
      <c r="A1914" s="24" t="s">
        <v>1886</v>
      </c>
      <c r="B1914" s="25">
        <v>2017</v>
      </c>
      <c r="C1914" s="25" t="s">
        <v>2462</v>
      </c>
      <c r="D1914" s="25">
        <v>101</v>
      </c>
      <c r="E1914" s="25">
        <v>6.2</v>
      </c>
      <c r="F1914" s="25" t="str" cm="1">
        <f t="array" ref="F191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4" s="26">
        <v>1.4</v>
      </c>
      <c r="H1914" s="27">
        <v>30356</v>
      </c>
    </row>
    <row r="1915" spans="1:8" ht="18" x14ac:dyDescent="0.25">
      <c r="A1915" s="24" t="s">
        <v>1889</v>
      </c>
      <c r="B1915" s="25">
        <v>2017</v>
      </c>
      <c r="C1915" s="25" t="s">
        <v>2462</v>
      </c>
      <c r="D1915" s="25">
        <v>125</v>
      </c>
      <c r="E1915" s="25">
        <v>7.4</v>
      </c>
      <c r="F1915" s="25" t="str" cm="1">
        <f t="array" ref="F191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5" s="26">
        <v>56.47</v>
      </c>
      <c r="H1915" s="27">
        <v>215073</v>
      </c>
    </row>
    <row r="1916" spans="1:8" ht="18" x14ac:dyDescent="0.25">
      <c r="A1916" s="24" t="s">
        <v>1890</v>
      </c>
      <c r="B1916" s="25">
        <v>2017</v>
      </c>
      <c r="C1916" s="25" t="s">
        <v>2462</v>
      </c>
      <c r="D1916" s="25">
        <v>113</v>
      </c>
      <c r="E1916" s="25">
        <v>7</v>
      </c>
      <c r="F1916" s="25" t="str" cm="1">
        <f t="array" ref="F191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6" s="26">
        <v>34.39</v>
      </c>
      <c r="H1916" s="27">
        <v>121070</v>
      </c>
    </row>
    <row r="1917" spans="1:8" ht="18" x14ac:dyDescent="0.25">
      <c r="A1917" s="24" t="s">
        <v>1891</v>
      </c>
      <c r="B1917" s="25">
        <v>2017</v>
      </c>
      <c r="C1917" s="25" t="s">
        <v>2462</v>
      </c>
      <c r="D1917" s="25">
        <v>124</v>
      </c>
      <c r="E1917" s="25">
        <v>6.6</v>
      </c>
      <c r="F1917" s="25" t="str" cm="1">
        <f t="array" ref="F191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7" s="26">
        <v>0.03</v>
      </c>
      <c r="H1917" s="27">
        <v>16331</v>
      </c>
    </row>
    <row r="1918" spans="1:8" ht="18" x14ac:dyDescent="0.25">
      <c r="A1918" s="24" t="s">
        <v>1892</v>
      </c>
      <c r="B1918" s="25">
        <v>2017</v>
      </c>
      <c r="C1918" s="25" t="s">
        <v>2462</v>
      </c>
      <c r="D1918" s="25">
        <v>130</v>
      </c>
      <c r="E1918" s="25">
        <v>7.9</v>
      </c>
      <c r="F1918" s="25" t="str" cm="1">
        <f t="array" ref="F191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8" s="26">
        <v>315.06</v>
      </c>
      <c r="H1918" s="27">
        <v>798053</v>
      </c>
    </row>
    <row r="1919" spans="1:8" ht="18" x14ac:dyDescent="0.25">
      <c r="A1919" s="24" t="s">
        <v>2448</v>
      </c>
      <c r="B1919" s="25">
        <v>2017</v>
      </c>
      <c r="C1919" s="25" t="s">
        <v>2462</v>
      </c>
      <c r="D1919" s="25">
        <v>134</v>
      </c>
      <c r="E1919" s="25">
        <v>7.6</v>
      </c>
      <c r="F1919" s="25" t="str" cm="1">
        <f t="array" ref="F191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19" s="26">
        <v>18.34</v>
      </c>
      <c r="H1919" s="27">
        <v>75156</v>
      </c>
    </row>
    <row r="1920" spans="1:8" ht="18" x14ac:dyDescent="0.25">
      <c r="A1920" s="24" t="s">
        <v>2449</v>
      </c>
      <c r="B1920" s="25">
        <v>2017</v>
      </c>
      <c r="C1920" s="25" t="s">
        <v>2462</v>
      </c>
      <c r="D1920" s="25">
        <v>140</v>
      </c>
      <c r="E1920" s="25">
        <v>7.4</v>
      </c>
      <c r="F1920" s="25" t="str" cm="1">
        <f t="array" ref="F192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0" s="26">
        <v>28.78</v>
      </c>
      <c r="H1920" s="27">
        <v>183312</v>
      </c>
    </row>
    <row r="1921" spans="1:8" ht="18" x14ac:dyDescent="0.25">
      <c r="A1921" s="24" t="s">
        <v>2450</v>
      </c>
      <c r="B1921" s="25">
        <v>2017</v>
      </c>
      <c r="C1921" s="25" t="s">
        <v>2462</v>
      </c>
      <c r="D1921" s="25">
        <v>114</v>
      </c>
      <c r="E1921" s="25">
        <v>6.5</v>
      </c>
      <c r="F1921" s="25" t="str" cm="1">
        <f t="array" ref="F192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1" s="26">
        <v>102.83</v>
      </c>
      <c r="H1921" s="27">
        <v>282170</v>
      </c>
    </row>
    <row r="1922" spans="1:8" ht="18" x14ac:dyDescent="0.25">
      <c r="A1922" s="24" t="s">
        <v>1897</v>
      </c>
      <c r="B1922" s="25">
        <v>2017</v>
      </c>
      <c r="C1922" s="25" t="s">
        <v>2462</v>
      </c>
      <c r="D1922" s="25">
        <v>90</v>
      </c>
      <c r="E1922" s="25">
        <v>6.2</v>
      </c>
      <c r="F1922" s="25" t="str" cm="1">
        <f t="array" ref="F192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2" s="26">
        <v>0.46</v>
      </c>
      <c r="H1922" s="27">
        <v>5954</v>
      </c>
    </row>
    <row r="1923" spans="1:8" ht="18" x14ac:dyDescent="0.25">
      <c r="A1923" s="24" t="s">
        <v>1900</v>
      </c>
      <c r="B1923" s="25">
        <v>2017</v>
      </c>
      <c r="C1923" s="25" t="s">
        <v>2462</v>
      </c>
      <c r="D1923" s="25">
        <v>116</v>
      </c>
      <c r="E1923" s="25">
        <v>7.2</v>
      </c>
      <c r="F1923" s="25" t="str" cm="1">
        <f t="array" ref="F192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3" s="26">
        <v>81.900000000000006</v>
      </c>
      <c r="H1923" s="27">
        <v>159263</v>
      </c>
    </row>
    <row r="1924" spans="1:8" ht="18" x14ac:dyDescent="0.25">
      <c r="A1924" s="24" t="s">
        <v>1903</v>
      </c>
      <c r="B1924" s="25">
        <v>2017</v>
      </c>
      <c r="C1924" s="25" t="s">
        <v>2462</v>
      </c>
      <c r="D1924" s="25">
        <v>105</v>
      </c>
      <c r="E1924" s="25">
        <v>5.8</v>
      </c>
      <c r="F1924" s="25" t="str" cm="1">
        <f t="array" ref="F192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4" s="26">
        <v>5.78</v>
      </c>
      <c r="H1924" s="27">
        <v>46546</v>
      </c>
    </row>
    <row r="1925" spans="1:8" ht="18" x14ac:dyDescent="0.25">
      <c r="A1925" s="24" t="s">
        <v>1905</v>
      </c>
      <c r="B1925" s="25">
        <v>2017</v>
      </c>
      <c r="C1925" s="25" t="s">
        <v>2462</v>
      </c>
      <c r="D1925" s="25">
        <v>117</v>
      </c>
      <c r="E1925" s="25">
        <v>6.3</v>
      </c>
      <c r="F1925" s="25" t="str" cm="1">
        <f t="array" ref="F192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5" s="26">
        <v>2.46</v>
      </c>
      <c r="H1925" s="27">
        <v>17769</v>
      </c>
    </row>
    <row r="1926" spans="1:8" ht="18" x14ac:dyDescent="0.25">
      <c r="A1926" s="24" t="s">
        <v>1907</v>
      </c>
      <c r="B1926" s="25">
        <v>2017</v>
      </c>
      <c r="C1926" s="25" t="s">
        <v>2462</v>
      </c>
      <c r="D1926" s="25">
        <v>104</v>
      </c>
      <c r="E1926" s="25">
        <v>7.2</v>
      </c>
      <c r="F1926" s="25" t="str" cm="1">
        <f t="array" ref="F192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6" s="26">
        <v>1.02</v>
      </c>
      <c r="H1926" s="27">
        <v>20251</v>
      </c>
    </row>
    <row r="1927" spans="1:8" ht="18" x14ac:dyDescent="0.25">
      <c r="A1927" s="24" t="s">
        <v>1908</v>
      </c>
      <c r="B1927" s="25">
        <v>2017</v>
      </c>
      <c r="C1927" s="25" t="s">
        <v>2462</v>
      </c>
      <c r="D1927" s="25">
        <v>111</v>
      </c>
      <c r="E1927" s="25">
        <v>6.8</v>
      </c>
      <c r="F1927" s="25" t="str" cm="1">
        <f t="array" ref="F192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7" s="26">
        <v>0.08</v>
      </c>
      <c r="H1927" s="27">
        <v>9032</v>
      </c>
    </row>
    <row r="1928" spans="1:8" ht="18" x14ac:dyDescent="0.25">
      <c r="A1928" s="24" t="s">
        <v>1909</v>
      </c>
      <c r="B1928" s="25">
        <v>2017</v>
      </c>
      <c r="C1928" s="25" t="s">
        <v>2462</v>
      </c>
      <c r="D1928" s="25">
        <v>122</v>
      </c>
      <c r="E1928" s="25">
        <v>6.5</v>
      </c>
      <c r="F1928" s="25" t="str" cm="1">
        <f t="array" ref="F192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8" s="26">
        <v>11.96</v>
      </c>
      <c r="H1928" s="27">
        <v>41972</v>
      </c>
    </row>
    <row r="1929" spans="1:8" ht="18" x14ac:dyDescent="0.25">
      <c r="A1929" s="24" t="s">
        <v>1910</v>
      </c>
      <c r="B1929" s="25">
        <v>2017</v>
      </c>
      <c r="C1929" s="25" t="s">
        <v>2462</v>
      </c>
      <c r="D1929" s="25">
        <v>98</v>
      </c>
      <c r="E1929" s="25">
        <v>6.3</v>
      </c>
      <c r="F1929" s="25" t="str" cm="1">
        <f t="array" ref="F192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29" s="26">
        <v>2.46</v>
      </c>
      <c r="H1929" s="27">
        <v>1236</v>
      </c>
    </row>
    <row r="1930" spans="1:8" ht="18" x14ac:dyDescent="0.25">
      <c r="A1930" s="24" t="s">
        <v>1911</v>
      </c>
      <c r="B1930" s="25">
        <v>2017</v>
      </c>
      <c r="C1930" s="25" t="s">
        <v>2462</v>
      </c>
      <c r="D1930" s="25">
        <v>130</v>
      </c>
      <c r="E1930" s="25">
        <v>7.4</v>
      </c>
      <c r="F1930" s="25" t="str" cm="1">
        <f t="array" ref="F193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0" s="26">
        <v>21.02</v>
      </c>
      <c r="H1930" s="27">
        <v>141596</v>
      </c>
    </row>
    <row r="1931" spans="1:8" ht="18" x14ac:dyDescent="0.25">
      <c r="A1931" s="24" t="s">
        <v>1912</v>
      </c>
      <c r="B1931" s="25">
        <v>2017</v>
      </c>
      <c r="C1931" s="25" t="s">
        <v>2462</v>
      </c>
      <c r="D1931" s="25">
        <v>93</v>
      </c>
      <c r="E1931" s="25">
        <v>6.7</v>
      </c>
      <c r="F1931" s="25" t="str" cm="1">
        <f t="array" ref="F193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1" s="26">
        <v>0.01</v>
      </c>
      <c r="H1931" s="27">
        <v>14851</v>
      </c>
    </row>
    <row r="1932" spans="1:8" ht="18" x14ac:dyDescent="0.25">
      <c r="A1932" s="24" t="s">
        <v>1914</v>
      </c>
      <c r="B1932" s="25">
        <v>2017</v>
      </c>
      <c r="C1932" s="25" t="s">
        <v>2462</v>
      </c>
      <c r="D1932" s="25">
        <v>127</v>
      </c>
      <c r="E1932" s="25">
        <v>7.6</v>
      </c>
      <c r="F1932" s="25" t="str" cm="1">
        <f t="array" ref="F193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2" s="26">
        <v>0.56999999999999995</v>
      </c>
      <c r="H1932" s="27">
        <v>34926</v>
      </c>
    </row>
    <row r="1933" spans="1:8" ht="18" x14ac:dyDescent="0.25">
      <c r="A1933" s="24" t="s">
        <v>356</v>
      </c>
      <c r="B1933" s="25">
        <v>2017</v>
      </c>
      <c r="C1933" s="25" t="s">
        <v>2462</v>
      </c>
      <c r="D1933" s="25">
        <v>88</v>
      </c>
      <c r="E1933" s="25">
        <v>7.3</v>
      </c>
      <c r="F1933" s="25" t="str" cm="1">
        <f t="array" ref="F193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3" s="26">
        <v>0.96</v>
      </c>
      <c r="H1933" s="27">
        <v>25433</v>
      </c>
    </row>
    <row r="1934" spans="1:8" ht="18" x14ac:dyDescent="0.25">
      <c r="A1934" s="24" t="s">
        <v>1915</v>
      </c>
      <c r="B1934" s="25">
        <v>2017</v>
      </c>
      <c r="C1934" s="25" t="s">
        <v>2462</v>
      </c>
      <c r="D1934" s="25">
        <v>113</v>
      </c>
      <c r="E1934" s="25">
        <v>7.9</v>
      </c>
      <c r="F1934" s="25" t="str" cm="1">
        <f t="array" ref="F193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4" s="26">
        <v>132.41999999999999</v>
      </c>
      <c r="H1934" s="27">
        <v>174361</v>
      </c>
    </row>
    <row r="1935" spans="1:8" ht="18" x14ac:dyDescent="0.25">
      <c r="A1935" s="24" t="s">
        <v>2451</v>
      </c>
      <c r="B1935" s="25">
        <v>2017</v>
      </c>
      <c r="C1935" s="25" t="s">
        <v>2462</v>
      </c>
      <c r="D1935" s="25">
        <v>90</v>
      </c>
      <c r="E1935" s="25">
        <v>6.3</v>
      </c>
      <c r="F1935" s="25" t="str" cm="1">
        <f t="array" ref="F193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5" s="26">
        <v>2.46</v>
      </c>
      <c r="H1935" s="27">
        <v>977</v>
      </c>
    </row>
    <row r="1936" spans="1:8" ht="18" x14ac:dyDescent="0.25">
      <c r="A1936" s="24" t="s">
        <v>1918</v>
      </c>
      <c r="B1936" s="25">
        <v>2017</v>
      </c>
      <c r="C1936" s="25" t="s">
        <v>2462</v>
      </c>
      <c r="D1936" s="25">
        <v>107</v>
      </c>
      <c r="E1936" s="25">
        <v>6.6</v>
      </c>
      <c r="F1936" s="25" t="str" cm="1">
        <f t="array" ref="F193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6" s="26">
        <v>0.08</v>
      </c>
      <c r="H1936" s="27">
        <v>5861</v>
      </c>
    </row>
    <row r="1937" spans="1:8" ht="18" x14ac:dyDescent="0.25">
      <c r="A1937" s="24" t="s">
        <v>1919</v>
      </c>
      <c r="B1937" s="25">
        <v>2017</v>
      </c>
      <c r="C1937" s="25" t="s">
        <v>2462</v>
      </c>
      <c r="D1937" s="25">
        <v>122</v>
      </c>
      <c r="E1937" s="25">
        <v>6.5</v>
      </c>
      <c r="F1937" s="25" t="str" cm="1">
        <f t="array" ref="F193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7" s="26">
        <v>0.02</v>
      </c>
      <c r="H1937" s="27">
        <v>2377</v>
      </c>
    </row>
    <row r="1938" spans="1:8" ht="18" x14ac:dyDescent="0.25">
      <c r="A1938" s="24" t="s">
        <v>1920</v>
      </c>
      <c r="B1938" s="25">
        <v>2017</v>
      </c>
      <c r="C1938" s="25" t="s">
        <v>2462</v>
      </c>
      <c r="D1938" s="25">
        <v>97</v>
      </c>
      <c r="E1938" s="25">
        <v>5.2</v>
      </c>
      <c r="F1938" s="25" t="str" cm="1">
        <f t="array" ref="F193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8" s="26">
        <v>2.46</v>
      </c>
      <c r="H1938" s="27">
        <v>217</v>
      </c>
    </row>
    <row r="1939" spans="1:8" ht="18" x14ac:dyDescent="0.25">
      <c r="A1939" s="24" t="s">
        <v>2452</v>
      </c>
      <c r="B1939" s="25">
        <v>2017</v>
      </c>
      <c r="C1939" s="25" t="s">
        <v>2462</v>
      </c>
      <c r="D1939" s="25">
        <v>76</v>
      </c>
      <c r="E1939" s="25">
        <v>6.7</v>
      </c>
      <c r="F1939" s="25" t="str" cm="1">
        <f t="array" ref="F193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39" s="26">
        <v>2.46</v>
      </c>
      <c r="H1939" s="27">
        <v>2400</v>
      </c>
    </row>
    <row r="1940" spans="1:8" ht="18" x14ac:dyDescent="0.25">
      <c r="A1940" s="24" t="s">
        <v>1926</v>
      </c>
      <c r="B1940" s="25">
        <v>2017</v>
      </c>
      <c r="C1940" s="25" t="s">
        <v>2462</v>
      </c>
      <c r="D1940" s="25">
        <v>93</v>
      </c>
      <c r="E1940" s="25">
        <v>7.7</v>
      </c>
      <c r="F1940" s="25" t="str" cm="1">
        <f t="array" ref="F194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0" s="26">
        <v>0.15</v>
      </c>
      <c r="H1940" s="27">
        <v>1135</v>
      </c>
    </row>
    <row r="1941" spans="1:8" ht="18" x14ac:dyDescent="0.25">
      <c r="A1941" s="24" t="s">
        <v>2453</v>
      </c>
      <c r="B1941" s="25">
        <v>2017</v>
      </c>
      <c r="C1941" s="25" t="s">
        <v>2462</v>
      </c>
      <c r="D1941" s="25">
        <v>107</v>
      </c>
      <c r="E1941" s="25">
        <v>7.2</v>
      </c>
      <c r="F1941" s="25" t="str" cm="1">
        <f t="array" ref="F194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1" s="26">
        <v>8.0399999999999991</v>
      </c>
      <c r="H1941" s="27">
        <v>110335</v>
      </c>
    </row>
    <row r="1942" spans="1:8" ht="18" x14ac:dyDescent="0.25">
      <c r="A1942" s="24" t="s">
        <v>1930</v>
      </c>
      <c r="B1942" s="25">
        <v>2017</v>
      </c>
      <c r="C1942" s="25" t="s">
        <v>2462</v>
      </c>
      <c r="D1942" s="25">
        <v>135</v>
      </c>
      <c r="E1942" s="25">
        <v>5.8</v>
      </c>
      <c r="F1942" s="25" t="str" cm="1">
        <f t="array" ref="F194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2" s="26">
        <v>24.45</v>
      </c>
      <c r="H1942" s="27">
        <v>119368</v>
      </c>
    </row>
    <row r="1943" spans="1:8" ht="18" x14ac:dyDescent="0.25">
      <c r="A1943" s="24" t="s">
        <v>2454</v>
      </c>
      <c r="B1943" s="25">
        <v>2017</v>
      </c>
      <c r="C1943" s="25" t="s">
        <v>2462</v>
      </c>
      <c r="D1943" s="25">
        <v>92</v>
      </c>
      <c r="E1943" s="25">
        <v>5.6</v>
      </c>
      <c r="F1943" s="25" t="str" cm="1">
        <f t="array" ref="F194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3" s="26">
        <v>2.46</v>
      </c>
      <c r="H1943" s="27">
        <v>1961</v>
      </c>
    </row>
    <row r="1944" spans="1:8" ht="18" x14ac:dyDescent="0.25">
      <c r="A1944" s="24" t="s">
        <v>1933</v>
      </c>
      <c r="B1944" s="25">
        <v>2017</v>
      </c>
      <c r="C1944" s="25" t="s">
        <v>2462</v>
      </c>
      <c r="D1944" s="25">
        <v>133</v>
      </c>
      <c r="E1944" s="25">
        <v>7.4</v>
      </c>
      <c r="F1944" s="25" t="str" cm="1">
        <f t="array" ref="F194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4" s="26">
        <v>334.2</v>
      </c>
      <c r="H1944" s="27">
        <v>700901</v>
      </c>
    </row>
    <row r="1945" spans="1:8" ht="18" x14ac:dyDescent="0.25">
      <c r="A1945" s="24" t="s">
        <v>1934</v>
      </c>
      <c r="B1945" s="25">
        <v>2017</v>
      </c>
      <c r="C1945" s="25" t="s">
        <v>2462</v>
      </c>
      <c r="D1945" s="25">
        <v>71</v>
      </c>
      <c r="E1945" s="25">
        <v>6.5</v>
      </c>
      <c r="F1945" s="25" t="str" cm="1">
        <f t="array" ref="F194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5" s="26">
        <v>0.75</v>
      </c>
      <c r="H1945" s="27">
        <v>20249</v>
      </c>
    </row>
    <row r="1946" spans="1:8" ht="18" x14ac:dyDescent="0.25">
      <c r="A1946" s="24" t="s">
        <v>1935</v>
      </c>
      <c r="B1946" s="25">
        <v>2017</v>
      </c>
      <c r="C1946" s="25" t="s">
        <v>2462</v>
      </c>
      <c r="D1946" s="25">
        <v>105</v>
      </c>
      <c r="E1946" s="25">
        <v>7.5</v>
      </c>
      <c r="F1946" s="25" t="str" cm="1">
        <f t="array" ref="F194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6" s="26">
        <v>174.34</v>
      </c>
      <c r="H1946" s="27">
        <v>301959</v>
      </c>
    </row>
    <row r="1947" spans="1:8" ht="18" x14ac:dyDescent="0.25">
      <c r="A1947" s="24" t="s">
        <v>2455</v>
      </c>
      <c r="B1947" s="25">
        <v>2017</v>
      </c>
      <c r="C1947" s="25" t="s">
        <v>2462</v>
      </c>
      <c r="D1947" s="25">
        <v>132</v>
      </c>
      <c r="E1947" s="25">
        <v>6.8</v>
      </c>
      <c r="F1947" s="25" t="str" cm="1">
        <f t="array" ref="F194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7" s="26">
        <v>25.11</v>
      </c>
      <c r="H1947" s="27">
        <v>89173</v>
      </c>
    </row>
    <row r="1948" spans="1:8" ht="18" x14ac:dyDescent="0.25">
      <c r="A1948" s="24" t="s">
        <v>1939</v>
      </c>
      <c r="B1948" s="25">
        <v>2017</v>
      </c>
      <c r="C1948" s="25" t="s">
        <v>2462</v>
      </c>
      <c r="D1948" s="25">
        <v>86</v>
      </c>
      <c r="E1948" s="25">
        <v>6.4</v>
      </c>
      <c r="F1948" s="25" t="str" cm="1">
        <f t="array" ref="F1948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8" s="26">
        <v>2.46</v>
      </c>
      <c r="H1948" s="27">
        <v>24453</v>
      </c>
    </row>
    <row r="1949" spans="1:8" ht="18" x14ac:dyDescent="0.25">
      <c r="A1949" s="24" t="s">
        <v>1940</v>
      </c>
      <c r="B1949" s="25">
        <v>2017</v>
      </c>
      <c r="C1949" s="25" t="s">
        <v>2462</v>
      </c>
      <c r="D1949" s="25">
        <v>102</v>
      </c>
      <c r="E1949" s="25">
        <v>7.3</v>
      </c>
      <c r="F1949" s="25" t="str" cm="1">
        <f t="array" ref="F1949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49" s="26">
        <v>2.0299999999999998</v>
      </c>
      <c r="H1949" s="27">
        <v>134778</v>
      </c>
    </row>
    <row r="1950" spans="1:8" ht="18" x14ac:dyDescent="0.25">
      <c r="A1950" s="24" t="s">
        <v>2456</v>
      </c>
      <c r="B1950" s="25">
        <v>2017</v>
      </c>
      <c r="C1950" s="25" t="s">
        <v>2462</v>
      </c>
      <c r="D1950" s="25">
        <v>93</v>
      </c>
      <c r="E1950" s="25">
        <v>6.2</v>
      </c>
      <c r="F1950" s="25" t="str" cm="1">
        <f t="array" ref="F1950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0" s="26">
        <v>0.01</v>
      </c>
      <c r="H1950" s="27">
        <v>2827</v>
      </c>
    </row>
    <row r="1951" spans="1:8" ht="18" x14ac:dyDescent="0.25">
      <c r="A1951" s="24" t="s">
        <v>2457</v>
      </c>
      <c r="B1951" s="25">
        <v>2017</v>
      </c>
      <c r="C1951" s="25" t="s">
        <v>2462</v>
      </c>
      <c r="D1951" s="25">
        <v>105</v>
      </c>
      <c r="E1951" s="25">
        <v>6.7</v>
      </c>
      <c r="F1951" s="25" t="str" cm="1">
        <f t="array" ref="F1951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1" s="26">
        <v>1.03</v>
      </c>
      <c r="H1951" s="27">
        <v>10463</v>
      </c>
    </row>
    <row r="1952" spans="1:8" ht="18" x14ac:dyDescent="0.25">
      <c r="A1952" s="24" t="s">
        <v>2458</v>
      </c>
      <c r="B1952" s="25">
        <v>2018</v>
      </c>
      <c r="C1952" s="25" t="s">
        <v>2462</v>
      </c>
      <c r="D1952" s="25">
        <v>86</v>
      </c>
      <c r="E1952" s="25">
        <v>5.3</v>
      </c>
      <c r="F1952" s="25" t="str" cm="1">
        <f t="array" ref="F1952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2" s="26">
        <v>2.46</v>
      </c>
      <c r="H1952" s="27">
        <v>13178</v>
      </c>
    </row>
    <row r="1953" spans="1:8" ht="18" x14ac:dyDescent="0.25">
      <c r="A1953" s="24" t="s">
        <v>1927</v>
      </c>
      <c r="B1953" s="25">
        <v>2018</v>
      </c>
      <c r="C1953" s="25" t="s">
        <v>2462</v>
      </c>
      <c r="D1953" s="25">
        <v>115</v>
      </c>
      <c r="E1953" s="25">
        <v>6.8</v>
      </c>
      <c r="F1953" s="25" t="str" cm="1">
        <f t="array" ref="F1953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3" s="26">
        <v>32.729999999999997</v>
      </c>
      <c r="H1953" s="27">
        <v>351489</v>
      </c>
    </row>
    <row r="1954" spans="1:8" ht="18" x14ac:dyDescent="0.25">
      <c r="A1954" s="24" t="s">
        <v>1929</v>
      </c>
      <c r="B1954" s="25">
        <v>2018</v>
      </c>
      <c r="C1954" s="25" t="s">
        <v>2462</v>
      </c>
      <c r="D1954" s="25">
        <v>120</v>
      </c>
      <c r="E1954" s="25">
        <v>6.2</v>
      </c>
      <c r="F1954" s="25" t="str" cm="1">
        <f t="array" ref="F1954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4" s="26">
        <v>2.46</v>
      </c>
      <c r="H1954" s="27">
        <v>28329</v>
      </c>
    </row>
    <row r="1955" spans="1:8" ht="18" x14ac:dyDescent="0.25">
      <c r="A1955" s="24" t="s">
        <v>1936</v>
      </c>
      <c r="B1955" s="25">
        <v>2018</v>
      </c>
      <c r="C1955" s="25" t="s">
        <v>2462</v>
      </c>
      <c r="D1955" s="25">
        <v>89</v>
      </c>
      <c r="E1955" s="25">
        <v>5</v>
      </c>
      <c r="F1955" s="25" t="str" cm="1">
        <f t="array" ref="F1955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5" s="26">
        <v>20.87</v>
      </c>
      <c r="H1955" s="27">
        <v>10450</v>
      </c>
    </row>
    <row r="1956" spans="1:8" ht="18" x14ac:dyDescent="0.25">
      <c r="A1956" s="24" t="s">
        <v>1941</v>
      </c>
      <c r="B1956" s="25">
        <v>2018</v>
      </c>
      <c r="C1956" s="25" t="s">
        <v>2462</v>
      </c>
      <c r="D1956" s="25">
        <v>96</v>
      </c>
      <c r="E1956" s="25">
        <v>6.4</v>
      </c>
      <c r="F1956" s="25" t="str" cm="1">
        <f t="array" ref="F1956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2010s</v>
      </c>
      <c r="G1956" s="26">
        <v>2.46</v>
      </c>
      <c r="H1956" s="27">
        <v>10217</v>
      </c>
    </row>
    <row r="1957" spans="1:8" ht="18" x14ac:dyDescent="0.25">
      <c r="A1957" s="28" t="s">
        <v>2459</v>
      </c>
      <c r="B1957" s="29">
        <v>2020</v>
      </c>
      <c r="C1957" s="29" t="s">
        <v>2462</v>
      </c>
      <c r="D1957" s="29">
        <v>60</v>
      </c>
      <c r="E1957" s="29">
        <v>8.4</v>
      </c>
      <c r="F1957" s="29" t="str" cm="1">
        <f t="array" ref="F1957">_xlfn.IFS(Cleaned___Transformed_IMDB_Movies_dataset[[#This Row],[Year]]&lt;=1939,"1930s",Cleaned___Transformed_IMDB_Movies_dataset[[#This Row],[Year]]&lt;=1949,"1940s",Cleaned___Transformed_IMDB_Movies_dataset[[#This Row],[Year]]&lt;=1959,"1950s",Cleaned___Transformed_IMDB_Movies_dataset[[#This Row],[Year]]&lt;=1969,"1960s",Cleaned___Transformed_IMDB_Movies_dataset[[#This Row],[Year]]&lt;=1979,"1970s",Cleaned___Transformed_IMDB_Movies_dataset[[#This Row],[Year]]&lt;=1989,"1980s",Cleaned___Transformed_IMDB_Movies_dataset[[#This Row],[Year]]&lt;=1999,"1990s",Cleaned___Transformed_IMDB_Movies_dataset[[#This Row],[Year]]&lt;=2009,"2000s",Cleaned___Transformed_IMDB_Movies_dataset[[#This Row],[Year]]&lt;=2019,"2010s",Cleaned___Transformed_IMDB_Movies_dataset[[#This Row],[Year]]&gt;=2020,"2020s")</f>
        <v>2020s</v>
      </c>
      <c r="G1957" s="30">
        <v>2.46</v>
      </c>
      <c r="H1957" s="31">
        <v>8399</v>
      </c>
    </row>
  </sheetData>
  <mergeCells count="1">
    <mergeCell ref="A1:I1"/>
  </mergeCells>
  <conditionalFormatting sqref="A4:H195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2" percent="1" rank="10"/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1F7C-DE74-496C-A053-FBCB166DF7ED}">
  <sheetPr codeName="Sheet4"/>
  <dimension ref="A1:M4"/>
  <sheetViews>
    <sheetView showGridLines="0" workbookViewId="0">
      <selection activeCell="F5" sqref="F5"/>
    </sheetView>
  </sheetViews>
  <sheetFormatPr defaultRowHeight="15" x14ac:dyDescent="0.25"/>
  <cols>
    <col min="1" max="1" width="25.85546875" customWidth="1"/>
    <col min="2" max="2" width="26.42578125" customWidth="1"/>
  </cols>
  <sheetData>
    <row r="1" spans="1:13" s="23" customFormat="1" ht="25.5" x14ac:dyDescent="0.35">
      <c r="A1" s="39" t="s">
        <v>2489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3" spans="1:13" ht="19.5" x14ac:dyDescent="0.25">
      <c r="A3" s="50" t="s">
        <v>2487</v>
      </c>
      <c r="B3" s="51" t="s">
        <v>2488</v>
      </c>
    </row>
    <row r="4" spans="1:13" ht="19.5" x14ac:dyDescent="0.25">
      <c r="A4" s="52">
        <f>CORREL(Cleaned___Transformed_IMDB_Movies_dataset[Ratings],Cleaned___Transformed_IMDB_Movies_dataset[Gross Profit($M)])</f>
        <v>0.19171684089107299</v>
      </c>
      <c r="B4" s="53">
        <f>CORREL(Cleaned___Transformed_IMDB_Movies_dataset[Duration(minutes)],Cleaned___Transformed_IMDB_Movies_dataset[Gross Profit($M)])</f>
        <v>0.29094374294444392</v>
      </c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BE5E-244A-48F2-A875-AD9C99C0583F}">
  <sheetPr codeName="Sheet5"/>
  <dimension ref="A1:V11"/>
  <sheetViews>
    <sheetView showGridLines="0" topLeftCell="A2" workbookViewId="0">
      <selection activeCell="A10" sqref="A10"/>
    </sheetView>
  </sheetViews>
  <sheetFormatPr defaultRowHeight="15" x14ac:dyDescent="0.25"/>
  <cols>
    <col min="3" max="3" width="10.140625" bestFit="1" customWidth="1"/>
    <col min="4" max="4" width="17.85546875" bestFit="1" customWidth="1"/>
    <col min="8" max="8" width="16.140625" bestFit="1" customWidth="1"/>
    <col min="9" max="9" width="16.5703125" bestFit="1" customWidth="1"/>
    <col min="10" max="12" width="8.5703125" bestFit="1" customWidth="1"/>
    <col min="15" max="15" width="13.42578125" bestFit="1" customWidth="1"/>
    <col min="16" max="16" width="26.140625" bestFit="1" customWidth="1"/>
    <col min="17" max="19" width="8.5703125" bestFit="1" customWidth="1"/>
    <col min="20" max="20" width="11.28515625" bestFit="1" customWidth="1"/>
  </cols>
  <sheetData>
    <row r="1" spans="1:22" s="37" customFormat="1" ht="34.5" x14ac:dyDescent="0.45">
      <c r="A1" s="41" t="s">
        <v>2490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36"/>
      <c r="Q1" s="36"/>
      <c r="R1" s="36"/>
      <c r="S1" s="36"/>
      <c r="T1" s="36"/>
      <c r="U1" s="36"/>
      <c r="V1" s="36"/>
    </row>
    <row r="2" spans="1:22" ht="25.5" x14ac:dyDescent="0.35">
      <c r="C2" s="40" t="s">
        <v>2485</v>
      </c>
      <c r="D2" s="40"/>
      <c r="E2" s="40"/>
      <c r="F2" s="40"/>
      <c r="H2" s="40" t="s">
        <v>2486</v>
      </c>
      <c r="I2" s="40"/>
      <c r="J2" s="40"/>
      <c r="K2" s="40"/>
      <c r="L2" s="40"/>
      <c r="M2" s="40"/>
      <c r="N2" s="40"/>
    </row>
    <row r="4" spans="1:22" x14ac:dyDescent="0.25">
      <c r="C4" s="5" t="s">
        <v>2473</v>
      </c>
      <c r="D4" t="s">
        <v>2474</v>
      </c>
      <c r="H4" s="5" t="s">
        <v>2483</v>
      </c>
      <c r="I4" s="5" t="s">
        <v>2484</v>
      </c>
    </row>
    <row r="5" spans="1:22" x14ac:dyDescent="0.25">
      <c r="C5" s="6" t="s">
        <v>2467</v>
      </c>
      <c r="D5" s="7">
        <v>6.2833333333333323</v>
      </c>
      <c r="H5" s="5" t="s">
        <v>2473</v>
      </c>
      <c r="I5" t="s">
        <v>2463</v>
      </c>
      <c r="J5" t="s">
        <v>2462</v>
      </c>
      <c r="K5" t="s">
        <v>2465</v>
      </c>
      <c r="L5" t="s">
        <v>2464</v>
      </c>
    </row>
    <row r="6" spans="1:22" x14ac:dyDescent="0.25">
      <c r="C6" s="6" t="s">
        <v>2468</v>
      </c>
      <c r="D6" s="7">
        <v>6.9454545454545444</v>
      </c>
      <c r="H6" s="6" t="s">
        <v>2467</v>
      </c>
      <c r="I6" s="7">
        <v>128727</v>
      </c>
      <c r="J6" s="7">
        <v>3960</v>
      </c>
      <c r="K6" s="7"/>
      <c r="L6" s="7">
        <v>10883</v>
      </c>
    </row>
    <row r="7" spans="1:22" x14ac:dyDescent="0.25">
      <c r="C7" s="6" t="s">
        <v>2469</v>
      </c>
      <c r="D7" s="7">
        <v>6.7299999999999995</v>
      </c>
      <c r="H7" s="6" t="s">
        <v>2468</v>
      </c>
      <c r="I7" s="7">
        <v>14090</v>
      </c>
      <c r="J7" s="7">
        <v>40786.777777777781</v>
      </c>
      <c r="K7" s="7"/>
      <c r="L7" s="7"/>
    </row>
    <row r="8" spans="1:22" x14ac:dyDescent="0.25">
      <c r="C8" s="6" t="s">
        <v>2470</v>
      </c>
      <c r="D8" s="7">
        <v>6.8350000000000009</v>
      </c>
      <c r="H8" s="6" t="s">
        <v>2469</v>
      </c>
      <c r="I8" s="7">
        <v>42759</v>
      </c>
      <c r="J8" s="7">
        <v>31921.5</v>
      </c>
      <c r="K8" s="7"/>
      <c r="L8" s="7">
        <v>28611.5</v>
      </c>
    </row>
    <row r="9" spans="1:22" x14ac:dyDescent="0.25">
      <c r="C9" s="6" t="s">
        <v>2471</v>
      </c>
      <c r="D9" s="7">
        <v>6.6621848739495801</v>
      </c>
      <c r="H9" s="6" t="s">
        <v>2470</v>
      </c>
      <c r="I9" s="7">
        <v>27601</v>
      </c>
      <c r="J9" s="7">
        <v>39487.0625</v>
      </c>
      <c r="K9" s="7"/>
      <c r="L9" s="7">
        <v>20519.5</v>
      </c>
    </row>
    <row r="10" spans="1:22" x14ac:dyDescent="0.25">
      <c r="C10" s="6" t="s">
        <v>2472</v>
      </c>
      <c r="D10" s="7">
        <v>6.4625070581592254</v>
      </c>
      <c r="H10" s="6" t="s">
        <v>2471</v>
      </c>
      <c r="I10" s="7">
        <v>19680</v>
      </c>
      <c r="J10" s="7">
        <v>35682.166666666664</v>
      </c>
      <c r="K10" s="7"/>
      <c r="L10" s="7">
        <v>30373.357142857141</v>
      </c>
    </row>
    <row r="11" spans="1:22" x14ac:dyDescent="0.25">
      <c r="H11" s="6" t="s">
        <v>2472</v>
      </c>
      <c r="I11" s="7">
        <v>75983.902654867255</v>
      </c>
      <c r="J11" s="7">
        <v>90122.146731571629</v>
      </c>
      <c r="K11" s="7">
        <v>15653</v>
      </c>
      <c r="L11" s="7">
        <v>90997.924528301883</v>
      </c>
    </row>
  </sheetData>
  <mergeCells count="3">
    <mergeCell ref="C2:F2"/>
    <mergeCell ref="H2:N2"/>
    <mergeCell ref="A1:O1"/>
  </mergeCells>
  <conditionalFormatting sqref="T1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I6:L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08E6-2F25-4C17-9DBB-60CB9345C9E3}">
  <sheetPr codeName="Sheet6"/>
  <dimension ref="A1:L12"/>
  <sheetViews>
    <sheetView showGridLines="0" workbookViewId="0">
      <selection activeCell="B4" sqref="B4"/>
    </sheetView>
  </sheetViews>
  <sheetFormatPr defaultRowHeight="15" x14ac:dyDescent="0.2"/>
  <cols>
    <col min="1" max="1" width="30.5703125" style="8" customWidth="1"/>
    <col min="2" max="2" width="39.85546875" style="8" customWidth="1"/>
    <col min="3" max="3" width="23.42578125" style="8" bestFit="1" customWidth="1"/>
    <col min="4" max="4" width="9.140625" style="8"/>
    <col min="5" max="5" width="9.140625" style="9"/>
    <col min="6" max="6" width="16.85546875" style="8" customWidth="1"/>
    <col min="7" max="7" width="41" style="8" customWidth="1"/>
    <col min="8" max="8" width="21.7109375" style="8" customWidth="1"/>
    <col min="9" max="16384" width="9.140625" style="8"/>
  </cols>
  <sheetData>
    <row r="1" spans="1:12" s="22" customFormat="1" ht="44.25" x14ac:dyDescent="0.55000000000000004">
      <c r="A1" s="42" t="s">
        <v>2479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9" customFormat="1" ht="25.5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2" s="13" customFormat="1" ht="18" x14ac:dyDescent="0.25">
      <c r="A3" s="10" t="s">
        <v>2473</v>
      </c>
      <c r="B3" s="11" t="s">
        <v>2475</v>
      </c>
      <c r="C3" s="12" t="s">
        <v>2478</v>
      </c>
      <c r="E3" s="14"/>
      <c r="F3" s="43" t="s">
        <v>2461</v>
      </c>
      <c r="G3" s="44" t="s">
        <v>2476</v>
      </c>
      <c r="H3" s="45" t="s">
        <v>2477</v>
      </c>
    </row>
    <row r="4" spans="1:12" ht="18" x14ac:dyDescent="0.25">
      <c r="A4" s="15" t="s">
        <v>2467</v>
      </c>
      <c r="B4" s="16" t="str">
        <f>_xlfn.XLOOKUP(H4,Cleaned___Transformed_IMDB_Movies_dataset[Gross Profit($M)],Cleaned___Transformed_IMDB_Movies_dataset[Movie Name (Title)])</f>
        <v>Wonder Woman</v>
      </c>
      <c r="C4" s="17">
        <f>_xlfn.MAXIFS(Cleaned___Transformed_IMDB_Movies_dataset[Gross Profit($M)],Cleaned___Transformed_IMDB_Movies_dataset[Movies by Decade], A4)</f>
        <v>2.73</v>
      </c>
      <c r="F4" s="15" t="s">
        <v>2463</v>
      </c>
      <c r="G4" s="16" t="str">
        <f>_xlfn.XLOOKUP(H4,Cleaned___Transformed_IMDB_Movies_dataset[Gross Profit($M)],Cleaned___Transformed_IMDB_Movies_dataset[Movie Name (Title)])</f>
        <v>Wonder Woman</v>
      </c>
      <c r="H4" s="17">
        <f>_xlfn.MAXIFS(Cleaned___Transformed_IMDB_Movies_dataset[Gross Profit($M)],Cleaned___Transformed_IMDB_Movies_dataset[Age Restriction],'Highest Grossing Movies'!F4)</f>
        <v>412.56</v>
      </c>
    </row>
    <row r="5" spans="1:12" ht="18" x14ac:dyDescent="0.25">
      <c r="A5" s="15" t="s">
        <v>2468</v>
      </c>
      <c r="B5" s="16" t="str">
        <f>_xlfn.XLOOKUP(Highest_Grossing_Movie_Per_Decade[[#This Row],[Gross Profit Per Decade]],Cleaned___Transformed_IMDB_Movies_dataset[Gross Profit($M)],Cleaned___Transformed_IMDB_Movies_dataset[Movie Name (Title)])</f>
        <v>The Warriors</v>
      </c>
      <c r="C5" s="17">
        <f>_xlfn.MAXIFS(Cleaned___Transformed_IMDB_Movies_dataset[Gross Profit($M)],Cleaned___Transformed_IMDB_Movies_dataset[Movies by Decade], A5)</f>
        <v>22.49</v>
      </c>
      <c r="F5" s="15" t="s">
        <v>2462</v>
      </c>
      <c r="G5" s="16" t="str">
        <f>_xlfn.XLOOKUP(H5,Cleaned___Transformed_IMDB_Movies_dataset[Gross Profit($M)],Cleaned___Transformed_IMDB_Movies_dataset[Movie Name (Title)])</f>
        <v>Star Wars: Episode Vii - The Force Awakens</v>
      </c>
      <c r="H5" s="17">
        <f>_xlfn.MAXIFS(Cleaned___Transformed_IMDB_Movies_dataset[Gross Profit($M)],Cleaned___Transformed_IMDB_Movies_dataset[Age Restriction],'Highest Grossing Movies'!F5)</f>
        <v>936.66</v>
      </c>
    </row>
    <row r="6" spans="1:12" ht="18" x14ac:dyDescent="0.25">
      <c r="A6" s="15" t="s">
        <v>2469</v>
      </c>
      <c r="B6" s="16" t="str">
        <f>_xlfn.XLOOKUP(Highest_Grossing_Movie_Per_Decade[[#This Row],[Gross Profit Per Decade]],Cleaned___Transformed_IMDB_Movies_dataset[Gross Profit($M)],Cleaned___Transformed_IMDB_Movies_dataset[Movie Name (Title)])</f>
        <v>Psycho Ii</v>
      </c>
      <c r="C6" s="17">
        <f>_xlfn.MAXIFS(Cleaned___Transformed_IMDB_Movies_dataset[Gross Profit($M)],Cleaned___Transformed_IMDB_Movies_dataset[Movies by Decade], A6)</f>
        <v>34.729999999999997</v>
      </c>
      <c r="F6" s="15" t="s">
        <v>2465</v>
      </c>
      <c r="G6" s="16" t="str">
        <f>_xlfn.XLOOKUP(H6,Cleaned___Transformed_IMDB_Movies_dataset[Gross Profit($M)],Cleaned___Transformed_IMDB_Movies_dataset[Movie Name (Title)])</f>
        <v>Keeper Of The Flame</v>
      </c>
      <c r="H6" s="17">
        <f>_xlfn.MAXIFS(Cleaned___Transformed_IMDB_Movies_dataset[Gross Profit($M)],Cleaned___Transformed_IMDB_Movies_dataset[Age Restriction],'Highest Grossing Movies'!F6)</f>
        <v>2.46</v>
      </c>
    </row>
    <row r="7" spans="1:12" ht="18" x14ac:dyDescent="0.25">
      <c r="A7" s="15" t="s">
        <v>2470</v>
      </c>
      <c r="B7" s="16" t="str">
        <f>_xlfn.XLOOKUP(Highest_Grossing_Movie_Per_Decade[[#This Row],[Gross Profit Per Decade]],Cleaned___Transformed_IMDB_Movies_dataset[Gross Profit($M)],Cleaned___Transformed_IMDB_Movies_dataset[Movie Name (Title)])</f>
        <v>The Faculty</v>
      </c>
      <c r="C7" s="17">
        <f>_xlfn.MAXIFS(Cleaned___Transformed_IMDB_Movies_dataset[Gross Profit($M)],Cleaned___Transformed_IMDB_Movies_dataset[Movies by Decade], A7)</f>
        <v>40.06</v>
      </c>
      <c r="F7" s="18" t="s">
        <v>2464</v>
      </c>
      <c r="G7" s="19" t="str">
        <f>_xlfn.XLOOKUP(H7,Cleaned___Transformed_IMDB_Movies_dataset[Gross Profit($M)],Cleaned___Transformed_IMDB_Movies_dataset[Movie Name (Title)])</f>
        <v>Rogue One</v>
      </c>
      <c r="H7" s="20">
        <f>_xlfn.MAXIFS(Cleaned___Transformed_IMDB_Movies_dataset[Gross Profit($M)],Cleaned___Transformed_IMDB_Movies_dataset[Age Restriction],'Highest Grossing Movies'!F7)</f>
        <v>532.17999999999995</v>
      </c>
    </row>
    <row r="8" spans="1:12" ht="18" x14ac:dyDescent="0.25">
      <c r="A8" s="15" t="s">
        <v>2471</v>
      </c>
      <c r="B8" s="16" t="str">
        <f>_xlfn.XLOOKUP(Highest_Grossing_Movie_Per_Decade[[#This Row],[Gross Profit Per Decade]],Cleaned___Transformed_IMDB_Movies_dataset[Gross Profit($M)],Cleaned___Transformed_IMDB_Movies_dataset[Movie Name (Title)])</f>
        <v>Alvin And The Chipmunks: The Squeakquel</v>
      </c>
      <c r="C8" s="17">
        <f>_xlfn.MAXIFS(Cleaned___Transformed_IMDB_Movies_dataset[Gross Profit($M)],Cleaned___Transformed_IMDB_Movies_dataset[Movies by Decade], A8)</f>
        <v>219.61</v>
      </c>
    </row>
    <row r="9" spans="1:12" ht="18" x14ac:dyDescent="0.25">
      <c r="A9" s="18" t="s">
        <v>2472</v>
      </c>
      <c r="B9" s="19" t="str">
        <f>_xlfn.XLOOKUP(Highest_Grossing_Movie_Per_Decade[[#This Row],[Gross Profit Per Decade]],Cleaned___Transformed_IMDB_Movies_dataset[Gross Profit($M)],Cleaned___Transformed_IMDB_Movies_dataset[Movie Name (Title)])</f>
        <v>Star Wars: Episode Vii - The Force Awakens</v>
      </c>
      <c r="C9" s="20">
        <f>_xlfn.MAXIFS(Cleaned___Transformed_IMDB_Movies_dataset[Gross Profit($M)],Cleaned___Transformed_IMDB_Movies_dataset[Movies by Decade], A9)</f>
        <v>936.66</v>
      </c>
    </row>
    <row r="11" spans="1:12" x14ac:dyDescent="0.2">
      <c r="A11" s="46" t="s">
        <v>2480</v>
      </c>
      <c r="B11" s="47" t="s">
        <v>2481</v>
      </c>
    </row>
    <row r="12" spans="1:12" x14ac:dyDescent="0.2">
      <c r="A12" s="48" t="str">
        <f>_xlfn.XLOOKUP(B12,Cleaned___Transformed_IMDB_Movies_dataset[Gross Profit($M)],Cleaned___Transformed_IMDB_Movies_dataset[Movie Name (Title)])</f>
        <v>Star Wars: Episode Vii - The Force Awakens</v>
      </c>
      <c r="B12" s="49">
        <f>_xlfn.MAXIFS(Cleaned___Transformed_IMDB_Movies_dataset[Gross Profit($M)],Cleaned___Transformed_IMDB_Movies_dataset[Year], "&gt;=1933",Cleaned___Transformed_IMDB_Movies_dataset[Year],"&lt;=2020")</f>
        <v>936.66</v>
      </c>
    </row>
  </sheetData>
  <mergeCells count="1">
    <mergeCell ref="A1:L1"/>
  </mergeCell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8E1B80-90AD-4B3C-B05F-3A4767CB4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Messy IMDB_Movie_Insights</vt:lpstr>
      <vt:lpstr>Analysis&gt;&gt;&gt;&gt;&gt;</vt:lpstr>
      <vt:lpstr>Cleaned &amp; Transformed IMDB Movi</vt:lpstr>
      <vt:lpstr>Correlation Analysis</vt:lpstr>
      <vt:lpstr>Pivot Tables</vt:lpstr>
      <vt:lpstr>Highest Grossing 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 Mangisha</cp:lastModifiedBy>
  <dcterms:created xsi:type="dcterms:W3CDTF">2026-06-14T04:00:15Z</dcterms:created>
  <dcterms:modified xsi:type="dcterms:W3CDTF">2026-06-14T14:14:57Z</dcterms:modified>
</cp:coreProperties>
</file>